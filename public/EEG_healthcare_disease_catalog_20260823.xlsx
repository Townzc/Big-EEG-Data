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60cd31db3a74bf2" /></Relationships>
</file>

<file path=xl/workbook.xml><?xml version="1.0" encoding="utf-8"?>
<x:workbook xmlns:x="http://schemas.openxmlformats.org/spreadsheetml/2006/main">
  <x:sheets>
    <x:sheet xmlns:r="http://schemas.openxmlformats.org/officeDocument/2006/relationships" name="README" sheetId="1" r:id="Rad06845bcbe844ec"/>
    <x:sheet xmlns:r="http://schemas.openxmlformats.org/officeDocument/2006/relationships" name="最终唯一下载清单" sheetId="2" r:id="Ra3b0111081294e43"/>
    <x:sheet xmlns:r="http://schemas.openxmlformats.org/officeDocument/2006/relationships" name="排除与非独立条目" sheetId="3" r:id="R360fc14cd55149bc"/>
    <x:sheet xmlns:r="http://schemas.openxmlformats.org/officeDocument/2006/relationships" name="重复合并证据" sheetId="4" r:id="R24ab8531da854c84"/>
    <x:sheet xmlns:r="http://schemas.openxmlformats.org/officeDocument/2006/relationships" name="人工复核结论" sheetId="5" r:id="R8727a48807dd4a8d"/>
    <x:sheet xmlns:r="http://schemas.openxmlformats.org/officeDocument/2006/relationships" name="TUH体系与重叠" sheetId="6" r:id="Rdda2eb1493034e5e"/>
    <x:sheet xmlns:r="http://schemas.openxmlformats.org/officeDocument/2006/relationships" name="文件夹架构" sheetId="7" r:id="R75da7324dafe4ab6"/>
    <x:sheet xmlns:r="http://schemas.openxmlformats.org/officeDocument/2006/relationships" name="修订记录" sheetId="8" r:id="R87745a3444214889"/>
    <x:sheet xmlns:r="http://schemas.openxmlformats.org/officeDocument/2006/relationships" name="原重复证据归档" sheetId="9" r:id="Ree9beac8c515416e"/>
    <x:sheet xmlns:r="http://schemas.openxmlformats.org/officeDocument/2006/relationships" name="分类复核" sheetId="12" r:id="Red070c392aff48d5"/>
    <x:sheet xmlns:r="http://schemas.openxmlformats.org/officeDocument/2006/relationships" name="分类修订明细" sheetId="13" r:id="R71ab1ec649914a43"/>
    <x:sheet xmlns:r="http://schemas.openxmlformats.org/officeDocument/2006/relationships" name="下载与时长复核" sheetId="14" r:id="R9bdf8222228f4f62"/>
    <x:sheet xmlns:r="http://schemas.openxmlformats.org/officeDocument/2006/relationships" name="证据来源" sheetId="15" r:id="R9de63f1dba3640a6"/>
    <x:sheet xmlns:r="http://schemas.openxmlformats.org/officeDocument/2006/relationships" name="Healthcare重点清单" sheetId="16" r:id="R10bd539131774b21"/>
    <x:sheet xmlns:r="http://schemas.openxmlformats.org/officeDocument/2006/relationships" name="下载执行清单" sheetId="17" r:id="R6a0c4184e7874d7c"/>
    <x:sheet xmlns:r="http://schemas.openxmlformats.org/officeDocument/2006/relationships" name="新增来源记录_25" sheetId="18" r:id="Rdbadcf95ec9f4dfb"/>
    <x:sheet xmlns:r="http://schemas.openxmlformats.org/officeDocument/2006/relationships" name="分类统计" sheetId="19" r:id="R0523764bd8584176"/>
    <x:sheet xmlns:r="http://schemas.openxmlformats.org/officeDocument/2006/relationships" name="REVE对照_92" sheetId="20" r:id="R3398cc6df79446d9"/>
    <x:sheet xmlns:r="http://schemas.openxmlformats.org/officeDocument/2006/relationships" name="NeuroAtlas对照_42" sheetId="21" r:id="R2ccecd652be346d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
  </x:numFmts>
  <x:fonts count="15">
    <x:font>
      <x:sz val="11"/>
      <x:name val="Carlito"/>
    </x:font>
    <x:font>
      <x:sz val="10"/>
      <x:color rgb="FF1F2937"/>
      <x:name val="Aptos"/>
    </x:font>
    <x:font>
      <x:b/>
      <x:sz val="16"/>
      <x:color rgb="FFFFFFFF"/>
      <x:name val="Aptos Display"/>
    </x:font>
    <x:font>
      <x:b/>
      <x:sz val="10"/>
      <x:color rgb="FF1F2937"/>
      <x:name val="Aptos"/>
    </x:font>
    <x:font>
      <x:sz val="9"/>
      <x:color rgb="FF1F2937"/>
      <x:name val="Aptos"/>
    </x:font>
    <x:font>
      <x:b/>
      <x:sz val="10"/>
      <x:color rgb="FFFFFFFF"/>
      <x:name val="Aptos"/>
    </x:font>
    <x:font>
      <x:b/>
      <x:sz val="9"/>
      <x:color rgb="FF17324D"/>
      <x:name val="Aptos"/>
    </x:font>
    <x:font>
      <x:sz val="9"/>
      <x:color rgb="FF17324D"/>
      <x:name val="Aptos"/>
    </x:font>
    <x:font>
      <x:sz val="9"/>
      <x:color rgb="FF17324D"/>
      <x:name val="Carlito"/>
    </x:font>
    <x:font>
      <x:b/>
      <x:sz val="9"/>
      <x:color rgb="FF17375E"/>
      <x:name val="Aptos"/>
    </x:font>
    <x:font>
      <x:b/>
      <x:sz val="9"/>
      <x:color rgb="FF17375E"/>
      <x:name val="Carlito"/>
    </x:font>
    <x:font>
      <x:b/>
      <x:sz val="10"/>
      <x:color rgb="FFFFFFFF"/>
      <x:name val="Carlito"/>
    </x:font>
    <x:font>
      <x:b/>
      <x:sz val="15"/>
      <x:color rgb="FFFFFFFF"/>
      <x:name val="Carlito"/>
    </x:font>
    <x:font>
      <x:sz val="9"/>
      <x:color rgb="FF4779C6"/>
      <x:name val="Carlito"/>
    </x:font>
    <x:font>
      <x:b/>
      <x:sz val="9"/>
      <x:color rgb="FF17324D"/>
      <x:name val="Carlito"/>
    </x:font>
  </x:fonts>
  <x:fills count="28">
    <x:fill>
      <x:patternFill patternType="none"/>
    </x:fill>
    <x:fill>
      <x:patternFill patternType="gray125"/>
    </x:fill>
    <x:fill>
      <x:patternFill patternType="solid">
        <x:fgColor rgb="FF4472C4"/>
      </x:patternFill>
    </x:fill>
    <x:fill>
      <x:patternFill patternType="solid">
        <x:fgColor rgb="FFD9E7F7"/>
      </x:patternFill>
    </x:fill>
    <x:fill>
      <x:patternFill patternType="solid">
        <x:fgColor rgb="FFE2F0D9"/>
      </x:patternFill>
    </x:fill>
    <x:fill>
      <x:patternFill patternType="solid">
        <x:fgColor rgb="FF17375E"/>
      </x:patternFill>
    </x:fill>
    <x:fill>
      <x:patternFill patternType="solid">
        <x:fgColor rgb="FFFFFFFF"/>
      </x:patternFill>
    </x:fill>
    <x:fill>
      <x:patternFill patternType="solid">
        <x:fgColor rgb="FFEAF3FF"/>
      </x:patternFill>
    </x:fill>
    <x:fill>
      <x:patternFill patternType="solid">
        <x:fgColor rgb="FFEAF4E2"/>
      </x:patternFill>
    </x:fill>
    <x:fill>
      <x:patternFill patternType="solid">
        <x:fgColor rgb="FFFFF4D6"/>
      </x:patternFill>
    </x:fill>
    <x:fill>
      <x:patternFill patternType="solid">
        <x:fgColor rgb="FFE8F5F3"/>
      </x:patternFill>
    </x:fill>
    <x:fill>
      <x:patternFill patternType="solid">
        <x:fgColor rgb="FF4779C6"/>
      </x:patternFill>
    </x:fill>
    <x:fill>
      <x:patternFill patternType="solid">
        <x:fgColor rgb="FFEFF9FC"/>
      </x:patternFill>
    </x:fill>
    <x:fill>
      <x:patternFill patternType="solid">
        <x:fgColor rgb="FF0F766E"/>
      </x:patternFill>
    </x:fill>
    <x:fill>
      <x:patternFill patternType="solid">
        <x:fgColor rgb="FFF1FBF9"/>
      </x:patternFill>
    </x:fill>
    <x:fill>
      <x:patternFill patternType="solid">
        <x:fgColor rgb="FFF5FAFF"/>
      </x:patternFill>
    </x:fill>
    <x:fill>
      <x:patternFill patternType="solid">
        <x:fgColor rgb="FFFCE8E6"/>
      </x:patternFill>
    </x:fill>
    <x:fill>
      <x:patternFill patternType="solid">
        <x:fgColor rgb="FF17375E"/>
      </x:patternFill>
    </x:fill>
    <x:fill>
      <x:patternFill patternType="solid">
        <x:fgColor rgb="FFFFFFFF"/>
      </x:patternFill>
    </x:fill>
    <x:fill>
      <x:patternFill patternType="solid">
        <x:fgColor rgb="FFEAF3FF"/>
      </x:patternFill>
    </x:fill>
    <x:fill>
      <x:patternFill patternType="solid">
        <x:fgColor rgb="FFEAF4E2"/>
      </x:patternFill>
    </x:fill>
    <x:fill>
      <x:patternFill patternType="solid">
        <x:fgColor rgb="FF4779C6"/>
      </x:patternFill>
    </x:fill>
    <x:fill>
      <x:patternFill patternType="solid">
        <x:fgColor rgb="FFEFF9FC"/>
      </x:patternFill>
    </x:fill>
    <x:fill>
      <x:patternFill patternType="solid">
        <x:fgColor rgb="FF0F766E"/>
      </x:patternFill>
    </x:fill>
    <x:fill>
      <x:patternFill patternType="solid">
        <x:fgColor rgb="FFE8F5F3"/>
      </x:patternFill>
    </x:fill>
    <x:fill>
      <x:patternFill patternType="solid">
        <x:fgColor rgb="FFFFF4D6"/>
      </x:patternFill>
    </x:fill>
    <x:fill>
      <x:patternFill patternType="solid">
        <x:fgColor rgb="FFF1F2F3"/>
      </x:patternFill>
    </x:fill>
    <x:fill>
      <x:patternFill patternType="solid">
        <x:fgColor rgb="FFF9E7E5"/>
      </x:patternFill>
    </x:fill>
  </x:fills>
  <x:borders count="50">
    <x:border/>
    <x:border>
      <x:bottom style="thin">
        <x:color rgb="FFD6DEE8"/>
      </x:bottom>
    </x:border>
    <x:border>
      <x:top style="thin">
        <x:color rgb="FFD6DEE8"/>
      </x:top>
      <x:bottom style="thin">
        <x:color rgb="FFD6DEE8"/>
      </x:bottom>
    </x:border>
    <x:border>
      <x:bottom style="thin">
        <x:color rgb="FFD6DEE8"/>
      </x:bottom>
    </x:border>
    <x:border>
      <x:bottom style="thin">
        <x:color rgb="FFD6DEE8"/>
      </x:bottom>
    </x:border>
    <x:border>
      <x:top style="thin">
        <x:color rgb="FFD6DEE8"/>
      </x:top>
      <x:bottom style="thin">
        <x:color rgb="FFD6DEE8"/>
      </x:bottom>
    </x:border>
    <x:border>
      <x:top style="thin">
        <x:color rgb="FFD6DEE8"/>
      </x:top>
      <x:bottom style="thin">
        <x:color rgb="FFD6DEE8"/>
      </x:bottom>
    </x:border>
    <x:border/>
    <x:border/>
    <x:border/>
    <x:border/>
    <x:border>
      <x:bottom style="thin">
        <x:color rgb="FFD6DEE8"/>
      </x:bottom>
    </x:border>
    <x:border>
      <x:top style="thin">
        <x:color rgb="FFD6DEE8"/>
      </x:top>
      <x:bottom style="thin">
        <x:color rgb="FFD6DEE8"/>
      </x:bottom>
    </x:border>
    <x:border/>
    <x:border/>
    <x:border/>
    <x:border/>
    <x:border/>
    <x:border>
      <x:bottom style="thin">
        <x:color rgb="FFD6DEE8"/>
      </x:bottom>
    </x:border>
    <x:border/>
    <x:border/>
    <x:border/>
    <x:border/>
    <x:border>
      <x:left/>
      <x:top/>
      <x:bottom style="thin">
        <x:color rgb="FFD6DEE8"/>
      </x:bottom>
    </x:border>
    <x:border>
      <x:right/>
      <x:top/>
      <x:bottom style="thin">
        <x:color rgb="FFD6DEE8"/>
      </x:bottom>
    </x:border>
    <x:border>
      <x:left/>
      <x:top style="thin">
        <x:color rgb="FFD6DEE8"/>
      </x:top>
      <x:bottom style="thin">
        <x:color rgb="FFD6DEE8"/>
      </x:bottom>
    </x:border>
    <x:border>
      <x:right/>
      <x:top style="thin">
        <x:color rgb="FFD6DEE8"/>
      </x:top>
      <x:bottom style="thin">
        <x:color rgb="FFD6DEE8"/>
      </x:bottom>
    </x:border>
    <x:border>
      <x:left/>
    </x:border>
    <x:border>
      <x:right/>
    </x:border>
    <x:border>
      <x:left/>
    </x:border>
    <x:border>
      <x:right/>
    </x:border>
    <x:border>
      <x:left/>
    </x:border>
    <x:border>
      <x:left/>
      <x:bottom/>
    </x:border>
    <x:border>
      <x:right/>
      <x:bottom/>
    </x:border>
    <x:border>
      <x:left/>
      <x:right/>
      <x:top/>
      <x:bottom style="thin">
        <x:color rgb="FFD6DEE8"/>
      </x:bottom>
    </x:border>
    <x:border>
      <x:left/>
      <x:right/>
      <x:top style="thin">
        <x:color rgb="FFD6DEE8"/>
      </x:top>
      <x:bottom style="thin">
        <x:color rgb="FFD6DEE8"/>
      </x:bottom>
    </x:border>
    <x:border>
      <x:left/>
      <x:right/>
    </x:border>
    <x:border>
      <x:left/>
      <x:right/>
    </x:border>
    <x:border>
      <x:left/>
      <x:right/>
      <x:bottom/>
    </x:border>
    <x:border>
      <x:left/>
      <x:top/>
      <x:bottom/>
    </x:border>
    <x:border>
      <x:top/>
      <x:bottom/>
    </x:border>
    <x:border>
      <x:right/>
      <x:top/>
      <x:bottom/>
    </x:border>
    <x:border>
      <x:left/>
      <x:top/>
      <x:bottom style="thin">
        <x:color rgb="FFD6DEE8"/>
      </x:bottom>
    </x:border>
    <x:border>
      <x:top/>
      <x:bottom style="thin">
        <x:color rgb="FFD6DEE8"/>
      </x:bottom>
    </x:border>
    <x:border>
      <x:left/>
      <x:top style="thin">
        <x:color rgb="FFD6DEE8"/>
      </x:top>
      <x:bottom style="thin">
        <x:color rgb="FFD6DEE8"/>
      </x:bottom>
    </x:border>
    <x:border>
      <x:left/>
    </x:border>
    <x:border>
      <x:bottom/>
    </x:border>
    <x:border>
      <x:left/>
      <x:top/>
    </x:border>
    <x:border>
      <x:top/>
    </x:border>
    <x:border>
      <x:right/>
      <x:top/>
    </x:border>
  </x:borders>
  <x:cellStyleXfs count="1">
    <x:xf numFmtId="0" fontId="0" fillId="0" borderId="0"/>
  </x:cellStyleXfs>
  <x:cellXfs count="391">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1" xfId="0" applyNumberFormat="1" applyFont="1" applyFill="1" applyBorder="1" applyAlignment="1">
      <x:alignment wrapText="1"/>
    </x:xf>
    <x:xf numFmtId="0" fontId="1" fillId="0" borderId="2"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1" fillId="3" borderId="2"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5" fillId="2" borderId="1" xfId="0" applyNumberFormat="1" applyFont="1" applyFill="1" applyBorder="1" applyAlignment="1">
      <x:alignment horizontal="center" vertical="top" wrapText="1"/>
    </x:xf>
    <x:xf numFmtId="0" fontId="5" fillId="2" borderId="1" xfId="0" applyNumberFormat="1" applyFont="1" applyFill="1" applyBorder="1" applyAlignment="1">
      <x:alignment horizontal="center" vertical="center" wrapText="1"/>
    </x:xf>
    <x:xf numFmtId="0" fontId="4" fillId="4" borderId="2"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0" fontId="2" fillId="5" borderId="1" xfId="0" applyNumberFormat="1" applyFont="1" applyFill="1" applyBorder="1" applyAlignment="1">
      <x:alignment vertical="center" wrapText="1"/>
    </x:xf>
    <x:xf numFmtId="0" fontId="3" fillId="6" borderId="2" xfId="0" applyNumberFormat="1" applyFont="1" applyFill="1" applyBorder="1" applyAlignment="1">
      <x:alignment vertical="top" wrapText="1"/>
    </x:xf>
    <x:xf numFmtId="0" fontId="1" fillId="6" borderId="2" xfId="0" applyNumberFormat="1" applyFont="1" applyFill="1" applyBorder="1" applyAlignment="1">
      <x:alignment vertical="top" wrapText="1"/>
    </x:xf>
    <x:xf numFmtId="0" fontId="0" fillId="6" borderId="0" xfId="0" applyNumberFormat="1" applyFont="1" applyFill="1" applyBorder="1"/>
    <x:xf numFmtId="0" fontId="6" fillId="6" borderId="2" xfId="0" applyNumberFormat="1" applyFont="1" applyFill="1" applyBorder="1" applyAlignment="1">
      <x:alignment vertical="top" wrapText="1"/>
    </x:xf>
    <x:xf numFmtId="0" fontId="7" fillId="6" borderId="2" xfId="0" applyNumberFormat="1" applyFont="1" applyFill="1" applyBorder="1" applyAlignment="1">
      <x:alignment vertical="top" wrapText="1"/>
    </x:xf>
    <x:xf numFmtId="0" fontId="8" fillId="6" borderId="0" xfId="0" applyNumberFormat="1" applyFont="1" applyFill="1" applyBorder="1"/>
    <x:xf numFmtId="0" fontId="6" fillId="6" borderId="3"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6" fillId="6" borderId="5" xfId="0" applyNumberFormat="1" applyFont="1" applyFill="1" applyBorder="1" applyAlignment="1">
      <x:alignment vertical="top" wrapText="1"/>
    </x:xf>
    <x:xf numFmtId="0" fontId="7" fillId="6" borderId="6" xfId="0" applyNumberFormat="1" applyFont="1" applyFill="1" applyBorder="1" applyAlignment="1">
      <x:alignment vertical="top" wrapText="1"/>
    </x:xf>
    <x:xf numFmtId="0" fontId="8" fillId="6" borderId="7" xfId="0" applyNumberFormat="1" applyFont="1" applyFill="1" applyBorder="1"/>
    <x:xf numFmtId="0" fontId="8" fillId="6" borderId="8" xfId="0" applyNumberFormat="1" applyFont="1" applyFill="1" applyBorder="1"/>
    <x:xf numFmtId="0" fontId="8" fillId="6" borderId="9" xfId="0" applyNumberFormat="1" applyFont="1" applyFill="1" applyBorder="1"/>
    <x:xf numFmtId="0" fontId="8" fillId="6" borderId="10" xfId="0" applyNumberFormat="1" applyFont="1" applyFill="1" applyBorder="1"/>
    <x:xf numFmtId="0" fontId="8" fillId="6" borderId="7" xfId="0" applyNumberFormat="1" applyFont="1" applyFill="1" applyBorder="1" applyAlignment="1">
      <x:alignment wrapText="1"/>
    </x:xf>
    <x:xf numFmtId="0" fontId="8" fillId="6" borderId="8" xfId="0" applyNumberFormat="1" applyFont="1" applyFill="1" applyBorder="1" applyAlignment="1">
      <x:alignment wrapText="1"/>
    </x:xf>
    <x:xf numFmtId="0" fontId="8" fillId="6" borderId="9" xfId="0" applyNumberFormat="1" applyFont="1" applyFill="1" applyBorder="1" applyAlignment="1">
      <x:alignment wrapText="1"/>
    </x:xf>
    <x:xf numFmtId="0" fontId="8" fillId="6" borderId="10" xfId="0" applyNumberFormat="1" applyFont="1" applyFill="1" applyBorder="1" applyAlignment="1">
      <x:alignment wrapText="1"/>
    </x:xf>
    <x:xf numFmtId="0" fontId="8" fillId="6" borderId="7" xfId="0" applyNumberFormat="1" applyFont="1" applyFill="1" applyBorder="1" applyAlignment="1">
      <x:alignment vertical="top" wrapText="1"/>
    </x:xf>
    <x:xf numFmtId="0" fontId="8" fillId="6" borderId="8" xfId="0" applyNumberFormat="1" applyFont="1" applyFill="1" applyBorder="1" applyAlignment="1">
      <x:alignment vertical="top" wrapText="1"/>
    </x:xf>
    <x:xf numFmtId="0" fontId="8" fillId="6" borderId="9" xfId="0" applyNumberFormat="1" applyFont="1" applyFill="1" applyBorder="1" applyAlignment="1">
      <x:alignment vertical="top" wrapText="1"/>
    </x:xf>
    <x:xf numFmtId="0" fontId="8" fillId="6" borderId="10" xfId="0" applyNumberFormat="1" applyFont="1" applyFill="1" applyBorder="1" applyAlignment="1">
      <x:alignment vertical="top" wrapText="1"/>
    </x:xf>
    <x:xf numFmtId="0" fontId="6" fillId="7" borderId="3" xfId="0" applyNumberFormat="1" applyFont="1" applyFill="1" applyBorder="1" applyAlignment="1">
      <x:alignment vertical="top" wrapText="1"/>
    </x:xf>
    <x:xf numFmtId="0" fontId="6" fillId="7" borderId="5"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8" fillId="7" borderId="9" xfId="0" applyNumberFormat="1" applyFont="1" applyFill="1" applyBorder="1" applyAlignment="1">
      <x:alignment vertical="top" wrapText="1"/>
    </x:xf>
    <x:xf numFmtId="0" fontId="9" fillId="7" borderId="3" xfId="0" applyNumberFormat="1" applyFont="1" applyFill="1" applyBorder="1" applyAlignment="1">
      <x:alignment vertical="top" wrapText="1"/>
    </x:xf>
    <x:xf numFmtId="0" fontId="9" fillId="7" borderId="5" xfId="0" applyNumberFormat="1" applyFont="1" applyFill="1" applyBorder="1" applyAlignment="1">
      <x:alignment vertical="top" wrapText="1"/>
    </x:xf>
    <x:xf numFmtId="0" fontId="10" fillId="7" borderId="7" xfId="0" applyNumberFormat="1" applyFont="1" applyFill="1" applyBorder="1" applyAlignment="1">
      <x:alignment vertical="top" wrapText="1"/>
    </x:xf>
    <x:xf numFmtId="0" fontId="10" fillId="7" borderId="9" xfId="0" applyNumberFormat="1" applyFont="1" applyFill="1" applyBorder="1" applyAlignment="1">
      <x:alignment vertical="top" wrapText="1"/>
    </x:xf>
    <x:xf numFmtId="0" fontId="9" fillId="7" borderId="11" xfId="0" applyNumberFormat="1" applyFont="1" applyFill="1" applyBorder="1" applyAlignment="1">
      <x:alignment vertical="top" wrapText="1"/>
    </x:xf>
    <x:xf numFmtId="0" fontId="9" fillId="7" borderId="12" xfId="0" applyNumberFormat="1" applyFont="1" applyFill="1" applyBorder="1" applyAlignment="1">
      <x:alignment vertical="top" wrapText="1"/>
    </x:xf>
    <x:xf numFmtId="0" fontId="10" fillId="7" borderId="13" xfId="0" applyNumberFormat="1" applyFont="1" applyFill="1" applyBorder="1" applyAlignment="1">
      <x:alignment vertical="top" wrapText="1"/>
    </x:xf>
    <x:xf numFmtId="0" fontId="10" fillId="7" borderId="14" xfId="0" applyNumberFormat="1" applyFont="1" applyFill="1" applyBorder="1" applyAlignment="1">
      <x:alignment vertical="top" wrapText="1"/>
    </x:xf>
    <x:xf numFmtId="0" fontId="9" fillId="8" borderId="12" xfId="0" applyNumberFormat="1" applyFont="1" applyFill="1" applyBorder="1" applyAlignment="1">
      <x:alignment vertical="top" wrapText="1"/>
    </x:xf>
    <x:xf numFmtId="0" fontId="7" fillId="8" borderId="6" xfId="0" applyNumberFormat="1" applyFont="1" applyFill="1" applyBorder="1" applyAlignment="1">
      <x:alignment vertical="top" wrapText="1"/>
    </x:xf>
    <x:xf numFmtId="0" fontId="9" fillId="9" borderId="12" xfId="0" applyNumberFormat="1" applyFont="1" applyFill="1" applyBorder="1" applyAlignment="1">
      <x:alignment vertical="top" wrapText="1"/>
    </x:xf>
    <x:xf numFmtId="0" fontId="7" fillId="9" borderId="6" xfId="0" applyNumberFormat="1" applyFont="1" applyFill="1" applyBorder="1" applyAlignment="1">
      <x:alignment vertical="top" wrapText="1"/>
    </x:xf>
    <x:xf numFmtId="0" fontId="10" fillId="9" borderId="13" xfId="0" applyNumberFormat="1" applyFont="1" applyFill="1" applyBorder="1" applyAlignment="1">
      <x:alignment vertical="top" wrapText="1"/>
    </x:xf>
    <x:xf numFmtId="0" fontId="8" fillId="9" borderId="8" xfId="0" applyNumberFormat="1" applyFont="1" applyFill="1" applyBorder="1" applyAlignment="1">
      <x:alignment vertical="top" wrapText="1"/>
    </x:xf>
    <x:xf numFmtId="0" fontId="10" fillId="10" borderId="13" xfId="0" applyNumberFormat="1" applyFont="1" applyFill="1" applyBorder="1" applyAlignment="1">
      <x:alignment vertical="top" wrapText="1"/>
    </x:xf>
    <x:xf numFmtId="0" fontId="8" fillId="10" borderId="8" xfId="0" applyNumberFormat="1" applyFont="1" applyFill="1" applyBorder="1" applyAlignment="1">
      <x:alignment vertical="top" wrapText="1"/>
    </x:xf>
    <x:xf numFmtId="0" fontId="5" fillId="11" borderId="1" xfId="0" applyNumberFormat="1" applyFont="1" applyFill="1" applyBorder="1" applyAlignment="1">
      <x:alignment horizontal="center" vertical="center" wrapText="1"/>
    </x:xf>
    <x:xf numFmtId="0" fontId="5" fillId="11" borderId="15" xfId="0" applyNumberFormat="1" applyFont="1" applyFill="1" applyBorder="1" applyAlignment="1">
      <x:alignment horizontal="center" vertical="center" wrapText="1"/>
    </x:xf>
    <x:xf numFmtId="0" fontId="5" fillId="11" borderId="16" xfId="0" applyNumberFormat="1" applyFont="1" applyFill="1" applyBorder="1" applyAlignment="1">
      <x:alignment horizontal="center" vertical="center" wrapText="1"/>
    </x:xf>
    <x:xf numFmtId="0" fontId="5" fillId="11" borderId="17" xfId="0" applyNumberFormat="1" applyFont="1" applyFill="1" applyBorder="1" applyAlignment="1">
      <x:alignment horizontal="center" vertical="center" wrapText="1"/>
    </x:xf>
    <x:xf numFmtId="0" fontId="4" fillId="6" borderId="2" xfId="0" applyNumberFormat="1" applyFont="1" applyFill="1" applyBorder="1" applyAlignment="1">
      <x:alignment vertical="top" wrapText="1"/>
    </x:xf>
    <x:xf numFmtId="0" fontId="7" fillId="6" borderId="3" xfId="0" applyNumberFormat="1" applyFont="1" applyFill="1" applyBorder="1" applyAlignment="1">
      <x:alignment vertical="top" wrapText="1"/>
    </x:xf>
    <x:xf numFmtId="0" fontId="7" fillId="6" borderId="18" xfId="0" applyNumberFormat="1" applyFont="1" applyFill="1" applyBorder="1" applyAlignment="1">
      <x:alignment vertical="top" wrapText="1"/>
    </x:xf>
    <x:xf numFmtId="0" fontId="7" fillId="6" borderId="5" xfId="0" applyNumberFormat="1" applyFont="1" applyFill="1" applyBorder="1" applyAlignment="1">
      <x:alignment vertical="top" wrapText="1"/>
    </x:xf>
    <x:xf numFmtId="0" fontId="8" fillId="6" xfId="0" applyNumberFormat="1" applyFont="1" applyFill="1" applyBorder="0"/>
    <x:xf numFmtId="0" fontId="8" fillId="6" borderId="19" xfId="0" applyNumberFormat="1" applyFont="1" applyFill="1" applyBorder="1"/>
    <x:xf numFmtId="0" fontId="8" fillId="6" xfId="0" applyNumberFormat="1" applyFont="1" applyFill="1" applyBorder="0" applyAlignment="1">
      <x:alignment wrapText="1"/>
    </x:xf>
    <x:xf numFmtId="0" fontId="8" fillId="6" borderId="19" xfId="0" applyNumberFormat="1" applyFont="1" applyFill="1" applyBorder="1" applyAlignment="1">
      <x:alignment wrapText="1"/>
    </x:xf>
    <x:xf numFmtId="0" fontId="8" fillId="6" xfId="0" applyNumberFormat="1" applyFont="1" applyFill="1" applyBorder="0" applyAlignment="1">
      <x:alignment vertical="top" wrapText="1"/>
    </x:xf>
    <x:xf numFmtId="0" fontId="8" fillId="6" borderId="19" xfId="0" applyNumberFormat="1" applyFont="1" applyFill="1" applyBorder="1" applyAlignment="1">
      <x:alignment vertical="top" wrapText="1"/>
    </x:xf>
    <x:xf numFmtId="0" fontId="7" fillId="12" borderId="3" xfId="0" applyNumberFormat="1" applyFont="1" applyFill="1" applyBorder="1" applyAlignment="1">
      <x:alignment vertical="top" wrapText="1"/>
    </x:xf>
    <x:xf numFmtId="0" fontId="7" fillId="12" borderId="18" xfId="0" applyNumberFormat="1" applyFont="1" applyFill="1" applyBorder="1" applyAlignment="1">
      <x:alignment vertical="top" wrapText="1"/>
    </x:xf>
    <x:xf numFmtId="0" fontId="7" fillId="12" borderId="4" xfId="0" applyNumberFormat="1" applyFont="1" applyFill="1" applyBorder="1" applyAlignment="1">
      <x:alignment vertical="top" wrapText="1"/>
    </x:xf>
    <x:xf numFmtId="0" fontId="7" fillId="12" borderId="5" xfId="0" applyNumberFormat="1" applyFont="1" applyFill="1" applyBorder="1" applyAlignment="1">
      <x:alignment vertical="top" wrapText="1"/>
    </x:xf>
    <x:xf numFmtId="0" fontId="7" fillId="12" borderId="2" xfId="0" applyNumberFormat="1" applyFont="1" applyFill="1" applyBorder="1" applyAlignment="1">
      <x:alignment vertical="top" wrapText="1"/>
    </x:xf>
    <x:xf numFmtId="0" fontId="7" fillId="12"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8" fillId="8" xfId="0" applyNumberFormat="1" applyFont="1" applyFill="1" applyBorder="0" applyAlignment="1">
      <x:alignment vertical="top" wrapText="1"/>
    </x:xf>
    <x:xf numFmtId="0" fontId="8" fillId="8" borderId="8" xfId="0" applyNumberFormat="1" applyFont="1" applyFill="1" applyBorder="1" applyAlignment="1">
      <x:alignment vertical="top" wrapText="1"/>
    </x:xf>
    <x:xf numFmtId="0" fontId="8" fillId="12" borderId="7" xfId="0" applyNumberFormat="1" applyFont="1" applyFill="1" applyBorder="1" applyAlignment="1">
      <x:alignment vertical="top" wrapText="1"/>
    </x:xf>
    <x:xf numFmtId="0" fontId="8" fillId="12" xfId="0" applyNumberFormat="1" applyFont="1" applyFill="1" applyBorder="0" applyAlignment="1">
      <x:alignment vertical="top" wrapText="1"/>
    </x:xf>
    <x:xf numFmtId="0" fontId="8" fillId="12"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0" fillId="13" borderId="0" xfId="0" applyNumberFormat="1" applyFont="1" applyFill="1" applyBorder="1"/>
    <x:xf numFmtId="0" fontId="11" fillId="13" borderId="0" xfId="0" applyNumberFormat="1" applyFont="1" applyFill="1" applyBorder="1"/>
    <x:xf numFmtId="0" fontId="11" fillId="13" borderId="15" xfId="0" applyNumberFormat="1" applyFont="1" applyFill="1" applyBorder="1"/>
    <x:xf numFmtId="0" fontId="11" fillId="13" borderId="16" xfId="0" applyNumberFormat="1" applyFont="1" applyFill="1" applyBorder="1"/>
    <x:xf numFmtId="0" fontId="11" fillId="13" borderId="17" xfId="0" applyNumberFormat="1" applyFont="1" applyFill="1" applyBorder="1"/>
    <x:xf numFmtId="0" fontId="11" fillId="13" borderId="15" xfId="0" applyNumberFormat="1" applyFont="1" applyFill="1" applyBorder="1" applyAlignment="1">
      <x:alignment wrapText="1"/>
    </x:xf>
    <x:xf numFmtId="0" fontId="11" fillId="13" borderId="16" xfId="0" applyNumberFormat="1" applyFont="1" applyFill="1" applyBorder="1" applyAlignment="1">
      <x:alignment wrapText="1"/>
    </x:xf>
    <x:xf numFmtId="0" fontId="11" fillId="13" borderId="17" xfId="0" applyNumberFormat="1" applyFont="1" applyFill="1" applyBorder="1" applyAlignment="1">
      <x:alignment wrapText="1"/>
    </x:xf>
    <x:xf numFmtId="0" fontId="11" fillId="13" borderId="15" xfId="0" applyNumberFormat="1" applyFont="1" applyFill="1" applyBorder="1" applyAlignment="1">
      <x:alignment horizontal="center" wrapText="1"/>
    </x:xf>
    <x:xf numFmtId="0" fontId="11" fillId="13" borderId="16" xfId="0" applyNumberFormat="1" applyFont="1" applyFill="1" applyBorder="1" applyAlignment="1">
      <x:alignment horizontal="center" wrapText="1"/>
    </x:xf>
    <x:xf numFmtId="0" fontId="11" fillId="13" borderId="17" xfId="0" applyNumberFormat="1" applyFont="1" applyFill="1" applyBorder="1" applyAlignment="1">
      <x:alignment horizontal="center" wrapText="1"/>
    </x:xf>
    <x:xf numFmtId="0" fontId="11" fillId="13" borderId="15" xfId="0" applyNumberFormat="1" applyFont="1" applyFill="1" applyBorder="1" applyAlignment="1">
      <x:alignment horizontal="center" vertical="center" wrapText="1"/>
    </x:xf>
    <x:xf numFmtId="0" fontId="11" fillId="13" borderId="16" xfId="0" applyNumberFormat="1" applyFont="1" applyFill="1" applyBorder="1" applyAlignment="1">
      <x:alignment horizontal="center" vertical="center" wrapText="1"/>
    </x:xf>
    <x:xf numFmtId="0" fontId="11" fillId="13" borderId="17" xfId="0" applyNumberFormat="1" applyFont="1" applyFill="1" applyBorder="1" applyAlignment="1">
      <x:alignment horizontal="center" vertical="center" wrapText="1"/>
    </x:xf>
    <x:xf numFmtId="0" fontId="8" fillId="6" borderId="20" xfId="0" applyNumberFormat="1" applyFont="1" applyFill="1" applyBorder="1"/>
    <x:xf numFmtId="0" fontId="8" fillId="6" borderId="21" xfId="0" applyNumberFormat="1" applyFont="1" applyFill="1" applyBorder="1"/>
    <x:xf numFmtId="0" fontId="8" fillId="6" borderId="22" xfId="0" applyNumberFormat="1" applyFont="1" applyFill="1" applyBorder="1"/>
    <x:xf numFmtId="0" fontId="8" fillId="6" borderId="20" xfId="0" applyNumberFormat="1" applyFont="1" applyFill="1" applyBorder="1" applyAlignment="1">
      <x:alignment wrapText="1"/>
    </x:xf>
    <x:xf numFmtId="0" fontId="8" fillId="6" borderId="21" xfId="0" applyNumberFormat="1" applyFont="1" applyFill="1" applyBorder="1" applyAlignment="1">
      <x:alignment wrapText="1"/>
    </x:xf>
    <x:xf numFmtId="0" fontId="8" fillId="6" borderId="22" xfId="0" applyNumberFormat="1" applyFont="1" applyFill="1" applyBorder="1" applyAlignment="1">
      <x:alignment wrapText="1"/>
    </x:xf>
    <x:xf numFmtId="0" fontId="8" fillId="6" borderId="20" xfId="0" applyNumberFormat="1" applyFont="1" applyFill="1" applyBorder="1" applyAlignment="1">
      <x:alignment vertical="top" wrapText="1"/>
    </x:xf>
    <x:xf numFmtId="0" fontId="8" fillId="6" borderId="21" xfId="0" applyNumberFormat="1" applyFont="1" applyFill="1" applyBorder="1" applyAlignment="1">
      <x:alignment vertical="top" wrapText="1"/>
    </x:xf>
    <x:xf numFmtId="0" fontId="8" fillId="6" borderId="22" xfId="0" applyNumberFormat="1" applyFont="1" applyFill="1" applyBorder="1" applyAlignment="1">
      <x:alignment vertical="top" wrapText="1"/>
    </x:xf>
    <x:xf numFmtId="0" fontId="8" fillId="14" borderId="20" xfId="0" applyNumberFormat="1" applyFont="1" applyFill="1" applyBorder="1" applyAlignment="1">
      <x:alignment vertical="top" wrapText="1"/>
    </x:xf>
    <x:xf numFmtId="0" fontId="8" fillId="14" borderId="21" xfId="0" applyNumberFormat="1" applyFont="1" applyFill="1" applyBorder="1" applyAlignment="1">
      <x:alignment vertical="top" wrapText="1"/>
    </x:xf>
    <x:xf numFmtId="0" fontId="8" fillId="14" borderId="22" xfId="0" applyNumberFormat="1" applyFont="1" applyFill="1" applyBorder="1" applyAlignment="1">
      <x:alignment vertical="top" wrapText="1"/>
    </x:xf>
    <x:xf numFmtId="0" fontId="8" fillId="14" borderId="7" xfId="0" applyNumberFormat="1" applyFont="1" applyFill="1" applyBorder="1" applyAlignment="1">
      <x:alignment vertical="top" wrapText="1"/>
    </x:xf>
    <x:xf numFmtId="0" fontId="8" fillId="14" xfId="0" applyNumberFormat="1" applyFont="1" applyFill="1" applyBorder="0" applyAlignment="1">
      <x:alignment vertical="top" wrapText="1"/>
    </x:xf>
    <x:xf numFmtId="0" fontId="8" fillId="14" borderId="8" xfId="0" applyNumberFormat="1" applyFont="1" applyFill="1" applyBorder="1" applyAlignment="1">
      <x:alignment vertical="top" wrapText="1"/>
    </x:xf>
    <x:xf numFmtId="0" fontId="8" fillId="14" borderId="9" xfId="0" applyNumberFormat="1" applyFont="1" applyFill="1" applyBorder="1" applyAlignment="1">
      <x:alignment vertical="top" wrapText="1"/>
    </x:xf>
    <x:xf numFmtId="0" fontId="8" fillId="14" borderId="19" xfId="0" applyNumberFormat="1" applyFont="1" applyFill="1" applyBorder="1" applyAlignment="1">
      <x:alignment vertical="top" wrapText="1"/>
    </x:xf>
    <x:xf numFmtId="0" fontId="8" fillId="14" borderId="10" xfId="0" applyNumberFormat="1" applyFont="1" applyFill="1" applyBorder="1" applyAlignment="1">
      <x:alignment vertical="top" wrapText="1"/>
    </x:xf>
    <x:xf numFmtId="0" fontId="8" fillId="10" borderId="20" xfId="0" applyNumberFormat="1" applyFont="1" applyFill="1" applyBorder="1" applyAlignment="1">
      <x:alignment vertical="top" wrapText="1"/>
    </x:xf>
    <x:xf numFmtId="0" fontId="8" fillId="10" borderId="21" xfId="0" applyNumberFormat="1" applyFont="1" applyFill="1" applyBorder="1" applyAlignment="1">
      <x:alignment vertical="top" wrapText="1"/>
    </x:xf>
    <x:xf numFmtId="0" fontId="8" fillId="10" borderId="22" xfId="0" applyNumberFormat="1" applyFont="1" applyFill="1" applyBorder="1" applyAlignment="1">
      <x:alignment vertical="top" wrapText="1"/>
    </x:xf>
    <x:xf numFmtId="0" fontId="8" fillId="10" borderId="7" xfId="0" applyNumberFormat="1" applyFont="1" applyFill="1" applyBorder="1" applyAlignment="1">
      <x:alignment vertical="top" wrapText="1"/>
    </x:xf>
    <x:xf numFmtId="0" fontId="8" fillId="10" xfId="0" applyNumberFormat="1" applyFont="1" applyFill="1" applyBorder="0" applyAlignment="1">
      <x:alignment vertical="top" wrapText="1"/>
    </x:xf>
    <x:xf numFmtId="0" fontId="8" fillId="10" borderId="9" xfId="0" applyNumberFormat="1" applyFont="1" applyFill="1" applyBorder="1" applyAlignment="1">
      <x:alignment vertical="top" wrapText="1"/>
    </x:xf>
    <x:xf numFmtId="0" fontId="8" fillId="10" borderId="19" xfId="0" applyNumberFormat="1" applyFont="1" applyFill="1" applyBorder="1" applyAlignment="1">
      <x:alignment vertical="top" wrapText="1"/>
    </x:xf>
    <x:xf numFmtId="0" fontId="8" fillId="10" borderId="10" xfId="0" applyNumberFormat="1" applyFont="1" applyFill="1" applyBorder="1" applyAlignment="1">
      <x:alignment vertical="top" wrapText="1"/>
    </x:xf>
    <x:xf numFmtId="0" fontId="0" fillId="5" borderId="0" xfId="0" applyNumberFormat="1" applyFont="1" applyFill="1" applyBorder="1"/>
    <x:xf numFmtId="0" fontId="11" fillId="5" borderId="0" xfId="0" applyNumberFormat="1" applyFont="1" applyFill="1" applyBorder="1"/>
    <x:xf numFmtId="0" fontId="11" fillId="5" borderId="15" xfId="0" applyNumberFormat="1" applyFont="1" applyFill="1" applyBorder="1"/>
    <x:xf numFmtId="0" fontId="11" fillId="5" borderId="16" xfId="0" applyNumberFormat="1" applyFont="1" applyFill="1" applyBorder="1"/>
    <x:xf numFmtId="0" fontId="11" fillId="5" borderId="17" xfId="0" applyNumberFormat="1" applyFont="1" applyFill="1" applyBorder="1"/>
    <x:xf numFmtId="0" fontId="11" fillId="5" borderId="15" xfId="0" applyNumberFormat="1" applyFont="1" applyFill="1" applyBorder="1" applyAlignment="1">
      <x:alignment wrapText="1"/>
    </x:xf>
    <x:xf numFmtId="0" fontId="11" fillId="5" borderId="16" xfId="0" applyNumberFormat="1" applyFont="1" applyFill="1" applyBorder="1" applyAlignment="1">
      <x:alignment wrapText="1"/>
    </x:xf>
    <x:xf numFmtId="0" fontId="11" fillId="5" borderId="17" xfId="0" applyNumberFormat="1" applyFont="1" applyFill="1" applyBorder="1" applyAlignment="1">
      <x:alignment wrapText="1"/>
    </x:xf>
    <x:xf numFmtId="0" fontId="11" fillId="5" borderId="15" xfId="0" applyNumberFormat="1" applyFont="1" applyFill="1" applyBorder="1" applyAlignment="1">
      <x:alignment horizontal="center" wrapText="1"/>
    </x:xf>
    <x:xf numFmtId="0" fontId="11" fillId="5" borderId="16" xfId="0" applyNumberFormat="1" applyFont="1" applyFill="1" applyBorder="1" applyAlignment="1">
      <x:alignment horizontal="center" wrapText="1"/>
    </x:xf>
    <x:xf numFmtId="0" fontId="11" fillId="5" borderId="17" xfId="0" applyNumberFormat="1" applyFont="1" applyFill="1" applyBorder="1" applyAlignment="1">
      <x:alignment horizontal="center" wrapText="1"/>
    </x:xf>
    <x:xf numFmtId="0" fontId="11" fillId="5" borderId="15" xfId="0" applyNumberFormat="1" applyFont="1" applyFill="1" applyBorder="1" applyAlignment="1">
      <x:alignment horizontal="center" vertical="center" wrapText="1"/>
    </x:xf>
    <x:xf numFmtId="0" fontId="11" fillId="5" borderId="16" xfId="0" applyNumberFormat="1" applyFont="1" applyFill="1" applyBorder="1" applyAlignment="1">
      <x:alignment horizontal="center" vertical="center" wrapText="1"/>
    </x:xf>
    <x:xf numFmtId="0" fontId="11" fillId="5" borderId="17" xfId="0" applyNumberFormat="1" applyFont="1" applyFill="1" applyBorder="1" applyAlignment="1">
      <x:alignment horizontal="center" vertical="center" wrapText="1"/>
    </x:xf>
    <x:xf numFmtId="0" fontId="8" fillId="7" borderId="20" xfId="0" applyNumberFormat="1" applyFont="1" applyFill="1" applyBorder="1" applyAlignment="1">
      <x:alignment vertical="top" wrapText="1"/>
    </x:xf>
    <x:xf numFmtId="0" fontId="8" fillId="7" borderId="21" xfId="0" applyNumberFormat="1" applyFont="1" applyFill="1" applyBorder="1" applyAlignment="1">
      <x:alignment vertical="top" wrapText="1"/>
    </x:xf>
    <x:xf numFmtId="0" fontId="8" fillId="7" borderId="22" xfId="0" applyNumberFormat="1" applyFont="1" applyFill="1" applyBorder="1" applyAlignment="1">
      <x:alignment vertical="top" wrapText="1"/>
    </x:xf>
    <x:xf numFmtId="0" fontId="8" fillId="7" xfId="0" applyNumberFormat="1" applyFont="1" applyFill="1" applyBorder="0" applyAlignment="1">
      <x:alignment vertical="top" wrapText="1"/>
    </x:xf>
    <x:xf numFmtId="0" fontId="8" fillId="7" borderId="8"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8" fillId="7" borderId="10" xfId="0" applyNumberFormat="1" applyFont="1" applyFill="1" applyBorder="1" applyAlignment="1">
      <x:alignment vertical="top" wrapText="1"/>
    </x:xf>
    <x:xf numFmtId="0" fontId="8" fillId="9" borderId="7" xfId="0" applyNumberFormat="1" applyFont="1" applyFill="1" applyBorder="1" applyAlignment="1">
      <x:alignment vertical="top" wrapText="1"/>
    </x:xf>
    <x:xf numFmtId="0" fontId="8" fillId="9" xfId="0" applyNumberFormat="1" applyFont="1" applyFill="1" applyBorder="0" applyAlignment="1">
      <x:alignment vertical="top" wrapText="1"/>
    </x:xf>
    <x:xf numFmtId="0" fontId="8" fillId="9" borderId="9" xfId="0" applyNumberFormat="1" applyFont="1" applyFill="1" applyBorder="1" applyAlignment="1">
      <x:alignment vertical="top" wrapText="1"/>
    </x:xf>
    <x:xf numFmtId="0" fontId="8" fillId="9" borderId="19" xfId="0" applyNumberFormat="1" applyFont="1" applyFill="1" applyBorder="1" applyAlignment="1">
      <x:alignment vertical="top" wrapText="1"/>
    </x:xf>
    <x:xf numFmtId="0" fontId="8" fillId="9" borderId="10" xfId="0" applyNumberFormat="1" applyFont="1" applyFill="1" applyBorder="1" applyAlignment="1">
      <x:alignment vertical="top" wrapText="1"/>
    </x:xf>
    <x:xf numFmtId="0" fontId="12" fillId="5" borderId="0" xfId="0" applyNumberFormat="1" applyFont="1" applyFill="1" applyBorder="1"/>
    <x:xf numFmtId="0" fontId="12" fillId="5" borderId="0" xfId="0" applyNumberFormat="1" applyFont="1" applyFill="1" applyBorder="1" applyAlignment="1">
      <x:alignment vertical="center"/>
    </x:xf>
    <x:xf numFmtId="201" fontId="8" fillId="10" xfId="0" applyNumberFormat="1" applyFont="1" applyFill="1" applyBorder="0" applyAlignment="1">
      <x:alignment vertical="top" wrapText="1"/>
    </x:xf>
    <x:xf numFmtId="201" fontId="8" fillId="6" xfId="0" applyNumberFormat="1" applyFont="1" applyFill="1" applyBorder="0" applyAlignment="1">
      <x:alignment vertical="top" wrapText="1"/>
    </x:xf>
    <x:xf numFmtId="0" fontId="0" fillId="11" borderId="0" xfId="0" applyNumberFormat="1" applyFont="1" applyFill="1" applyBorder="1"/>
    <x:xf numFmtId="0" fontId="11" fillId="11" borderId="0" xfId="0" applyNumberFormat="1" applyFont="1" applyFill="1" applyBorder="1"/>
    <x:xf numFmtId="0" fontId="11" fillId="11" borderId="15" xfId="0" applyNumberFormat="1" applyFont="1" applyFill="1" applyBorder="1"/>
    <x:xf numFmtId="0" fontId="11" fillId="11" borderId="16" xfId="0" applyNumberFormat="1" applyFont="1" applyFill="1" applyBorder="1"/>
    <x:xf numFmtId="0" fontId="11" fillId="11" borderId="17" xfId="0" applyNumberFormat="1" applyFont="1" applyFill="1" applyBorder="1"/>
    <x:xf numFmtId="0" fontId="11" fillId="11" borderId="15" xfId="0" applyNumberFormat="1" applyFont="1" applyFill="1" applyBorder="1" applyAlignment="1">
      <x:alignment wrapText="1"/>
    </x:xf>
    <x:xf numFmtId="0" fontId="11" fillId="11" borderId="16" xfId="0" applyNumberFormat="1" applyFont="1" applyFill="1" applyBorder="1" applyAlignment="1">
      <x:alignment wrapText="1"/>
    </x:xf>
    <x:xf numFmtId="0" fontId="11" fillId="11" borderId="17" xfId="0" applyNumberFormat="1" applyFont="1" applyFill="1" applyBorder="1" applyAlignment="1">
      <x:alignment wrapText="1"/>
    </x:xf>
    <x:xf numFmtId="0" fontId="11" fillId="11" borderId="15" xfId="0" applyNumberFormat="1" applyFont="1" applyFill="1" applyBorder="1" applyAlignment="1">
      <x:alignment horizontal="center" wrapText="1"/>
    </x:xf>
    <x:xf numFmtId="0" fontId="11" fillId="11" borderId="16" xfId="0" applyNumberFormat="1" applyFont="1" applyFill="1" applyBorder="1" applyAlignment="1">
      <x:alignment horizontal="center" wrapText="1"/>
    </x:xf>
    <x:xf numFmtId="0" fontId="11" fillId="11" borderId="17" xfId="0" applyNumberFormat="1" applyFont="1" applyFill="1" applyBorder="1" applyAlignment="1">
      <x:alignment horizontal="center" wrapText="1"/>
    </x:xf>
    <x:xf numFmtId="0" fontId="11" fillId="11" borderId="15" xfId="0" applyNumberFormat="1" applyFont="1" applyFill="1" applyBorder="1" applyAlignment="1">
      <x:alignment horizontal="center" vertical="center" wrapText="1"/>
    </x:xf>
    <x:xf numFmtId="0" fontId="11" fillId="11" borderId="16" xfId="0" applyNumberFormat="1" applyFont="1" applyFill="1" applyBorder="1" applyAlignment="1">
      <x:alignment horizontal="center" vertical="center" wrapText="1"/>
    </x:xf>
    <x:xf numFmtId="0" fontId="11" fillId="11" borderId="17" xfId="0" applyNumberFormat="1" applyFont="1" applyFill="1" applyBorder="1" applyAlignment="1">
      <x:alignment horizontal="center" vertical="center" wrapText="1"/>
    </x:xf>
    <x:xf numFmtId="0" fontId="8" fillId="15" borderId="7"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8" xfId="0" applyNumberFormat="1" applyFont="1" applyFill="1" applyBorder="1" applyAlignment="1">
      <x:alignment vertical="top" wrapText="1"/>
    </x:xf>
    <x:xf numFmtId="0" fontId="8" fillId="16" borderId="7"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8" xfId="0" applyNumberFormat="1" applyFont="1" applyFill="1" applyBorder="1" applyAlignment="1">
      <x:alignment vertical="top" wrapText="1"/>
    </x:xf>
    <x:xf numFmtId="0" fontId="8" fillId="15" borderId="9" xfId="0" applyNumberFormat="1" applyFont="1" applyFill="1" applyBorder="1" applyAlignment="1">
      <x:alignment vertical="top" wrapText="1"/>
    </x:xf>
    <x:xf numFmtId="0" fontId="8" fillId="15" borderId="19" xfId="0" applyNumberFormat="1" applyFont="1" applyFill="1" applyBorder="1" applyAlignment="1">
      <x:alignment vertical="top" wrapText="1"/>
    </x:xf>
    <x:xf numFmtId="0" fontId="8" fillId="15" borderId="10" xfId="0" applyNumberFormat="1" applyFont="1" applyFill="1" applyBorder="1" applyAlignment="1">
      <x:alignment vertical="top" wrapText="1"/>
    </x:xf>
    <x:xf numFmtId="0" fontId="13" fillId="7" borderId="21" xfId="0" applyNumberFormat="1" applyFont="1" applyFill="1" applyBorder="1" applyAlignment="1">
      <x:alignment vertical="top" wrapText="1"/>
    </x:xf>
    <x:xf numFmtId="0" fontId="13" fillId="6" xfId="0" applyNumberFormat="1" applyFont="1" applyFill="1" applyBorder="0" applyAlignment="1">
      <x:alignment vertical="top" wrapText="1"/>
    </x:xf>
    <x:xf numFmtId="0" fontId="13" fillId="7" xfId="0" applyNumberFormat="1" applyFont="1" applyFill="1" applyBorder="0" applyAlignment="1">
      <x:alignment vertical="top" wrapText="1"/>
    </x:xf>
    <x:xf numFmtId="0" fontId="13" fillId="7" borderId="19" xfId="0" applyNumberFormat="1" applyFont="1" applyFill="1" applyBorder="1" applyAlignment="1">
      <x:alignment vertical="top" wrapText="1"/>
    </x:xf>
    <x:xf numFmtId="0" fontId="2" fillId="17" borderId="1" xfId="0" applyNumberFormat="1" applyFont="1" applyFill="1" applyBorder="1" applyAlignment="1">
      <x:alignment vertical="center" wrapText="1"/>
    </x:xf>
    <x:xf numFmtId="0" fontId="9" fillId="18" borderId="11"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9" fillId="18" borderId="12"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10" fillId="18" borderId="13" xfId="0" applyNumberFormat="1" applyFont="1" applyFill="1" applyBorder="1" applyAlignment="1">
      <x:alignment vertical="top" wrapText="1"/>
    </x:xf>
    <x:xf numFmtId="0" fontId="8" fillId="18" borderId="8" xfId="0" applyNumberFormat="1" applyFont="1" applyFill="1" applyBorder="1" applyAlignment="1">
      <x:alignment vertical="top" wrapText="1"/>
    </x:xf>
    <x:xf numFmtId="0" fontId="10" fillId="18" borderId="14" xfId="0" applyNumberFormat="1" applyFont="1" applyFill="1" applyBorder="1" applyAlignment="1">
      <x:alignment vertical="top" wrapText="1"/>
    </x:xf>
    <x:xf numFmtId="0" fontId="8" fillId="18" borderId="10" xfId="0" applyNumberFormat="1" applyFont="1" applyFill="1" applyBorder="1" applyAlignment="1">
      <x:alignment vertical="top" wrapText="1"/>
    </x:xf>
    <x:xf numFmtId="0" fontId="0" fillId="18" borderId="0" xfId="0" applyNumberFormat="1" applyFont="1" applyFill="1" applyBorder="1"/>
    <x:xf numFmtId="0" fontId="6" fillId="18" borderId="11" xfId="0" applyNumberFormat="1" applyFont="1" applyFill="1" applyBorder="1" applyAlignment="1">
      <x:alignment vertical="top" wrapText="1"/>
    </x:xf>
    <x:xf numFmtId="0" fontId="6" fillId="18" borderId="12" xfId="0" applyNumberFormat="1" applyFont="1" applyFill="1" applyBorder="1" applyAlignment="1">
      <x:alignment vertical="top" wrapText="1"/>
    </x:xf>
    <x:xf numFmtId="0" fontId="14" fillId="18" borderId="13" xfId="0" applyNumberFormat="1" applyFont="1" applyFill="1" applyBorder="1" applyAlignment="1">
      <x:alignment vertical="top" wrapText="1"/>
    </x:xf>
    <x:xf numFmtId="0" fontId="14" fillId="18" borderId="14" xfId="0" applyNumberFormat="1" applyFont="1" applyFill="1" applyBorder="1" applyAlignment="1">
      <x:alignment vertical="top" wrapText="1"/>
    </x:xf>
    <x:xf numFmtId="0" fontId="8" fillId="18" borderId="0" xfId="0" applyNumberFormat="1" applyFont="1" applyFill="1" applyBorder="1"/>
    <x:xf numFmtId="0" fontId="6" fillId="18" borderId="23" xfId="0" applyNumberFormat="1" applyFont="1" applyFill="1" applyBorder="1" applyAlignment="1">
      <x:alignment vertical="top" wrapText="1"/>
    </x:xf>
    <x:xf numFmtId="0" fontId="7" fillId="18" borderId="24" xfId="0" applyNumberFormat="1" applyFont="1" applyFill="1" applyBorder="1" applyAlignment="1">
      <x:alignment vertical="top" wrapText="1"/>
    </x:xf>
    <x:xf numFmtId="0" fontId="6" fillId="18" borderId="25" xfId="0" applyNumberFormat="1" applyFont="1" applyFill="1" applyBorder="1" applyAlignment="1">
      <x:alignment vertical="top" wrapText="1"/>
    </x:xf>
    <x:xf numFmtId="0" fontId="7" fillId="18" borderId="26" xfId="0" applyNumberFormat="1" applyFont="1" applyFill="1" applyBorder="1" applyAlignment="1">
      <x:alignment vertical="top" wrapText="1"/>
    </x:xf>
    <x:xf numFmtId="0" fontId="14" fillId="18" borderId="27" xfId="0" applyNumberFormat="1" applyFont="1" applyFill="1" applyBorder="1" applyAlignment="1">
      <x:alignment vertical="top" wrapText="1"/>
    </x:xf>
    <x:xf numFmtId="0" fontId="8" fillId="18" borderId="28" xfId="0" applyNumberFormat="1" applyFont="1" applyFill="1" applyBorder="1" applyAlignment="1">
      <x:alignment vertical="top" wrapText="1"/>
    </x:xf>
    <x:xf numFmtId="0" fontId="14" fillId="18" borderId="29" xfId="0" applyNumberFormat="1" applyFont="1" applyFill="1" applyBorder="1" applyAlignment="1">
      <x:alignment vertical="top" wrapText="1"/>
    </x:xf>
    <x:xf numFmtId="0" fontId="8" fillId="18" borderId="30" xfId="0" applyNumberFormat="1" applyFont="1" applyFill="1" applyBorder="1" applyAlignment="1">
      <x:alignment vertical="top" wrapText="1"/>
    </x:xf>
    <x:xf numFmtId="0" fontId="8" fillId="18" borderId="31" xfId="0" applyNumberFormat="1" applyFont="1" applyFill="1" applyBorder="1"/>
    <x:xf numFmtId="0" fontId="8" fillId="18" borderId="28" xfId="0" applyNumberFormat="1" applyFont="1" applyFill="1" applyBorder="1"/>
    <x:xf numFmtId="0" fontId="8" fillId="18" borderId="32" xfId="0" applyNumberFormat="1" applyFont="1" applyFill="1" applyBorder="1"/>
    <x:xf numFmtId="0" fontId="8" fillId="18" borderId="33" xfId="0" applyNumberFormat="1" applyFont="1" applyFill="1" applyBorder="1"/>
    <x:xf numFmtId="0" fontId="8" fillId="18" borderId="31" xfId="0" applyNumberFormat="1" applyFont="1" applyFill="1" applyBorder="1" applyAlignment="1">
      <x:alignment wrapText="1"/>
    </x:xf>
    <x:xf numFmtId="0" fontId="8" fillId="18" borderId="28" xfId="0" applyNumberFormat="1" applyFont="1" applyFill="1" applyBorder="1" applyAlignment="1">
      <x:alignment wrapText="1"/>
    </x:xf>
    <x:xf numFmtId="0" fontId="8" fillId="18" borderId="32" xfId="0" applyNumberFormat="1" applyFont="1" applyFill="1" applyBorder="1" applyAlignment="1">
      <x:alignment wrapText="1"/>
    </x:xf>
    <x:xf numFmtId="0" fontId="8" fillId="18" borderId="33" xfId="0" applyNumberFormat="1" applyFont="1" applyFill="1" applyBorder="1" applyAlignment="1">
      <x:alignment wrapText="1"/>
    </x:xf>
    <x:xf numFmtId="0" fontId="8" fillId="18" borderId="31" xfId="0" applyNumberFormat="1" applyFont="1" applyFill="1" applyBorder="1" applyAlignment="1">
      <x:alignment vertical="top" wrapText="1"/>
    </x:xf>
    <x:xf numFmtId="0" fontId="8" fillId="18" borderId="32" xfId="0" applyNumberFormat="1" applyFont="1" applyFill="1" applyBorder="1" applyAlignment="1">
      <x:alignment vertical="top" wrapText="1"/>
    </x:xf>
    <x:xf numFmtId="0" fontId="8" fillId="18" borderId="33" xfId="0" applyNumberFormat="1" applyFont="1" applyFill="1" applyBorder="1" applyAlignment="1">
      <x:alignment vertical="top" wrapText="1"/>
    </x:xf>
    <x:xf numFmtId="0" fontId="6" fillId="19" borderId="23" xfId="0" applyNumberFormat="1" applyFont="1" applyFill="1" applyBorder="1" applyAlignment="1">
      <x:alignment vertical="top" wrapText="1"/>
    </x:xf>
    <x:xf numFmtId="0" fontId="6" fillId="19" borderId="25" xfId="0" applyNumberFormat="1" applyFont="1" applyFill="1" applyBorder="1" applyAlignment="1">
      <x:alignment vertical="top" wrapText="1"/>
    </x:xf>
    <x:xf numFmtId="0" fontId="14" fillId="19" borderId="27" xfId="0" applyNumberFormat="1" applyFont="1" applyFill="1" applyBorder="1" applyAlignment="1">
      <x:alignment vertical="top" wrapText="1"/>
    </x:xf>
    <x:xf numFmtId="0" fontId="14" fillId="19" borderId="29" xfId="0" applyNumberFormat="1" applyFont="1" applyFill="1" applyBorder="1" applyAlignment="1">
      <x:alignment vertical="top" wrapText="1"/>
    </x:xf>
    <x:xf numFmtId="0" fontId="8" fillId="19" borderId="31" xfId="0" applyNumberFormat="1" applyFont="1" applyFill="1" applyBorder="1" applyAlignment="1">
      <x:alignment vertical="top" wrapText="1"/>
    </x:xf>
    <x:xf numFmtId="0" fontId="8" fillId="19" borderId="32" xfId="0" applyNumberFormat="1" applyFont="1" applyFill="1" applyBorder="1" applyAlignment="1">
      <x:alignment vertical="top" wrapText="1"/>
    </x:xf>
    <x:xf numFmtId="0" fontId="9" fillId="19" borderId="23" xfId="0" applyNumberFormat="1" applyFont="1" applyFill="1" applyBorder="1" applyAlignment="1">
      <x:alignment vertical="top" wrapText="1"/>
    </x:xf>
    <x:xf numFmtId="0" fontId="9" fillId="19" borderId="25" xfId="0" applyNumberFormat="1" applyFont="1" applyFill="1" applyBorder="1" applyAlignment="1">
      <x:alignment vertical="top" wrapText="1"/>
    </x:xf>
    <x:xf numFmtId="0" fontId="10" fillId="19" borderId="27" xfId="0" applyNumberFormat="1" applyFont="1" applyFill="1" applyBorder="1" applyAlignment="1">
      <x:alignment vertical="top" wrapText="1"/>
    </x:xf>
    <x:xf numFmtId="0" fontId="10" fillId="19" borderId="29" xfId="0" applyNumberFormat="1" applyFont="1" applyFill="1" applyBorder="1" applyAlignment="1">
      <x:alignment vertical="top" wrapText="1"/>
    </x:xf>
    <x:xf numFmtId="0" fontId="10" fillId="19" borderId="31" xfId="0" applyNumberFormat="1" applyFont="1" applyFill="1" applyBorder="1" applyAlignment="1">
      <x:alignment vertical="top" wrapText="1"/>
    </x:xf>
    <x:xf numFmtId="0" fontId="10" fillId="19" borderId="32" xfId="0" applyNumberFormat="1" applyFont="1" applyFill="1" applyBorder="1" applyAlignment="1">
      <x:alignment vertical="top" wrapText="1"/>
    </x:xf>
    <x:xf numFmtId="0" fontId="9" fillId="19" borderId="34" xfId="0" applyNumberFormat="1" applyFont="1" applyFill="1" applyBorder="1" applyAlignment="1">
      <x:alignment vertical="top" wrapText="1"/>
    </x:xf>
    <x:xf numFmtId="0" fontId="9" fillId="19" borderId="35" xfId="0" applyNumberFormat="1" applyFont="1" applyFill="1" applyBorder="1" applyAlignment="1">
      <x:alignment vertical="top" wrapText="1"/>
    </x:xf>
    <x:xf numFmtId="0" fontId="10" fillId="19" borderId="36" xfId="0" applyNumberFormat="1" applyFont="1" applyFill="1" applyBorder="1" applyAlignment="1">
      <x:alignment vertical="top" wrapText="1"/>
    </x:xf>
    <x:xf numFmtId="0" fontId="10" fillId="19" borderId="37" xfId="0" applyNumberFormat="1" applyFont="1" applyFill="1" applyBorder="1" applyAlignment="1">
      <x:alignment vertical="top" wrapText="1"/>
    </x:xf>
    <x:xf numFmtId="0" fontId="10" fillId="19" borderId="38" xfId="0" applyNumberFormat="1" applyFont="1" applyFill="1" applyBorder="1" applyAlignment="1">
      <x:alignment vertical="top" wrapText="1"/>
    </x:xf>
    <x:xf numFmtId="0" fontId="9" fillId="20" borderId="35" xfId="0" applyNumberFormat="1" applyFont="1" applyFill="1" applyBorder="1" applyAlignment="1">
      <x:alignment vertical="top" wrapText="1"/>
    </x:xf>
    <x:xf numFmtId="0" fontId="7" fillId="20" borderId="26" xfId="0" applyNumberFormat="1" applyFont="1" applyFill="1" applyBorder="1" applyAlignment="1">
      <x:alignment vertical="top" wrapText="1"/>
    </x:xf>
    <x:xf numFmtId="0" fontId="5" fillId="21" borderId="15" xfId="0" applyNumberFormat="1" applyFont="1" applyFill="1" applyBorder="1" applyAlignment="1">
      <x:alignment horizontal="center" vertical="center" wrapText="1"/>
    </x:xf>
    <x:xf numFmtId="0" fontId="5" fillId="21" borderId="16" xfId="0" applyNumberFormat="1" applyFont="1" applyFill="1" applyBorder="1" applyAlignment="1">
      <x:alignment horizontal="center" vertical="center" wrapText="1"/>
    </x:xf>
    <x:xf numFmtId="0" fontId="5" fillId="21" borderId="17" xfId="0" applyNumberFormat="1" applyFont="1" applyFill="1" applyBorder="1" applyAlignment="1">
      <x:alignment horizontal="center" vertical="center" wrapText="1"/>
    </x:xf>
    <x:xf numFmtId="0" fontId="5" fillId="21" borderId="39" xfId="0" applyNumberFormat="1" applyFont="1" applyFill="1" applyBorder="1" applyAlignment="1">
      <x:alignment horizontal="center" vertical="center" wrapText="1"/>
    </x:xf>
    <x:xf numFmtId="0" fontId="5" fillId="21" borderId="40" xfId="0" applyNumberFormat="1" applyFont="1" applyFill="1" applyBorder="1" applyAlignment="1">
      <x:alignment horizontal="center" vertical="center" wrapText="1"/>
    </x:xf>
    <x:xf numFmtId="0" fontId="5" fillId="21" borderId="41" xfId="0" applyNumberFormat="1" applyFont="1" applyFill="1" applyBorder="1" applyAlignment="1">
      <x:alignment horizontal="center" vertical="center" wrapText="1"/>
    </x:xf>
    <x:xf numFmtId="0" fontId="7" fillId="18" borderId="3"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2"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9" xfId="0" applyNumberFormat="1" applyFont="1" applyFill="1" applyBorder="1" applyAlignment="1">
      <x:alignment vertical="top" wrapText="1"/>
    </x:xf>
    <x:xf numFmtId="0" fontId="8" fillId="18" borderId="19" xfId="0" applyNumberFormat="1" applyFont="1" applyFill="1" applyBorder="1" applyAlignment="1">
      <x:alignment vertical="top" wrapText="1"/>
    </x:xf>
    <x:xf numFmtId="0" fontId="7" fillId="18" borderId="42" xfId="0" applyNumberFormat="1" applyFont="1" applyFill="1" applyBorder="1" applyAlignment="1">
      <x:alignment vertical="top" wrapText="1"/>
    </x:xf>
    <x:xf numFmtId="0" fontId="7" fillId="18" borderId="43" xfId="0" applyNumberFormat="1" applyFont="1" applyFill="1" applyBorder="1" applyAlignment="1">
      <x:alignment vertical="top" wrapText="1"/>
    </x:xf>
    <x:xf numFmtId="0" fontId="7" fillId="18" borderId="44" xfId="0" applyNumberFormat="1" applyFont="1" applyFill="1" applyBorder="1" applyAlignment="1">
      <x:alignment vertical="top" wrapText="1"/>
    </x:xf>
    <x:xf numFmtId="0" fontId="8" fillId="18" borderId="45" xfId="0" applyNumberFormat="1" applyFont="1" applyFill="1" applyBorder="1" applyAlignment="1">
      <x:alignment vertical="top" wrapText="1"/>
    </x:xf>
    <x:xf numFmtId="0" fontId="8" fillId="18" xfId="0" applyNumberFormat="1" applyFont="1" applyFill="1" applyBorder="0"/>
    <x:xf numFmtId="0" fontId="8" fillId="18" borderId="46" xfId="0" applyNumberFormat="1" applyFont="1" applyFill="1" applyBorder="1"/>
    <x:xf numFmtId="0" fontId="8" fillId="18" xfId="0" applyNumberFormat="1" applyFont="1" applyFill="1" applyBorder="0" applyAlignment="1">
      <x:alignment wrapText="1"/>
    </x:xf>
    <x:xf numFmtId="0" fontId="8" fillId="18" borderId="46" xfId="0" applyNumberFormat="1" applyFont="1" applyFill="1" applyBorder="1" applyAlignment="1">
      <x:alignment wrapText="1"/>
    </x:xf>
    <x:xf numFmtId="0" fontId="8" fillId="18" borderId="46" xfId="0" applyNumberFormat="1" applyFont="1" applyFill="1" applyBorder="1" applyAlignment="1">
      <x:alignment vertical="top" wrapText="1"/>
    </x:xf>
    <x:xf numFmtId="0" fontId="7" fillId="22" borderId="42" xfId="0" applyNumberFormat="1" applyFont="1" applyFill="1" applyBorder="1" applyAlignment="1">
      <x:alignment vertical="top" wrapText="1"/>
    </x:xf>
    <x:xf numFmtId="0" fontId="7" fillId="22" borderId="43" xfId="0" applyNumberFormat="1" applyFont="1" applyFill="1" applyBorder="1" applyAlignment="1">
      <x:alignment vertical="top" wrapText="1"/>
    </x:xf>
    <x:xf numFmtId="0" fontId="7" fillId="22" borderId="24" xfId="0" applyNumberFormat="1" applyFont="1" applyFill="1" applyBorder="1" applyAlignment="1">
      <x:alignment vertical="top" wrapText="1"/>
    </x:xf>
    <x:xf numFmtId="0" fontId="7" fillId="22" borderId="44" xfId="0" applyNumberFormat="1" applyFont="1" applyFill="1" applyBorder="1" applyAlignment="1">
      <x:alignment vertical="top" wrapText="1"/>
    </x:xf>
    <x:xf numFmtId="0" fontId="7" fillId="22" borderId="2" xfId="0" applyNumberFormat="1" applyFont="1" applyFill="1" applyBorder="1" applyAlignment="1">
      <x:alignment vertical="top" wrapText="1"/>
    </x:xf>
    <x:xf numFmtId="0" fontId="7" fillId="22" borderId="26" xfId="0" applyNumberFormat="1" applyFont="1" applyFill="1" applyBorder="1" applyAlignment="1">
      <x:alignment vertical="top" wrapText="1"/>
    </x:xf>
    <x:xf numFmtId="0" fontId="7" fillId="20" borderId="44" xfId="0" applyNumberFormat="1" applyFont="1" applyFill="1" applyBorder="1" applyAlignment="1">
      <x:alignment vertical="top" wrapText="1"/>
    </x:xf>
    <x:xf numFmtId="0" fontId="7" fillId="20" borderId="2" xfId="0" applyNumberFormat="1" applyFont="1" applyFill="1" applyBorder="1" applyAlignment="1">
      <x:alignment vertical="top" wrapText="1"/>
    </x:xf>
    <x:xf numFmtId="0" fontId="8" fillId="22" borderId="31" xfId="0" applyNumberFormat="1" applyFont="1" applyFill="1" applyBorder="1" applyAlignment="1">
      <x:alignment vertical="top" wrapText="1"/>
    </x:xf>
    <x:xf numFmtId="0" fontId="8" fillId="22" xfId="0" applyNumberFormat="1" applyFont="1" applyFill="1" applyBorder="0" applyAlignment="1">
      <x:alignment vertical="top" wrapText="1"/>
    </x:xf>
    <x:xf numFmtId="0" fontId="8" fillId="22" borderId="28" xfId="0" applyNumberFormat="1" applyFont="1" applyFill="1" applyBorder="1" applyAlignment="1">
      <x:alignment vertical="top" wrapText="1"/>
    </x:xf>
    <x:xf numFmtId="0" fontId="0" fillId="23" borderId="0" xfId="0" applyNumberFormat="1" applyFont="1" applyFill="1" applyBorder="1"/>
    <x:xf numFmtId="0" fontId="11" fillId="23" borderId="0" xfId="0" applyNumberFormat="1" applyFont="1" applyFill="1" applyBorder="1"/>
    <x:xf numFmtId="0" fontId="11" fillId="23" borderId="39" xfId="0" applyNumberFormat="1" applyFont="1" applyFill="1" applyBorder="1"/>
    <x:xf numFmtId="0" fontId="11" fillId="23" borderId="40" xfId="0" applyNumberFormat="1" applyFont="1" applyFill="1" applyBorder="1"/>
    <x:xf numFmtId="0" fontId="11" fillId="23" borderId="41" xfId="0" applyNumberFormat="1" applyFont="1" applyFill="1" applyBorder="1"/>
    <x:xf numFmtId="0" fontId="11" fillId="23" borderId="39" xfId="0" applyNumberFormat="1" applyFont="1" applyFill="1" applyBorder="1" applyAlignment="1">
      <x:alignment wrapText="1"/>
    </x:xf>
    <x:xf numFmtId="0" fontId="11" fillId="23" borderId="40" xfId="0" applyNumberFormat="1" applyFont="1" applyFill="1" applyBorder="1" applyAlignment="1">
      <x:alignment wrapText="1"/>
    </x:xf>
    <x:xf numFmtId="0" fontId="11" fillId="23" borderId="41" xfId="0" applyNumberFormat="1" applyFont="1" applyFill="1" applyBorder="1" applyAlignment="1">
      <x:alignment wrapText="1"/>
    </x:xf>
    <x:xf numFmtId="0" fontId="11" fillId="23" borderId="39" xfId="0" applyNumberFormat="1" applyFont="1" applyFill="1" applyBorder="1" applyAlignment="1">
      <x:alignment horizontal="center" wrapText="1"/>
    </x:xf>
    <x:xf numFmtId="0" fontId="11" fillId="23" borderId="40" xfId="0" applyNumberFormat="1" applyFont="1" applyFill="1" applyBorder="1" applyAlignment="1">
      <x:alignment horizontal="center" wrapText="1"/>
    </x:xf>
    <x:xf numFmtId="0" fontId="11" fillId="23" borderId="41" xfId="0" applyNumberFormat="1" applyFont="1" applyFill="1" applyBorder="1" applyAlignment="1">
      <x:alignment horizontal="center" wrapText="1"/>
    </x:xf>
    <x:xf numFmtId="0" fontId="11" fillId="23" borderId="39" xfId="0" applyNumberFormat="1" applyFont="1" applyFill="1" applyBorder="1" applyAlignment="1">
      <x:alignment horizontal="center" vertical="center" wrapText="1"/>
    </x:xf>
    <x:xf numFmtId="0" fontId="11" fillId="23" borderId="40" xfId="0" applyNumberFormat="1" applyFont="1" applyFill="1" applyBorder="1" applyAlignment="1">
      <x:alignment horizontal="center" vertical="center" wrapText="1"/>
    </x:xf>
    <x:xf numFmtId="0" fontId="11" fillId="23" borderId="41" xfId="0" applyNumberFormat="1" applyFont="1" applyFill="1" applyBorder="1" applyAlignment="1">
      <x:alignment horizontal="center" vertical="center" wrapText="1"/>
    </x:xf>
    <x:xf numFmtId="0" fontId="8" fillId="18" borderId="47" xfId="0" applyNumberFormat="1" applyFont="1" applyFill="1" applyBorder="1"/>
    <x:xf numFmtId="0" fontId="8" fillId="18" borderId="48" xfId="0" applyNumberFormat="1" applyFont="1" applyFill="1" applyBorder="1"/>
    <x:xf numFmtId="0" fontId="8" fillId="18" borderId="49" xfId="0" applyNumberFormat="1" applyFont="1" applyFill="1" applyBorder="1"/>
    <x:xf numFmtId="0" fontId="8" fillId="18" borderId="47" xfId="0" applyNumberFormat="1" applyFont="1" applyFill="1" applyBorder="1" applyAlignment="1">
      <x:alignment wrapText="1"/>
    </x:xf>
    <x:xf numFmtId="0" fontId="8" fillId="18" borderId="48" xfId="0" applyNumberFormat="1" applyFont="1" applyFill="1" applyBorder="1" applyAlignment="1">
      <x:alignment wrapText="1"/>
    </x:xf>
    <x:xf numFmtId="0" fontId="8" fillId="18" borderId="49" xfId="0" applyNumberFormat="1" applyFont="1" applyFill="1" applyBorder="1" applyAlignment="1">
      <x:alignment wrapText="1"/>
    </x:xf>
    <x:xf numFmtId="0" fontId="8" fillId="18" borderId="47" xfId="0" applyNumberFormat="1" applyFont="1" applyFill="1" applyBorder="1" applyAlignment="1">
      <x:alignment vertical="top" wrapText="1"/>
    </x:xf>
    <x:xf numFmtId="0" fontId="8" fillId="18" borderId="48" xfId="0" applyNumberFormat="1" applyFont="1" applyFill="1" applyBorder="1" applyAlignment="1">
      <x:alignment vertical="top" wrapText="1"/>
    </x:xf>
    <x:xf numFmtId="0" fontId="8" fillId="18" borderId="49" xfId="0" applyNumberFormat="1" applyFont="1" applyFill="1" applyBorder="1" applyAlignment="1">
      <x:alignment vertical="top" wrapText="1"/>
    </x:xf>
    <x:xf numFmtId="0" fontId="8" fillId="24" borderId="47" xfId="0" applyNumberFormat="1" applyFont="1" applyFill="1" applyBorder="1" applyAlignment="1">
      <x:alignment vertical="top" wrapText="1"/>
    </x:xf>
    <x:xf numFmtId="0" fontId="8" fillId="24" borderId="48" xfId="0" applyNumberFormat="1" applyFont="1" applyFill="1" applyBorder="1" applyAlignment="1">
      <x:alignment vertical="top" wrapText="1"/>
    </x:xf>
    <x:xf numFmtId="0" fontId="8" fillId="24" borderId="49" xfId="0" applyNumberFormat="1" applyFont="1" applyFill="1" applyBorder="1" applyAlignment="1">
      <x:alignment vertical="top" wrapText="1"/>
    </x:xf>
    <x:xf numFmtId="0" fontId="8" fillId="24" borderId="31"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28" xfId="0" applyNumberFormat="1" applyFont="1" applyFill="1" applyBorder="1" applyAlignment="1">
      <x:alignment vertical="top" wrapText="1"/>
    </x:xf>
    <x:xf numFmtId="0" fontId="0" fillId="17" borderId="0" xfId="0" applyNumberFormat="1" applyFont="1" applyFill="1" applyBorder="1"/>
    <x:xf numFmtId="0" fontId="11" fillId="17" borderId="0" xfId="0" applyNumberFormat="1" applyFont="1" applyFill="1" applyBorder="1"/>
    <x:xf numFmtId="0" fontId="11" fillId="17" borderId="39" xfId="0" applyNumberFormat="1" applyFont="1" applyFill="1" applyBorder="1"/>
    <x:xf numFmtId="0" fontId="11" fillId="17" borderId="40" xfId="0" applyNumberFormat="1" applyFont="1" applyFill="1" applyBorder="1"/>
    <x:xf numFmtId="0" fontId="11" fillId="17" borderId="41" xfId="0" applyNumberFormat="1" applyFont="1" applyFill="1" applyBorder="1"/>
    <x:xf numFmtId="0" fontId="11" fillId="17" borderId="39" xfId="0" applyNumberFormat="1" applyFont="1" applyFill="1" applyBorder="1" applyAlignment="1">
      <x:alignment wrapText="1"/>
    </x:xf>
    <x:xf numFmtId="0" fontId="11" fillId="17" borderId="40" xfId="0" applyNumberFormat="1" applyFont="1" applyFill="1" applyBorder="1" applyAlignment="1">
      <x:alignment wrapText="1"/>
    </x:xf>
    <x:xf numFmtId="0" fontId="11" fillId="17" borderId="41" xfId="0" applyNumberFormat="1" applyFont="1" applyFill="1" applyBorder="1" applyAlignment="1">
      <x:alignment wrapText="1"/>
    </x:xf>
    <x:xf numFmtId="0" fontId="11" fillId="17" borderId="39" xfId="0" applyNumberFormat="1" applyFont="1" applyFill="1" applyBorder="1" applyAlignment="1">
      <x:alignment horizontal="center" wrapText="1"/>
    </x:xf>
    <x:xf numFmtId="0" fontId="11" fillId="17" borderId="40" xfId="0" applyNumberFormat="1" applyFont="1" applyFill="1" applyBorder="1" applyAlignment="1">
      <x:alignment horizontal="center" wrapText="1"/>
    </x:xf>
    <x:xf numFmtId="0" fontId="11" fillId="17" borderId="41" xfId="0" applyNumberFormat="1" applyFont="1" applyFill="1" applyBorder="1" applyAlignment="1">
      <x:alignment horizontal="center" wrapText="1"/>
    </x:xf>
    <x:xf numFmtId="0" fontId="11" fillId="17" borderId="39" xfId="0" applyNumberFormat="1" applyFont="1" applyFill="1" applyBorder="1" applyAlignment="1">
      <x:alignment horizontal="center" vertical="center" wrapText="1"/>
    </x:xf>
    <x:xf numFmtId="0" fontId="11" fillId="17" borderId="40" xfId="0" applyNumberFormat="1" applyFont="1" applyFill="1" applyBorder="1" applyAlignment="1">
      <x:alignment horizontal="center" vertical="center" wrapText="1"/>
    </x:xf>
    <x:xf numFmtId="0" fontId="11" fillId="17" borderId="41" xfId="0" applyNumberFormat="1" applyFont="1" applyFill="1" applyBorder="1" applyAlignment="1">
      <x:alignment horizontal="center" vertical="center" wrapText="1"/>
    </x:xf>
    <x:xf numFmtId="0" fontId="8" fillId="19" borderId="47" xfId="0" applyNumberFormat="1" applyFont="1" applyFill="1" applyBorder="1" applyAlignment="1">
      <x:alignment vertical="top" wrapText="1"/>
    </x:xf>
    <x:xf numFmtId="0" fontId="8" fillId="19" borderId="48" xfId="0" applyNumberFormat="1" applyFont="1" applyFill="1" applyBorder="1" applyAlignment="1">
      <x:alignment vertical="top" wrapText="1"/>
    </x:xf>
    <x:xf numFmtId="0" fontId="8" fillId="19" borderId="49" xfId="0" applyNumberFormat="1" applyFont="1" applyFill="1" applyBorder="1" applyAlignment="1">
      <x:alignment vertical="top" wrapText="1"/>
    </x:xf>
    <x:xf numFmtId="0" fontId="8" fillId="19" xfId="0" applyNumberFormat="1" applyFont="1" applyFill="1" applyBorder="0" applyAlignment="1">
      <x:alignment vertical="top" wrapText="1"/>
    </x:xf>
    <x:xf numFmtId="0" fontId="8" fillId="19" borderId="28" xfId="0" applyNumberFormat="1" applyFont="1" applyFill="1" applyBorder="1" applyAlignment="1">
      <x:alignment vertical="top" wrapText="1"/>
    </x:xf>
    <x:xf numFmtId="0" fontId="8" fillId="25" borderId="47" xfId="0" applyNumberFormat="1" applyFont="1" applyFill="1" applyBorder="1" applyAlignment="1">
      <x:alignment vertical="top" wrapText="1"/>
    </x:xf>
    <x:xf numFmtId="0" fontId="8" fillId="25" borderId="48" xfId="0" applyNumberFormat="1" applyFont="1" applyFill="1" applyBorder="1" applyAlignment="1">
      <x:alignment vertical="top" wrapText="1"/>
    </x:xf>
    <x:xf numFmtId="0" fontId="8" fillId="25" borderId="49" xfId="0" applyNumberFormat="1" applyFont="1" applyFill="1" applyBorder="1" applyAlignment="1">
      <x:alignment vertical="top" wrapText="1"/>
    </x:xf>
    <x:xf numFmtId="0" fontId="8" fillId="25" borderId="31" xfId="0" applyNumberFormat="1" applyFont="1" applyFill="1" applyBorder="1" applyAlignment="1">
      <x:alignment vertical="top" wrapText="1"/>
    </x:xf>
    <x:xf numFmtId="0" fontId="8" fillId="25" xfId="0" applyNumberFormat="1" applyFont="1" applyFill="1" applyBorder="0" applyAlignment="1">
      <x:alignment vertical="top" wrapText="1"/>
    </x:xf>
    <x:xf numFmtId="0" fontId="8" fillId="25" borderId="28" xfId="0" applyNumberFormat="1" applyFont="1" applyFill="1" applyBorder="1" applyAlignment="1">
      <x:alignment vertical="top" wrapText="1"/>
    </x:xf>
    <x:xf numFmtId="0" fontId="8" fillId="20" borderId="31" xfId="0" applyNumberFormat="1" applyFont="1" applyFill="1" applyBorder="1" applyAlignment="1">
      <x:alignment vertical="top" wrapText="1"/>
    </x:xf>
    <x:xf numFmtId="0" fontId="8" fillId="20" xfId="0" applyNumberFormat="1" applyFont="1" applyFill="1" applyBorder="0" applyAlignment="1">
      <x:alignment vertical="top" wrapText="1"/>
    </x:xf>
    <x:xf numFmtId="0" fontId="8" fillId="20" borderId="28" xfId="0" applyNumberFormat="1" applyFont="1" applyFill="1" applyBorder="1" applyAlignment="1">
      <x:alignment vertical="top" wrapText="1"/>
    </x:xf>
    <x:xf numFmtId="0" fontId="8" fillId="26" borderId="31" xfId="0" applyNumberFormat="1" applyFont="1" applyFill="1" applyBorder="1" applyAlignment="1">
      <x:alignment vertical="top" wrapText="1"/>
    </x:xf>
    <x:xf numFmtId="0" fontId="8" fillId="26" xfId="0" applyNumberFormat="1" applyFont="1" applyFill="1" applyBorder="0" applyAlignment="1">
      <x:alignment vertical="top" wrapText="1"/>
    </x:xf>
    <x:xf numFmtId="0" fontId="8" fillId="26" borderId="28" xfId="0" applyNumberFormat="1" applyFont="1" applyFill="1" applyBorder="1" applyAlignment="1">
      <x:alignment vertical="top" wrapText="1"/>
    </x:xf>
    <x:xf numFmtId="0" fontId="8" fillId="27" borderId="31" xfId="0" applyNumberFormat="1" applyFont="1" applyFill="1" applyBorder="1" applyAlignment="1">
      <x:alignment vertical="top" wrapText="1"/>
    </x:xf>
    <x:xf numFmtId="0" fontId="8" fillId="27" xfId="0" applyNumberFormat="1" applyFont="1" applyFill="1" applyBorder="0" applyAlignment="1">
      <x:alignment vertical="top" wrapText="1"/>
    </x:xf>
    <x:xf numFmtId="0" fontId="8" fillId="27" borderId="28" xfId="0" applyNumberFormat="1" applyFont="1" applyFill="1" applyBorder="1" applyAlignment="1">
      <x:alignment vertical="top" wrapText="1"/>
    </x:xf>
    <x:xf numFmtId="0" fontId="8" fillId="27" borderId="32" xfId="0" applyNumberFormat="1" applyFont="1" applyFill="1" applyBorder="1" applyAlignment="1">
      <x:alignment vertical="top" wrapText="1"/>
    </x:xf>
    <x:xf numFmtId="0" fontId="8" fillId="27" borderId="46" xfId="0" applyNumberFormat="1" applyFont="1" applyFill="1" applyBorder="1" applyAlignment="1">
      <x:alignment vertical="top" wrapText="1"/>
    </x:xf>
    <x:xf numFmtId="0" fontId="8" fillId="27" borderId="33" xfId="0" applyNumberFormat="1" applyFont="1" applyFill="1" applyBorder="1" applyAlignment="1">
      <x:alignment vertical="top" wrapText="1"/>
    </x:xf>
    <x:xf numFmtId="202" fontId="8" fillId="25" borderId="48" xfId="0" applyNumberFormat="1" applyFont="1" applyFill="1" applyBorder="1" applyAlignment="1">
      <x:alignment vertical="top" wrapText="1"/>
    </x:xf>
    <x:xf numFmtId="202" fontId="8" fillId="25" xfId="0" applyNumberFormat="1" applyFont="1" applyFill="1" applyBorder="0" applyAlignment="1">
      <x:alignment vertical="top" wrapText="1"/>
    </x:xf>
    <x:xf numFmtId="202" fontId="8" fillId="20" xfId="0" applyNumberFormat="1" applyFont="1" applyFill="1" applyBorder="0" applyAlignment="1">
      <x:alignment vertical="top" wrapText="1"/>
    </x:xf>
    <x:xf numFmtId="202" fontId="8" fillId="19" xfId="0" applyNumberFormat="1" applyFont="1" applyFill="1" applyBorder="0" applyAlignment="1">
      <x:alignment vertical="top" wrapText="1"/>
    </x:xf>
    <x:xf numFmtId="202" fontId="8" fillId="24" xfId="0" applyNumberFormat="1" applyFont="1" applyFill="1" applyBorder="0" applyAlignment="1">
      <x:alignment vertical="top" wrapText="1"/>
    </x:xf>
    <x:xf numFmtId="202" fontId="8" fillId="26" xfId="0" applyNumberFormat="1" applyFont="1" applyFill="1" applyBorder="0" applyAlignment="1">
      <x:alignment vertical="top" wrapText="1"/>
    </x:xf>
    <x:xf numFmtId="202" fontId="8" fillId="27" xfId="0" applyNumberFormat="1" applyFont="1" applyFill="1" applyBorder="0" applyAlignment="1">
      <x:alignment vertical="top" wrapText="1"/>
    </x:xf>
    <x:xf numFmtId="202" fontId="8" fillId="27" borderId="46" xfId="0" applyNumberFormat="1" applyFont="1" applyFill="1" applyBorder="1" applyAlignment="1">
      <x:alignment vertical="top" wrapText="1"/>
    </x:xf>
    <x:xf numFmtId="0" fontId="8" fillId="24" borderId="32" xfId="0" applyNumberFormat="1" applyFont="1" applyFill="1" applyBorder="1" applyAlignment="1">
      <x:alignment vertical="top" wrapText="1"/>
    </x:xf>
    <x:xf numFmtId="0" fontId="8" fillId="24" borderId="46" xfId="0" applyNumberFormat="1" applyFont="1" applyFill="1" applyBorder="1" applyAlignment="1">
      <x:alignment vertical="top" wrapText="1"/>
    </x:xf>
    <x:xf numFmtId="0" fontId="8" fillId="24" borderId="33" xfId="0" applyNumberFormat="1" applyFont="1" applyFill="1" applyBorder="1" applyAlignment="1">
      <x:alignment vertical="top" wrapText="1"/>
    </x:xf>
    <x:xf numFmtId="0" fontId="12" fillId="17" borderId="0" xfId="0" applyNumberFormat="1" applyFont="1" applyFill="1" applyBorder="1"/>
    <x:xf numFmtId="0" fontId="12" fillId="17" borderId="0" xfId="0" applyNumberFormat="1" applyFont="1" applyFill="1" applyBorder="1" applyAlignment="1">
      <x:alignment vertical="center"/>
    </x:xf>
    <x:xf numFmtId="202" fontId="8" fillId="18" borderId="48" xfId="0" applyNumberFormat="1" applyFont="1" applyFill="1" applyBorder="1" applyAlignment="1">
      <x:alignment vertical="top" wrapText="1"/>
    </x:xf>
    <x:xf numFmtId="202" fontId="8" fillId="18" xfId="0" applyNumberFormat="1" applyFont="1" applyFill="1" applyBorder="0" applyAlignment="1">
      <x:alignment vertical="top" wrapText="1"/>
    </x:xf>
    <x:xf numFmtId="202" fontId="8" fillId="18" borderId="46" xfId="0" applyNumberFormat="1" applyFont="1" applyFill="1" applyBorder="1" applyAlignment="1">
      <x:alignment vertical="top" wrapText="1"/>
    </x:xf>
    <x:xf numFmtId="0" fontId="8" fillId="20" borderId="32" xfId="0" applyNumberFormat="1" applyFont="1" applyFill="1" applyBorder="1" applyAlignment="1">
      <x:alignment vertical="top" wrapText="1"/>
    </x:xf>
    <x:xf numFmtId="202" fontId="8" fillId="20" borderId="46" xfId="0" applyNumberFormat="1" applyFont="1" applyFill="1" applyBorder="1" applyAlignment="1">
      <x:alignment vertical="top" wrapText="1"/>
    </x:xf>
    <x:xf numFmtId="0" fontId="8" fillId="20" borderId="33" xfId="0" applyNumberFormat="1" applyFont="1" applyFill="1" applyBorder="1" applyAlignment="1">
      <x:alignment vertical="top" wrapText="1"/>
    </x:xf>
    <x:xf numFmtId="0" fontId="10" fillId="20" borderId="32" xfId="0" applyNumberFormat="1" applyFont="1" applyFill="1" applyBorder="1" applyAlignment="1">
      <x:alignment vertical="top" wrapText="1"/>
    </x:xf>
    <x:xf numFmtId="202" fontId="10" fillId="20" borderId="46" xfId="0" applyNumberFormat="1" applyFont="1" applyFill="1" applyBorder="1" applyAlignment="1">
      <x:alignment vertical="top" wrapText="1"/>
    </x:xf>
    <x:xf numFmtId="0" fontId="10" fillId="20" borderId="33" xfId="0" applyNumberFormat="1" applyFont="1" applyFill="1" applyBorder="1" applyAlignment="1">
      <x:alignment vertical="top" wrapText="1"/>
    </x:xf>
    <x:xf numFmtId="0" fontId="0" fillId="21" borderId="0" xfId="0" applyNumberFormat="1" applyFont="1" applyFill="1" applyBorder="1"/>
    <x:xf numFmtId="0" fontId="11" fillId="21" borderId="0" xfId="0" applyNumberFormat="1" applyFont="1" applyFill="1" applyBorder="1"/>
    <x:xf numFmtId="0" fontId="11" fillId="21" borderId="39" xfId="0" applyNumberFormat="1" applyFont="1" applyFill="1" applyBorder="1"/>
    <x:xf numFmtId="0" fontId="11" fillId="21" borderId="40" xfId="0" applyNumberFormat="1" applyFont="1" applyFill="1" applyBorder="1"/>
    <x:xf numFmtId="0" fontId="11" fillId="21" borderId="41" xfId="0" applyNumberFormat="1" applyFont="1" applyFill="1" applyBorder="1"/>
    <x:xf numFmtId="0" fontId="11" fillId="21" borderId="39" xfId="0" applyNumberFormat="1" applyFont="1" applyFill="1" applyBorder="1" applyAlignment="1">
      <x:alignment wrapText="1"/>
    </x:xf>
    <x:xf numFmtId="0" fontId="11" fillId="21" borderId="40" xfId="0" applyNumberFormat="1" applyFont="1" applyFill="1" applyBorder="1" applyAlignment="1">
      <x:alignment wrapText="1"/>
    </x:xf>
    <x:xf numFmtId="0" fontId="11" fillId="21" borderId="41" xfId="0" applyNumberFormat="1" applyFont="1" applyFill="1" applyBorder="1" applyAlignment="1">
      <x:alignment wrapText="1"/>
    </x:xf>
    <x:xf numFmtId="0" fontId="11" fillId="21" borderId="39" xfId="0" applyNumberFormat="1" applyFont="1" applyFill="1" applyBorder="1" applyAlignment="1">
      <x:alignment horizontal="center" wrapText="1"/>
    </x:xf>
    <x:xf numFmtId="0" fontId="11" fillId="21" borderId="40" xfId="0" applyNumberFormat="1" applyFont="1" applyFill="1" applyBorder="1" applyAlignment="1">
      <x:alignment horizontal="center" wrapText="1"/>
    </x:xf>
    <x:xf numFmtId="0" fontId="11" fillId="21" borderId="41" xfId="0" applyNumberFormat="1" applyFont="1" applyFill="1" applyBorder="1" applyAlignment="1">
      <x:alignment horizontal="center" wrapText="1"/>
    </x:xf>
    <x:xf numFmtId="0" fontId="11" fillId="21" borderId="39" xfId="0" applyNumberFormat="1" applyFont="1" applyFill="1" applyBorder="1" applyAlignment="1">
      <x:alignment horizontal="center" vertical="center" wrapText="1"/>
    </x:xf>
    <x:xf numFmtId="0" fontId="11" fillId="21" borderId="40" xfId="0" applyNumberFormat="1" applyFont="1" applyFill="1" applyBorder="1" applyAlignment="1">
      <x:alignment horizontal="center" vertical="center" wrapText="1"/>
    </x:xf>
    <x:xf numFmtId="0" fontId="11" fillId="21" borderId="41" xfId="0" applyNumberFormat="1" applyFont="1" applyFill="1" applyBorder="1" applyAlignment="1">
      <x:alignment horizontal="center" vertical="center" wrapText="1"/>
    </x:xf>
    <x:xf numFmtId="0" fontId="8" fillId="19" borderId="46" xfId="0" applyNumberFormat="1" applyFont="1" applyFill="1" applyBorder="1" applyAlignment="1">
      <x:alignment vertical="top" wrapText="1"/>
    </x:xf>
    <x:xf numFmtId="0" fontId="8" fillId="19" borderId="33" xfId="0" applyNumberFormat="1" applyFont="1" applyFill="1" applyBorder="1" applyAlignment="1">
      <x:alignment vertical="top" wrapText="1"/>
    </x:xf>
    <x:xf numFmtId="0" fontId="10" fillId="20" borderId="31" xfId="0" applyNumberFormat="1" applyFont="1" applyFill="1" applyBorder="1" applyAlignment="1">
      <x:alignment vertical="top" wrapText="1"/>
    </x:xf>
    <x:xf numFmtId="0" fontId="10" fillId="20" xfId="0" applyNumberFormat="1" applyFont="1" applyFill="1" applyBorder="0" applyAlignment="1">
      <x:alignment vertical="top" wrapText="1"/>
    </x:xf>
    <x:xf numFmtId="202" fontId="10" fillId="20" xfId="0" applyNumberFormat="1" applyFont="1" applyFill="1" applyBorder="0" applyAlignment="1">
      <x:alignment vertical="top" wrapText="1"/>
    </x:xf>
    <x:xf numFmtId="0" fontId="10" fillId="20" borderId="28" xfId="0" applyNumberFormat="1" applyFont="1" applyFill="1" applyBorder="1" applyAlignment="1">
      <x:alignment vertical="top" wrapText="1"/>
    </x:xf>
    <x:xf numFmtId="0" fontId="8" fillId="20" borderId="4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1b5eadcdc24c86" /><Relationship Type="http://schemas.openxmlformats.org/officeDocument/2006/relationships/theme" Target="/xl/theme/theme1.xml" Id="R9d7aa794dd5f4baf" /><Relationship Type="http://schemas.openxmlformats.org/officeDocument/2006/relationships/sharedStrings" Target="/xl/sharedStrings.xml" Id="Rec0b4e86dcd74d67" /><Relationship Type="http://schemas.openxmlformats.org/officeDocument/2006/relationships/worksheet" Target="/xl/worksheets/sheet1.xml" Id="Rad06845bcbe844ec" /><Relationship Type="http://schemas.openxmlformats.org/officeDocument/2006/relationships/worksheet" Target="/xl/worksheets/sheet2.xml" Id="Ra3b0111081294e43" /><Relationship Type="http://schemas.openxmlformats.org/officeDocument/2006/relationships/worksheet" Target="/xl/worksheets/sheet3.xml" Id="R360fc14cd55149bc" /><Relationship Type="http://schemas.openxmlformats.org/officeDocument/2006/relationships/worksheet" Target="/xl/worksheets/sheet4.xml" Id="R24ab8531da854c84" /><Relationship Type="http://schemas.openxmlformats.org/officeDocument/2006/relationships/worksheet" Target="/xl/worksheets/sheet5.xml" Id="R8727a48807dd4a8d" /><Relationship Type="http://schemas.openxmlformats.org/officeDocument/2006/relationships/worksheet" Target="/xl/worksheets/sheet6.xml" Id="Rdda2eb1493034e5e" /><Relationship Type="http://schemas.openxmlformats.org/officeDocument/2006/relationships/worksheet" Target="/xl/worksheets/sheet7.xml" Id="R75da7324dafe4ab6" /><Relationship Type="http://schemas.openxmlformats.org/officeDocument/2006/relationships/worksheet" Target="/xl/worksheets/sheet8.xml" Id="R87745a3444214889" /><Relationship Type="http://schemas.openxmlformats.org/officeDocument/2006/relationships/worksheet" Target="/xl/worksheets/sheet9.xml" Id="Ree9beac8c515416e" /><Relationship Type="http://schemas.openxmlformats.org/officeDocument/2006/relationships/worksheet" Target="/xl/worksheets/sheet10.xml" Id="Red070c392aff48d5" /><Relationship Type="http://schemas.openxmlformats.org/officeDocument/2006/relationships/worksheet" Target="/xl/worksheets/sheet11.xml" Id="R71ab1ec649914a43" /><Relationship Type="http://schemas.openxmlformats.org/officeDocument/2006/relationships/worksheet" Target="/xl/worksheets/sheet12.xml" Id="R9bdf8222228f4f62" /><Relationship Type="http://schemas.openxmlformats.org/officeDocument/2006/relationships/worksheet" Target="/xl/worksheets/sheet13.xml" Id="R9de63f1dba3640a6" /><Relationship Type="http://schemas.openxmlformats.org/officeDocument/2006/relationships/worksheet" Target="/xl/worksheets/sheet14.xml" Id="R10bd539131774b21" /><Relationship Type="http://schemas.openxmlformats.org/officeDocument/2006/relationships/worksheet" Target="/xl/worksheets/sheet15.xml" Id="R6a0c4184e7874d7c" /><Relationship Type="http://schemas.openxmlformats.org/officeDocument/2006/relationships/worksheet" Target="/xl/worksheets/sheet16.xml" Id="Rdbadcf95ec9f4dfb" /><Relationship Type="http://schemas.openxmlformats.org/officeDocument/2006/relationships/worksheet" Target="/xl/worksheets/sheet17.xml" Id="R0523764bd8584176" /><Relationship Type="http://schemas.openxmlformats.org/officeDocument/2006/relationships/worksheet" Target="/xl/worksheets/sheet18.xml" Id="R3398cc6df79446d9" /><Relationship Type="http://schemas.openxmlformats.org/officeDocument/2006/relationships/worksheet" Target="/xl/worksheets/sheet19.xml" Id="R2ccecd652be346da" /></Relationships>
</file>

<file path=xl/tables/table1.xml><?xml version="1.0" encoding="utf-8"?>
<x:table xmlns:x="http://schemas.openxmlformats.org/spreadsheetml/2006/main" id="16" name="FinalUniqueCatalog20260823" displayName="FinalUniqueCatalog20260823" ref="A1:U563" headerRowCount="1" totalsRowCount="0" totalsRowShown="0">
  <x:tableColumns count="21">
    <x:tableColumn id="1" name="Unique ID"/>
    <x:tableColumn id="2" name="大类目录"/>
    <x:tableColumn id="3" name="小类目录"/>
    <x:tableColumn id="4" name="规范数据集名称"/>
    <x:tableColumn id="5" name="合并别名"/>
    <x:tableColumn id="6" name="稳定标识（DOI/OpenNeuro/BNCI/仓库ID）"/>
    <x:tableColumn id="7" name="下载状态"/>
    <x:tableColumn id="8" name="下载/申请入口"/>
    <x:tableColumn id="9" name="任务"/>
    <x:tableColumn id="10" name="受试者数"/>
    <x:tableColumn id="11" name="通道数"/>
    <x:tableColumn id="12" name="采样率"/>
    <x:tableColumn id="13" name="格式"/>
    <x:tableColumn id="14" name="Raw/Processed"/>
    <x:tableColumn id="15" name="许可与申请说明"/>
    <x:tableColumn id="16" name="论文/作者"/>
    <x:tableColumn id="17" name="建议相对路径"/>
    <x:tableColumn id="18" name="核验结论"/>
    <x:tableColumn id="19" name="fMRI TR (s)"/>
    <x:tableColumn id="20" name="Recording duration (s)"/>
    <x:tableColumn id="21" name="Number of scans"/>
  </x:tableColumns>
  <x:tableStyleInfo name="TableStyleMedium2" showFirstColumn="0" showLastColumn="0" showRowStripes="1" showColumnStripes="0"/>
</x:table>
</file>

<file path=xl/tables/table2.xml><?xml version="1.0" encoding="utf-8"?>
<x:table xmlns:x="http://schemas.openxmlformats.org/spreadsheetml/2006/main" id="2" name="ExcludedItems" displayName="ExcludedItems" ref="A1:G127" headerRowCount="1" totalsRowCount="0" totalsRowShown="0">
  <x:tableColumns count="7">
    <x:tableColumn id="1" name="原条目"/>
    <x:tableColumn id="2" name="合并别名"/>
    <x:tableColumn id="3" name="处理结果"/>
    <x:tableColumn id="4" name="稳定标识"/>
    <x:tableColumn id="5" name="排除原因"/>
    <x:tableColumn id="6" name="原链接"/>
    <x:tableColumn id="7" name="任务"/>
  </x:tableColumns>
  <x:tableStyleInfo name="TableStyleMedium2" showFirstColumn="0" showLastColumn="0" showRowStripes="1" showColumnStripes="0"/>
</x:table>
</file>

<file path=xl/tables/table3.xml><?xml version="1.0" encoding="utf-8"?>
<x:table xmlns:x="http://schemas.openxmlformats.org/spreadsheetml/2006/main" id="3" name="DuplicateMappings" displayName="DuplicateMappings" ref="A1:H46" headerRowCount="1" totalsRowCount="0" totalsRowShown="0">
  <x:tableColumns count="8">
    <x:tableColumn id="1" name="Canonical ID"/>
    <x:tableColumn id="2" name="Canonical dataset"/>
    <x:tableColumn id="3" name="Removed ID"/>
    <x:tableColumn id="4" name="Removed dataset"/>
    <x:tableColumn id="5" name="Evidence key"/>
    <x:tableColumn id="6" name="Evidence level"/>
    <x:tableColumn id="7" name="Decision"/>
    <x:tableColumn id="8" name="Notes"/>
  </x:tableColumns>
  <x:tableStyleInfo name="TableStyleMedium2" showFirstColumn="0" showLastColumn="0" showRowStripes="1" showColumnStripes="0"/>
</x:table>
</file>

<file path=xl/tables/table4.xml><?xml version="1.0" encoding="utf-8"?>
<x:table xmlns:x="http://schemas.openxmlformats.org/spreadsheetml/2006/main" id="4" name="DuplicateCandidates" displayName="DuplicateCandidates" ref="A1:F8" headerRowCount="1" totalsRowCount="0" totalsRowShown="0">
  <x:tableColumns count="6">
    <x:tableColumn id="1" name="Review group"/>
    <x:tableColumn id="2" name="List IDs"/>
    <x:tableColumn id="3" name="Decision"/>
    <x:tableColumn id="4" name="Canonical/result"/>
    <x:tableColumn id="5" name="Evidence"/>
    <x:tableColumn id="6" name="Notes"/>
  </x:tableColumns>
  <x:tableStyleInfo name="TableStyleMedium2" showFirstColumn="0" showLastColumn="0" showRowStripes="1" showColumnStripes="0"/>
</x:table>
</file>

<file path=xl/tables/table5.xml><?xml version="1.0" encoding="utf-8"?>
<x:table xmlns:x="http://schemas.openxmlformats.org/spreadsheetml/2006/main" id="5" name="TuhCorpusMap" displayName="TuhCorpusMap" ref="A1:K8" headerRowCount="1" totalsRowCount="0" totalsRowShown="0">
  <x:tableColumns count="11">
    <x:tableColumn id="1" name="List ID"/>
    <x:tableColumn id="2" name="Corpus"/>
    <x:tableColumn id="3" name="Current official version"/>
    <x:tableColumn id="4" name="Official rsync path"/>
    <x:tableColumn id="5" name="Relationship to TUEG"/>
    <x:tableColumn id="6" name="Subjects/records"/>
    <x:tableColumn id="7" name="Duration/size"/>
    <x:tableColumn id="8" name="Task/annotation"/>
    <x:tableColumn id="9" name="Download status"/>
    <x:tableColumn id="10" name="Counting rule"/>
    <x:tableColumn id="11" name="Official landing page"/>
  </x:tableColumns>
  <x:tableStyleInfo name="TableStyleMedium2" showFirstColumn="0" showLastColumn="0" showRowStripes="1" showColumnStripes="0"/>
</x:table>
</file>

<file path=xl/tables/table6.xml><?xml version="1.0" encoding="utf-8"?>
<x:table xmlns:x="http://schemas.openxmlformats.org/spreadsheetml/2006/main" id="6" name="FolderArchitecture" displayName="FolderArchitecture" ref="A1:F36" headerRowCount="1" totalsRowCount="0" totalsRowShown="0">
  <x:tableColumns count="6">
    <x:tableColumn id="1" name="Level"/>
    <x:tableColumn id="2" name="Directory name"/>
    <x:tableColumn id="3" name="Paper name"/>
    <x:tableColumn id="4" name="Parent directory"/>
    <x:tableColumn id="5" name="Unique download units"/>
    <x:tableColumn id="6" name="Purpose"/>
  </x:tableColumns>
  <x:tableStyleInfo name="TableStyleMedium2" showFirstColumn="0" showLastColumn="0" showRowStripes="1" showColumnStripes="0"/>
</x:table>
</file>

<file path=xl/tables/table7.xml><?xml version="1.0" encoding="utf-8"?>
<x:table xmlns:x="http://schemas.openxmlformats.org/spreadsheetml/2006/main" id="7" name="RevisionLog" displayName="RevisionLog" ref="A1:F9" headerRowCount="1" totalsRowCount="0" totalsRowShown="0">
  <x:tableColumns count="6">
    <x:tableColumn id="1" name="Date"/>
    <x:tableColumn id="2" name="Change type"/>
    <x:tableColumn id="3" name="Scope"/>
    <x:tableColumn id="4" name="Details"/>
    <x:tableColumn id="5" name="Evidence/source"/>
    <x:tableColumn id="6" name="Server impact"/>
  </x:tableColumns>
  <x:tableStyleInfo name="TableStyleMedium2" showFirstColumn="0" showLastColumn="0" showRowStripes="1" showColumnStripes="0"/>
</x:table>
</file>

<file path=xl/tables/table8.xml><?xml version="1.0" encoding="utf-8"?>
<x:table xmlns:x="http://schemas.openxmlformats.org/spreadsheetml/2006/main" id="8" name="OriginalDuplicateEvidence" displayName="OriginalDuplicateEvidence" ref="A1:D126" headerRowCount="1" totalsRowCount="0" totalsRowShown="0">
  <x:tableColumns count="4">
    <x:tableColumn id="1" name="规范名称"/>
    <x:tableColumn id="2" name="原始条目名称"/>
    <x:tableColumn id="3" name="稳定标识"/>
    <x:tableColumn id="4" name="合并依据"/>
  </x:tableColumns>
  <x:tableStyleInfo name="TableStyleMedium2" showFirstColumn="0" showLastColumn="0" showRowStripes="1" showColumnStripes="0"/>
</x:table>
</file>

<file path=xl/tables/table9.xml><?xml version="1.0" encoding="utf-8"?>
<x:table xmlns:x="http://schemas.openxmlformats.org/spreadsheetml/2006/main" id="12" name="ClassificationRules" displayName="ClassificationRules" ref="A1:D8" headerRowCount="1" totalsRowCount="0" totalsRowShown="0">
  <x:tableColumns count="4">
    <x:tableColumn id="1" name="类别/问题"/>
    <x:tableColumn id="2" name="纳入逻辑"/>
    <x:tableColumn id="3" name="例子"/>
    <x:tableColumn id="4" name="边界与例外"/>
  </x:tableColumns>
  <x:tableStyleInfo name="TableStyleMedium2" showFirstColumn="0" showLastColumn="0" showRowStripes="1" showColumnStripes="0"/>
</x:table>
</file>

<file path=xl/tables/table10.xml><?xml version="1.0" encoding="utf-8"?>
<x:table xmlns:x="http://schemas.openxmlformats.org/spreadsheetml/2006/main" id="13" name="ClassificationChangeLog" displayName="ClassificationChangeLog" ref="A1:E150" headerRowCount="1" totalsRowCount="0" totalsRowShown="0">
  <x:tableColumns count="5">
    <x:tableColumn id="1" name="ID"/>
    <x:tableColumn id="2" name="字段"/>
    <x:tableColumn id="3" name="修订后值"/>
    <x:tableColumn id="4" name="原因"/>
    <x:tableColumn id="5" name="证据"/>
  </x:tableColumns>
  <x:tableStyleInfo name="TableStyleMedium2" showFirstColumn="0" showLastColumn="0" showRowStripes="1" showColumnStripes="0"/>
</x:table>
</file>

<file path=xl/tables/table11.xml><?xml version="1.0" encoding="utf-8"?>
<x:table xmlns:x="http://schemas.openxmlformats.org/spreadsheetml/2006/main" id="14" name="DownloadedAuditDetail" displayName="DownloadedAuditDetail" ref="A16:I80" headerRowCount="1" totalsRowCount="0" totalsRowShown="0">
  <x:tableColumns count="9">
    <x:tableColumn id="1" name="ID"/>
    <x:tableColumn id="2" name="队列属性"/>
    <x:tableColumn id="3" name="数据集"/>
    <x:tableColumn id="4" name="计入 raw 总量"/>
    <x:tableColumn id="5" name="受试者行计数"/>
    <x:tableColumn id="6" name="直接观察人数"/>
    <x:tableColumn id="7" name="raw 时长(h)"/>
    <x:tableColumn id="8" name="时长证据"/>
    <x:tableColumn id="9" name="下载复核说明"/>
  </x:tableColumns>
  <x:tableStyleInfo name="TableStyleMedium2" showFirstColumn="0" showLastColumn="0" showRowStripes="1" showColumnStripes="0"/>
</x:table>
</file>

<file path=xl/tables/table12.xml><?xml version="1.0" encoding="utf-8"?>
<x:table xmlns:x="http://schemas.openxmlformats.org/spreadsheetml/2006/main" id="15" name="EvidenceSources" displayName="EvidenceSources" ref="A1:C20" headerRowCount="1" totalsRowCount="0" totalsRowShown="0">
  <x:tableColumns count="3">
    <x:tableColumn id="1" name="来源"/>
    <x:tableColumn id="2" name="URL"/>
    <x:tableColumn id="3" name="支持的结论"/>
  </x:tableColumns>
  <x:tableStyleInfo name="TableStyleMedium2" showFirstColumn="0" showLastColumn="0" showRowStripes="1" showColumnStripes="0"/>
</x:table>
</file>

<file path=xl/tables/table13.xml><?xml version="1.0" encoding="utf-8"?>
<x:table xmlns:x="http://schemas.openxmlformats.org/spreadsheetml/2006/main" id="17" name="HealthcareFocus20260823" displayName="HealthcareFocus20260823" ref="A1:R147" headerRowCount="1" totalsRowCount="0" totalsRowShown="0">
  <x:tableColumns count="18">
    <x:tableColumn id="1" name="ID"/>
    <x:tableColumn id="2" name="队列属性"/>
    <x:tableColumn id="3" name="二级分类"/>
    <x:tableColumn id="4" name="数据集"/>
    <x:tableColumn id="5" name="任务"/>
    <x:tableColumn id="6" name="受试者口径"/>
    <x:tableColumn id="7" name="受试者数"/>
    <x:tableColumn id="8" name="当前 raw EEG 时长(h)"/>
    <x:tableColumn id="9" name="文献/最佳可用时长(h)"/>
    <x:tableColumn id="10" name="服务器状态"/>
    <x:tableColumn id="11" name="下载决策"/>
    <x:tableColumn id="12" name="优先级"/>
    <x:tableColumn id="13" name="实体大小(GB)"/>
    <x:tableColumn id="14" name="下一步"/>
    <x:tableColumn id="15" name="访问"/>
    <x:tableColumn id="16" name="入口"/>
    <x:tableColumn id="17" name="稳定标识"/>
    <x:tableColumn id="18" name="新增"/>
  </x:tableColumns>
  <x:tableStyleInfo name="TableStyleMedium2" showFirstColumn="0" showLastColumn="0" showRowStripes="1" showColumnStripes="0"/>
</x:table>
</file>

<file path=xl/tables/table14.xml><?xml version="1.0" encoding="utf-8"?>
<x:table xmlns:x="http://schemas.openxmlformats.org/spreadsheetml/2006/main" id="18" name="DownloadChecklist20260823" displayName="DownloadChecklist20260823" ref="A1:Q147" headerRowCount="1" totalsRowCount="0" totalsRowShown="0">
  <x:tableColumns count="17">
    <x:tableColumn id="1" name="ID"/>
    <x:tableColumn id="2" name="优先级"/>
    <x:tableColumn id="3" name="下载决策"/>
    <x:tableColumn id="4" name="队列属性"/>
    <x:tableColumn id="5" name="二级分类"/>
    <x:tableColumn id="6" name="数据集"/>
    <x:tableColumn id="7" name="服务器状态"/>
    <x:tableColumn id="8" name="已取得独立raw"/>
    <x:tableColumn id="9" name="精确时长已审计"/>
    <x:tableColumn id="10" name="已审计时长(h)"/>
    <x:tableColumn id="11" name="文献/最佳时长(h)"/>
    <x:tableColumn id="12" name="实体大小(GB)"/>
    <x:tableColumn id="13" name="访问方式"/>
    <x:tableColumn id="14" name="下载方法"/>
    <x:tableColumn id="15" name="官方入口"/>
    <x:tableColumn id="16" name="建议路径"/>
    <x:tableColumn id="17" name="决策理由/下一步"/>
  </x:tableColumns>
  <x:tableStyleInfo name="TableStyleMedium2" showFirstColumn="0" showLastColumn="0" showRowStripes="1" showColumnStripes="0"/>
</x:table>
</file>

<file path=xl/tables/table15.xml><?xml version="1.0" encoding="utf-8"?>
<x:table xmlns:x="http://schemas.openxmlformats.org/spreadsheetml/2006/main" id="19" name="NewDatasets20260823" displayName="NewDatasets20260823" ref="A1:U26" headerRowCount="1" totalsRowCount="0" totalsRowShown="0">
  <x:tableColumns count="21">
    <x:tableColumn id="1" name="Unique ID"/>
    <x:tableColumn id="2" name="大类目录"/>
    <x:tableColumn id="3" name="小类目录"/>
    <x:tableColumn id="4" name="规范数据集名称"/>
    <x:tableColumn id="5" name="合并别名"/>
    <x:tableColumn id="6" name="稳定标识（DOI/OpenNeuro/BNCI/仓库ID）"/>
    <x:tableColumn id="7" name="下载状态"/>
    <x:tableColumn id="8" name="下载/申请入口"/>
    <x:tableColumn id="9" name="任务"/>
    <x:tableColumn id="10" name="受试者数"/>
    <x:tableColumn id="11" name="通道数"/>
    <x:tableColumn id="12" name="采样率"/>
    <x:tableColumn id="13" name="格式"/>
    <x:tableColumn id="14" name="Raw/Processed"/>
    <x:tableColumn id="15" name="许可与申请说明"/>
    <x:tableColumn id="16" name="论文/作者"/>
    <x:tableColumn id="17" name="建议相对路径"/>
    <x:tableColumn id="18" name="核验结论"/>
    <x:tableColumn id="19" name="fMRI TR (s)"/>
    <x:tableColumn id="20" name="Recording duration (s)"/>
    <x:tableColumn id="21" name="Number of scans"/>
  </x:tableColumns>
  <x:tableStyleInfo name="TableStyleMedium2" showFirstColumn="0" showLastColumn="0" showRowStripes="1" showColumnStripes="0"/>
</x:table>
</file>

<file path=xl/tables/table16.xml><?xml version="1.0" encoding="utf-8"?>
<x:table xmlns:x="http://schemas.openxmlformats.org/spreadsheetml/2006/main" id="20" name="CategoryStatistics20260811" displayName="CategoryStatistics20260811" ref="A1:E57" headerRowCount="1" totalsRowCount="0" totalsRowShown="0">
  <x:tableColumns count="5">
    <x:tableColumn id="1" name="大类代码"/>
    <x:tableColumn id="2" name="大类"/>
    <x:tableColumn id="3" name="大类数量"/>
    <x:tableColumn id="4" name="小类"/>
    <x:tableColumn id="5" name="小类数量"/>
  </x:tableColumns>
  <x:tableStyleInfo name="TableStyleMedium2" showFirstColumn="0" showLastColumn="0" showRowStripes="1" showColumnStripes="0"/>
</x:table>
</file>

<file path=xl/tables/table17.xml><?xml version="1.0" encoding="utf-8"?>
<x:table xmlns:x="http://schemas.openxmlformats.org/spreadsheetml/2006/main" id="21" name="REVEComposition" displayName="REVEComposition" ref="A12:D17" headerRowCount="1" totalsRowCount="0" totalsRowShown="0">
  <x:tableColumns count="4">
    <x:tableColumn id="1" name="平台"/>
    <x:tableColumn id="2" name="数据集数"/>
    <x:tableColumn id="3" name="受试者"/>
    <x:tableColumn id="4" name="小时"/>
  </x:tableColumns>
  <x:tableStyleInfo name="TableStyleMedium2" showFirstColumn="0" showLastColumn="0" showRowStripes="1" showColumnStripes="0"/>
</x:table>
</file>

<file path=xl/tables/table18.xml><?xml version="1.0" encoding="utf-8"?>
<x:table xmlns:x="http://schemas.openxmlformats.org/spreadsheetml/2006/main" id="22" name="REVEAppendixCoverage" displayName="REVEAppendixCoverage" ref="A27:D116" headerRowCount="1" totalsRowCount="0" totalsRowShown="0">
  <x:tableColumns count="4">
    <x:tableColumn id="1" name="平台"/>
    <x:tableColumn id="2" name="Appendix B 来源"/>
    <x:tableColumn id="3" name="覆盖"/>
    <x:tableColumn id="4" name="目录匹配"/>
  </x:tableColumns>
  <x:tableStyleInfo name="TableStyleMedium2" showFirstColumn="0" showLastColumn="0" showRowStripes="1" showColumnStripes="0"/>
</x:table>
</file>

<file path=xl/tables/table19.xml><?xml version="1.0" encoding="utf-8"?>
<x:table xmlns:x="http://schemas.openxmlformats.org/spreadsheetml/2006/main" id="23" name="NeuroAtlasSources20260823" displayName="NeuroAtlasSources20260823" ref="A14:J56" headerRowCount="1" totalsRowCount="0" totalsRowShown="0">
  <x:tableColumns count="10">
    <x:tableColumn id="1" name="域"/>
    <x:tableColumn id="2" name="NeuroAtlas 来源"/>
    <x:tableColumn id="3" name="匹配状态"/>
    <x:tableColumn id="4" name="目录 ID"/>
    <x:tableColumn id="5" name="NeuroAtlas h"/>
    <x:tableColumn id="6" name="重点范围"/>
    <x:tableColumn id="7" name="本目录分类"/>
    <x:tableColumn id="8" name="访问"/>
    <x:tableColumn id="9" name="入口"/>
    <x:tableColumn id="10" name="下载/口径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7b204ecb4134036" /></Relationships>
</file>

<file path=xl/worksheets/_rels/sheet3.xml.rels>&#65279;<?xml version="1.0" encoding="utf-8"?><Relationships xmlns="http://schemas.openxmlformats.org/package/2006/relationships"><Relationship Type="http://schemas.openxmlformats.org/officeDocument/2006/relationships/table" Target="/xl/tables/table2.xml" Id="R25bb94a827954b61" /></Relationships>
</file>

<file path=xl/worksheets/_rels/sheet4.xml.rels>&#65279;<?xml version="1.0" encoding="utf-8"?><Relationships xmlns="http://schemas.openxmlformats.org/package/2006/relationships"><Relationship Type="http://schemas.openxmlformats.org/officeDocument/2006/relationships/table" Target="/xl/tables/table3.xml" Id="Ra3e06932ccc64b6e" /></Relationships>
</file>

<file path=xl/worksheets/_rels/sheet5.xml.rels>&#65279;<?xml version="1.0" encoding="utf-8"?><Relationships xmlns="http://schemas.openxmlformats.org/package/2006/relationships"><Relationship Type="http://schemas.openxmlformats.org/officeDocument/2006/relationships/table" Target="/xl/tables/table4.xml" Id="R6a23ae4ba7944d0a" /></Relationships>
</file>

<file path=xl/worksheets/_rels/sheet6.xml.rels>&#65279;<?xml version="1.0" encoding="utf-8"?><Relationships xmlns="http://schemas.openxmlformats.org/package/2006/relationships"><Relationship Type="http://schemas.openxmlformats.org/officeDocument/2006/relationships/table" Target="/xl/tables/table5.xml" Id="Rdcbb0ee9e86f4cc1" /></Relationships>
</file>

<file path=xl/worksheets/_rels/sheet7.xml.rels>&#65279;<?xml version="1.0" encoding="utf-8"?><Relationships xmlns="http://schemas.openxmlformats.org/package/2006/relationships"><Relationship Type="http://schemas.openxmlformats.org/officeDocument/2006/relationships/table" Target="/xl/tables/table6.xml" Id="Rd41a057940464404" /></Relationships>
</file>

<file path=xl/worksheets/_rels/sheet8.xml.rels>&#65279;<?xml version="1.0" encoding="utf-8"?><Relationships xmlns="http://schemas.openxmlformats.org/package/2006/relationships"><Relationship Type="http://schemas.openxmlformats.org/officeDocument/2006/relationships/table" Target="/xl/tables/table7.xml" Id="R55dff6ed6f6a4e86" /></Relationships>
</file>

<file path=xl/worksheets/_rels/sheet9.xml.rels>&#65279;<?xml version="1.0" encoding="utf-8"?><Relationships xmlns="http://schemas.openxmlformats.org/package/2006/relationships"><Relationship Type="http://schemas.openxmlformats.org/officeDocument/2006/relationships/table" Target="/xl/tables/table8.xml" Id="Rb5e13a1a2c444ccb" /></Relationships>
</file>

<file path=xl/worksheets/_rels/sheet10.xml.rels>&#65279;<?xml version="1.0" encoding="utf-8"?><Relationships xmlns="http://schemas.openxmlformats.org/package/2006/relationships"><Relationship Type="http://schemas.openxmlformats.org/officeDocument/2006/relationships/table" Target="/xl/tables/table9.xml" Id="R0e2cc68e3be443ad" /></Relationships>
</file>

<file path=xl/worksheets/_rels/sheet11.xml.rels>&#65279;<?xml version="1.0" encoding="utf-8"?><Relationships xmlns="http://schemas.openxmlformats.org/package/2006/relationships"><Relationship Type="http://schemas.openxmlformats.org/officeDocument/2006/relationships/table" Target="/xl/tables/table10.xml" Id="R2af588f2ad3a470c" /></Relationships>
</file>

<file path=xl/worksheets/_rels/sheet12.xml.rels>&#65279;<?xml version="1.0" encoding="utf-8"?><Relationships xmlns="http://schemas.openxmlformats.org/package/2006/relationships"><Relationship Type="http://schemas.openxmlformats.org/officeDocument/2006/relationships/table" Target="/xl/tables/table11.xml" Id="R6c0d1edfd3b143f2" /></Relationships>
</file>

<file path=xl/worksheets/_rels/sheet13.xml.rels>&#65279;<?xml version="1.0" encoding="utf-8"?><Relationships xmlns="http://schemas.openxmlformats.org/package/2006/relationships"><Relationship Type="http://schemas.openxmlformats.org/officeDocument/2006/relationships/table" Target="/xl/tables/table12.xml" Id="R0e01bc5db97f4419" /></Relationships>
</file>

<file path=xl/worksheets/_rels/sheet14.xml.rels>&#65279;<?xml version="1.0" encoding="utf-8"?><Relationships xmlns="http://schemas.openxmlformats.org/package/2006/relationships"><Relationship Type="http://schemas.openxmlformats.org/officeDocument/2006/relationships/table" Target="/xl/tables/table13.xml" Id="R79eddeb9876e471d" /></Relationships>
</file>

<file path=xl/worksheets/_rels/sheet15.xml.rels>&#65279;<?xml version="1.0" encoding="utf-8"?><Relationships xmlns="http://schemas.openxmlformats.org/package/2006/relationships"><Relationship Type="http://schemas.openxmlformats.org/officeDocument/2006/relationships/table" Target="/xl/tables/table14.xml" Id="R3751cba0bd7a457d" /></Relationships>
</file>

<file path=xl/worksheets/_rels/sheet16.xml.rels>&#65279;<?xml version="1.0" encoding="utf-8"?><Relationships xmlns="http://schemas.openxmlformats.org/package/2006/relationships"><Relationship Type="http://schemas.openxmlformats.org/officeDocument/2006/relationships/table" Target="/xl/tables/table15.xml" Id="Rfdb68951c8c84d87" /></Relationships>
</file>

<file path=xl/worksheets/_rels/sheet17.xml.rels>&#65279;<?xml version="1.0" encoding="utf-8"?><Relationships xmlns="http://schemas.openxmlformats.org/package/2006/relationships"><Relationship Type="http://schemas.openxmlformats.org/officeDocument/2006/relationships/table" Target="/xl/tables/table16.xml" Id="R2d70aafd2ca74efa" /></Relationships>
</file>

<file path=xl/worksheets/_rels/sheet18.xml.rels>&#65279;<?xml version="1.0" encoding="utf-8"?><Relationships xmlns="http://schemas.openxmlformats.org/package/2006/relationships"><Relationship Type="http://schemas.openxmlformats.org/officeDocument/2006/relationships/table" Target="/xl/tables/table17.xml" Id="R24374d89f5b34440" /><Relationship Type="http://schemas.openxmlformats.org/officeDocument/2006/relationships/table" Target="/xl/tables/table18.xml" Id="R52547f7081ba4116" /></Relationships>
</file>

<file path=xl/worksheets/_rels/sheet19.xml.rels>&#65279;<?xml version="1.0" encoding="utf-8"?><Relationships xmlns="http://schemas.openxmlformats.org/package/2006/relationships"><Relationship Type="http://schemas.openxmlformats.org/officeDocument/2006/relationships/table" Target="/xl/tables/table19.xml" Id="R36cc81a56de349f3" /></Relationships>
</file>

<file path=xl/worksheets/sheet1.xml><?xml version="1.0" encoding="utf-8"?>
<x:worksheet xmlns:x="http://schemas.openxmlformats.org/spreadsheetml/2006/main">
  <x:sheetViews>
    <x:sheetView showGridLines="0" workbookViewId="0"/>
  </x:sheetViews>
  <x:sheetFormatPr defaultRowHeight="15"/>
  <x:cols>
    <x:col min="1" max="1" width="29" hidden="0" customWidth="1"/>
    <x:col min="2" max="2" width="100" hidden="0" customWidth="1"/>
  </x:cols>
  <x:sheetData>
    <x:row r="1" ht="34" customHeight="1">
      <x:c r="A1" s="195" t="str">
        <x:v>BIG EEG DATA｜562-dataset evidence workbook</x:v>
      </x:c>
      <x:c r="B1" s="195"/>
    </x:row>
    <x:row r="2" ht="34" customHeight="1">
      <x:c r="A2" s="241" t="str">
        <x:v>修订日期</x:v>
      </x:c>
      <x:c r="B2" s="211" t="str">
        <x:v>2026-08-23</x:v>
      </x:c>
    </x:row>
    <x:row r="3" ht="34" customHeight="1">
      <x:c r="A3" s="242" t="str">
        <x:v>最终唯一下载单元</x:v>
      </x:c>
      <x:c r="B3" s="213" t="n">
        <x:v>562</x:v>
      </x:c>
    </x:row>
    <x:row r="4" ht="34" customHeight="1">
      <x:c r="A4" s="242" t="str">
        <x:v>累计新增</x:v>
      </x:c>
      <x:c r="B4" s="213" t="str">
        <x:v>25 个（REVE 补入 8 个 HBN releases；NeuroAtlas 补入 6 个来源）</x:v>
      </x:c>
    </x:row>
    <x:row r="5" ht="34" customHeight="1">
      <x:c r="A5" s="242" t="str">
        <x:v>Evidence worksheets</x:v>
      </x:c>
      <x:c r="B5" s="213" t="n">
        <x:v>19</x:v>
      </x:c>
    </x:row>
    <x:row r="6" ht="34" customHeight="1">
      <x:c r="A6" s="242" t="str">
        <x:v>目录排序</x:v>
      </x:c>
      <x:c r="B6" s="213" t="str">
        <x:v>资料完整度优先；缺少 subjects/channels/rate/format/access/identifier/paper/duration 的条目后置</x:v>
      </x:c>
    </x:row>
    <x:row r="7" ht="34" customHeight="1">
      <x:c r="A7" s="246" t="str">
        <x:v>服务器完成目录</x:v>
      </x:c>
      <x:c r="B7" s="247" t="str">
        <x:v>74 units（含 TUH 重叠与非 raw 排除项）</x:v>
      </x:c>
    </x:row>
    <x:row r="8" ht="34" customHeight="1">
      <x:c r="A8" s="246" t="str">
        <x:v>独立 raw 已获取</x:v>
      </x:c>
      <x:c r="B8" s="247" t="str">
        <x:v>67 units（疾病 55 / Health 12）</x:v>
      </x:c>
    </x:row>
    <x:row r="9" ht="34" customHeight="1">
      <x:c r="A9" s="246" t="str">
        <x:v>精确时长已审计</x:v>
      </x:c>
      <x:c r="B9" s="247" t="str">
        <x:v>57 units / 43627.8 h</x:v>
      </x:c>
    </x:row>
    <x:row r="10" ht="34" customHeight="1">
      <x:c r="A10" s="246" t="str">
        <x:v>下载执行队列</x:v>
      </x:c>
      <x:c r="B10" s="247" t="str">
        <x:v>68 个仍可推进；4 个舍弃但保留目录证据</x:v>
      </x:c>
    </x:row>
    <x:row r="11" ht="34" customHeight="1">
      <x:c r="A11" s="246" t="str">
        <x:v>疾病/健康重点范围</x:v>
      </x:c>
      <x:c r="B11" s="247" t="str">
        <x:v>146 units（疾病 109 / 健康 37）</x:v>
      </x:c>
    </x:row>
    <x:row r="12" ht="58" customHeight="1">
      <x:c r="A12" s="242" t="str">
        <x:v>疾病/健康来源覆盖</x:v>
      </x:c>
      <x:c r="B12" s="213" t="str">
        <x:v>≈ 346490.7 h（来源级去重覆盖估计）</x:v>
      </x:c>
    </x:row>
    <x:row r="13" ht="58" customHeight="1">
      <x:c r="A13" s="242" t="str">
        <x:v>已下载 / 未下载时长</x:v>
      </x:c>
      <x:c r="B13" s="213" t="str">
        <x:v>43627.8 h / ≈ 302862.9 h</x:v>
      </x:c>
    </x:row>
    <x:row r="14" ht="58" customHeight="1">
      <x:c r="A14" s="242" t="str">
        <x:v>NeuroAtlas 对照</x:v>
      </x:c>
      <x:c r="B14" s="213" t="str">
        <x:v>42/42 sources；原目录 36，本轮补入 6；论文约 260,000 h</x:v>
      </x:c>
    </x:row>
    <x:row r="15" ht="58" customHeight="1">
      <x:c r="A15" s="242" t="str">
        <x:v>NeuroAtlas 去重逻辑</x:v>
      </x:c>
      <x:c r="B15" s="213" t="str">
        <x:v>癫痫 58k + 睡眠 201k；脑龄 193k 复用睡眠，不再叠加。以 TUEG 父集替换 TUSZ 子集并加入 I-CARE 后，核心并集 341253.3 h。</x:v>
      </x:c>
    </x:row>
    <x:row r="16">
      <x:c r="A16" s="243" t="str">
        <x:v>REVE 预训练汇编</x:v>
      </x:c>
      <x:c r="B16" s="215" t="str">
        <x:v>61,415 h / 24,274 subjects / 150,833 sessions / 92 sources（论文 Table 7）</x:v>
      </x:c>
    </x:row>
    <x:row r="17">
      <x:c r="A17" s="243" t="str">
        <x:v>口径提醒</x:v>
      </x:c>
      <x:c r="B17" s="215" t="str">
        <x:v>67 是服务器目录与独立 raw 获取口径；57 / 43,627.8 h 是已有时长审计口径；346,490.7 h 是来源覆盖估计，三者不可混写。</x:v>
      </x:c>
    </x:row>
    <x:row r="18">
      <x:c r="A18" s="243" t="str">
        <x:v>REVE 明示来源覆盖</x:v>
      </x:c>
      <x:c r="B18" s="215" t="str">
        <x:v>89/89；论文称 92，但 Appendix B 逐名只列出 89 个唯一名称/ID。</x:v>
      </x:c>
    </x:row>
    <x:row r="19">
      <x:c r="A19" s="244" t="str">
        <x:v>主要差异</x:v>
      </x:c>
      <x:c r="B19" s="217" t="str">
        <x:v>REVE 计入 PhysioNet 22,707 h（主要为 I-CARE）和 OpenNeuro 10,194 h；我们的审计另含 REVE 未明示的 SeizeIT2 约 11,626 h。</x:v>
      </x:c>
    </x:row>
    <x:row r="20">
      <x:c r="A20" s="243" t="str">
        <x:v>I-CARE 分类</x:v>
      </x:c>
      <x:c r="B20" s="215" t="str">
        <x:v>修正为 02_Healthcare_and_Disease / Critical_Care_and_Coma；完整 consortium 文献口径为 1,020 patients / 56,676 h。</x:v>
      </x:c>
    </x:row>
    <x:row r="21">
      <x:c r="A21" s="243" t="str">
        <x:v>分类逻辑</x:v>
      </x:c>
      <x:c r="B21" s="215" t="str">
        <x:v>临床 MDD 属疾病；一般情绪/算术实验不是疾病。睡眠分期保留任务目录，同时按临床患者或健康队列进入疾病/健康重点范围。</x:v>
      </x:c>
    </x:row>
    <x:row r="22">
      <x:c r="A22" s="243" t="str">
        <x:v>受试者口径</x:v>
      </x:c>
      <x:c r="B22" s="215" t="str">
        <x:v>94,700 dataset-subject entries（来源行合计；不是跨数据集去重后的唯一人数）</x:v>
      </x:c>
    </x:row>
    <x:row r="23">
      <x:c r="A23" s="243" t="str">
        <x:v>推荐阅读</x:v>
      </x:c>
      <x:c r="B23" s="215" t="str">
        <x:v>README → 下载执行清单 → NeuroAtlas对照_42 → 分类统计 → 最终唯一下载清单 → 下载与时长复核 → 证据来源</x:v>
      </x:c>
    </x:row>
    <x:row r="24">
      <x:c r="A24" s="245" t="str">
        <x:v>谨慎原则</x:v>
      </x:c>
      <x:c r="B24" s="228" t="str">
        <x:v>未知总时长保持空白，不用 8 h/晚等假设制造精确感。</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24" hidden="0" customWidth="1"/>
    <x:col min="3" max="3" width="25" hidden="0" customWidth="1"/>
    <x:col min="4" max="4" width="36" hidden="0" customWidth="1"/>
    <x:col min="5" max="5" width="28" hidden="0" customWidth="1"/>
    <x:col min="6" max="6" width="31" hidden="0" customWidth="1"/>
    <x:col min="7" max="7" width="21" hidden="0" customWidth="1"/>
    <x:col min="8" max="8" width="42" hidden="0" customWidth="1"/>
    <x:col min="9" max="9" width="40" hidden="0" customWidth="1"/>
    <x:col min="10" max="10" width="24" hidden="0" customWidth="1"/>
    <x:col min="11" max="11" width="17" hidden="0" customWidth="1"/>
    <x:col min="12" max="12" width="18" hidden="0" customWidth="1"/>
    <x:col min="13" max="13" width="19" hidden="0" customWidth="1"/>
    <x:col min="14" max="14" width="24" hidden="0" customWidth="1"/>
    <x:col min="15" max="15" width="31" hidden="0" customWidth="1"/>
    <x:col min="16" max="16" width="38" hidden="0" customWidth="1"/>
    <x:col min="17" max="17" width="41" hidden="0" customWidth="1"/>
    <x:col min="18" max="18" width="42" hidden="0" customWidth="1"/>
    <x:col min="19" max="19" width="14" hidden="0" customWidth="1"/>
    <x:col min="20" max="20" width="19" hidden="0" customWidth="1"/>
    <x:col min="21" max="21" width="16" hidden="0" customWidth="1"/>
  </x:cols>
  <x:sheetData>
    <x:row r="1" ht="32" customHeight="1">
      <x:c r="A1" s="251" t="str">
        <x:v>Unique ID</x:v>
      </x:c>
      <x:c r="B1" s="252" t="str">
        <x:v>大类目录</x:v>
      </x:c>
      <x:c r="C1" s="252" t="str">
        <x:v>小类目录</x:v>
      </x:c>
      <x:c r="D1" s="252" t="str">
        <x:v>规范数据集名称</x:v>
      </x:c>
      <x:c r="E1" s="252" t="str">
        <x:v>合并别名</x:v>
      </x:c>
      <x:c r="F1" s="252" t="str">
        <x:v>稳定标识（DOI/OpenNeuro/BNCI/仓库ID）</x:v>
      </x:c>
      <x:c r="G1" s="252" t="str">
        <x:v>下载状态</x:v>
      </x:c>
      <x:c r="H1" s="252" t="str">
        <x:v>下载/申请入口</x:v>
      </x:c>
      <x:c r="I1" s="252" t="str">
        <x:v>任务</x:v>
      </x:c>
      <x:c r="J1" s="252" t="str">
        <x:v>受试者数</x:v>
      </x:c>
      <x:c r="K1" s="252" t="str">
        <x:v>通道数</x:v>
      </x:c>
      <x:c r="L1" s="252" t="str">
        <x:v>采样率</x:v>
      </x:c>
      <x:c r="M1" s="252" t="str">
        <x:v>格式</x:v>
      </x:c>
      <x:c r="N1" s="252" t="str">
        <x:v>Raw/Processed</x:v>
      </x:c>
      <x:c r="O1" s="252" t="str">
        <x:v>许可与申请说明</x:v>
      </x:c>
      <x:c r="P1" s="252" t="str">
        <x:v>论文/作者</x:v>
      </x:c>
      <x:c r="Q1" s="252" t="str">
        <x:v>建议相对路径</x:v>
      </x:c>
      <x:c r="R1" s="252" t="str">
        <x:v>核验结论</x:v>
      </x:c>
      <x:c r="S1" s="252" t="str">
        <x:v>fMRI TR (s)</x:v>
      </x:c>
      <x:c r="T1" s="252" t="str">
        <x:v>Recording duration (s)</x:v>
      </x:c>
      <x:c r="U1" s="253" t="str">
        <x:v>Number of scans</x:v>
      </x:c>
    </x:row>
    <x:row r="2" ht="60" customHeight="1">
      <x:c r="A2" s="271" t="str">
        <x:v>EEG-0150</x:v>
      </x:c>
      <x:c r="B2" s="272" t="str">
        <x:v>02_Healthcare_and_Disease</x:v>
      </x:c>
      <x:c r="C2" s="272" t="str">
        <x:v>Critical_Care_and_Coma</x:v>
      </x:c>
      <x:c r="D2" s="272" t="str">
        <x:v>I-CARE</x:v>
      </x:c>
      <x:c r="E2" s="272"/>
      <x:c r="F2" s="272" t="str">
        <x:v>BDSP:I-CARE:v2.0 | PhysioNet:i-care | PMID:37693458</x:v>
      </x:c>
      <x:c r="G2" s="272" t="str">
        <x:v>DOWNLOAD_PUBLIC</x:v>
      </x:c>
      <x:c r="H2" s="272" t="str">
        <x:v>https://bdsp.io/content/bdsp-icare/2.0/</x:v>
      </x:c>
      <x:c r="I2" s="272" t="str">
        <x:v>coma prognosis after cardiac arrest; continuous ICU EEG/ECG + clinical outcomes</x:v>
      </x:c>
      <x:c r="J2" s="272" t="str">
        <x:v>1,020 patients (607 training + 107 validation + 306 test)</x:v>
      </x:c>
      <x:c r="K2" s="272" t="str">
        <x:v>hospital/patient-dependent; EEG list up to 22</x:v>
      </x:c>
      <x:c r="L2" s="272" t="str">
        <x:v>record-specific; example header 500Hz</x:v>
      </x:c>
      <x:c r="M2" s="272" t="str">
        <x:v>WFDB-compatible MAT v4 + HEA</x:v>
      </x:c>
      <x:c r="N2" s="272" t="str">
        <x:v>raw EEG/ECG + clinical labels</x:v>
      </x:c>
      <x:c r="O2" s="272" t="str">
        <x:v>Full I-CARE v2.0 corpus; follow current BDSP/PhysioNet terms. Public challenge release and complete consortium scope must be distinguished.</x:v>
      </x:c>
      <x:c r="P2" s="272" t="str">
        <x:v>Amorim et al. (2023), I-CARE consortium; REVE Appendix B</x:v>
      </x:c>
      <x:c r="Q2" s="272" t="str">
        <x:v>02_Healthcare_and_Disease/Critical_Care_and_Coma/I-CARE</x:v>
      </x:c>
      <x:c r="R2" s="272" t="str">
        <x:v>分类修正：心脏骤停后昏迷 ICU 连续 EEG 属临床疾病/重症监护；56,676 h 为完整 consortium 连续 EEG 文献口径，不等于本地已下载文件审计时长。</x:v>
      </x:c>
      <x:c r="S2" s="272"/>
      <x:c r="T2" s="272" t="n">
        <x:v>204033600</x:v>
      </x:c>
      <x:c r="U2" s="273" t="n">
        <x:v>1020</x:v>
      </x:c>
    </x:row>
    <x:row r="3" ht="60" customHeight="1">
      <x:c r="A3" s="264" t="str">
        <x:v>EEG-0345</x:v>
      </x:c>
      <x:c r="B3" s="257" t="str">
        <x:v>08_Health_and_Population</x:v>
      </x:c>
      <x:c r="C3" s="257" t="str">
        <x:v>Developmental_Clinical_Cohort</x:v>
      </x:c>
      <x:c r="D3" s="257" t="str">
        <x:v>HBN-EEG Release 1</x:v>
      </x:c>
      <x:c r="E3" s="257" t="str">
        <x:v>Healthy Brain Network EEG; ds005505</x:v>
      </x:c>
      <x:c r="F3" s="257" t="str">
        <x:v>OpenNeuro:ds005505 | DOI:10.18112/openneuro.ds005505.v1.0.1</x:v>
      </x:c>
      <x:c r="G3" s="257" t="str">
        <x:v>DOWNLOAD_PUBLIC</x:v>
      </x:c>
      <x:c r="H3" s="257" t="str">
        <x:v>https://openneuro.org/datasets/ds005505</x:v>
      </x:c>
      <x:c r="I3" s="257" t="str">
        <x:v>Multi-task (rest, surround suppression, movie, contrast change, sequence learning, symbol search)</x:v>
      </x:c>
      <x:c r="J3" s="257" t="str">
        <x:v>136</x:v>
      </x:c>
      <x:c r="K3" s="257" t="str">
        <x:v>129</x:v>
      </x:c>
      <x:c r="L3" s="257" t="str">
        <x:v>500 Hz</x:v>
      </x:c>
      <x:c r="M3" s="257" t="str">
        <x:v>BIDS EEG / EEGLAB SET</x:v>
      </x:c>
      <x:c r="N3" s="257" t="str">
        <x:v>BIDS-organized EEG release</x:v>
      </x:c>
      <x:c r="O3" s="257" t="str">
        <x:v>CC BY-SA 4.0</x:v>
      </x:c>
      <x:c r="P3" s="257" t="str">
        <x:v>HBN-EEG: the FAIR implementation of the Healthy Brain Network EEG dataset. Shirazi et al., 2024, bioRxiv (data: Alexander et al., 2017, Scientific Data 4:170181).</x:v>
      </x:c>
      <x:c r="Q3" s="257" t="str">
        <x:v>08_Health_and_Population/Developmental_Clinical_Cohort/HBN_EEG_R1_ds005505</x:v>
      </x:c>
      <x:c r="R3" s="257" t="str">
        <x:v>按 OpenNeuro 独立 release 去重；136 subjects、1,342 recordings、117.5 h。HBN 是广泛发育/精神健康表型队列，不等同于单一确诊疾病队列。</x:v>
      </x:c>
      <x:c r="S3" s="257"/>
      <x:c r="T3" s="257" t="n">
        <x:v>423000</x:v>
      </x:c>
      <x:c r="U3" s="213" t="n">
        <x:v>1342</x:v>
      </x:c>
    </x:row>
    <x:row r="4" ht="60" customHeight="1">
      <x:c r="A4" s="277" t="str">
        <x:v>EEG-0583</x:v>
      </x:c>
      <x:c r="B4" s="278" t="str">
        <x:v>02_Healthcare_and_Disease</x:v>
      </x:c>
      <x:c r="C4" s="278" t="str">
        <x:v>Mental_and_Developmental_Disorders</x:v>
      </x:c>
      <x:c r="D4" s="278" t="str">
        <x:v>Albrecht2019</x:v>
      </x:c>
      <x:c r="E4" s="278" t="str">
        <x:v>Schizophrenia modified Simon task EEG</x:v>
      </x:c>
      <x:c r="F4" s="278" t="str">
        <x:v>HuggingFace:jalauer/Albrecht2019 | Zenodo:889204</x:v>
      </x:c>
      <x:c r="G4" s="278" t="str">
        <x:v>DOWNLOAD_PUBLIC</x:v>
      </x:c>
      <x:c r="H4" s="278" t="str">
        <x:v>https://huggingface.co/datasets/jalauer/Albrecht2019</x:v>
      </x:c>
      <x:c r="I4" s="278" t="str">
        <x:v>精神分裂症/分裂情感障碍 vs 健康对照；modified Simon reinforcement-learning task</x:v>
      </x:c>
      <x:c r="J4" s="278" t="str">
        <x:v>78（46 patients + 32 controls）</x:v>
      </x:c>
      <x:c r="K4" s="278" t="str">
        <x:v>64</x:v>
      </x:c>
      <x:c r="L4" s="278" t="str">
        <x:v>1000 Hz</x:v>
      </x:c>
      <x:c r="M4" s="278" t="str">
        <x:v>MAT / EEGLAB-derived</x:v>
      </x:c>
      <x:c r="N4" s="278" t="str">
        <x:v>预处理与伪影校正 EEG；仓库含实验数据</x:v>
      </x:c>
      <x:c r="O4" s="278" t="str">
        <x:v>PDDL；EEG-Bench 再分发页不是原始所有者，引用原论文和数据来源</x:v>
      </x:c>
      <x:c r="P4" s="278" t="str">
        <x:v>Albrecht et al. (2019), Neuropsychologia; EEG-Bench clinical benchmark</x:v>
      </x:c>
      <x:c r="Q4" s="278" t="str">
        <x:v>02_Healthcare_and_Disease/Mental_and_Developmental_Disorders/Albrecht2019</x:v>
      </x:c>
      <x:c r="R4" s="278" t="str">
        <x:v>新增；EEG-Bench 论文与公开仓库交叉核验；51 h 为论文基准表记录</x:v>
      </x:c>
      <x:c r="S4" s="278"/>
      <x:c r="T4" s="278" t="n">
        <x:v>183600</x:v>
      </x:c>
      <x:c r="U4" s="247" t="n">
        <x:v>78</x:v>
      </x:c>
    </x:row>
    <x:row r="5" ht="60" customHeight="1">
      <x:c r="A5" s="277" t="str">
        <x:v>EEG-0584</x:v>
      </x:c>
      <x:c r="B5" s="278" t="str">
        <x:v>08_Health_and_Population</x:v>
      </x:c>
      <x:c r="C5" s="278" t="str">
        <x:v>Mental_Health_Risk_Phenotype</x:v>
      </x:c>
      <x:c r="D5" s="278" t="str">
        <x:v>Gruendler2009</x:v>
      </x:c>
      <x:c r="E5" s="278" t="str">
        <x:v>OC symptomatology flanker EEG</x:v>
      </x:c>
      <x:c r="F5" s="278" t="str">
        <x:v>HuggingFace:jalauer/Gruendler2009</x:v>
      </x:c>
      <x:c r="G5" s="278" t="str">
        <x:v>DOWNLOAD_PUBLIC</x:v>
      </x:c>
      <x:c r="H5" s="278" t="str">
        <x:v>https://huggingface.co/datasets/jalauer/Gruendler2009</x:v>
      </x:c>
      <x:c r="I5" s="278" t="str">
        <x:v>高/低强迫症状量表分组；flanker error-related negativity</x:v>
      </x:c>
      <x:c r="J5" s="278" t="str">
        <x:v>46 名本科生（按 OCI-R 高/低分组；非确诊 OCD 病例）</x:v>
      </x:c>
      <x:c r="K5" s="278" t="str">
        <x:v>64 EEG + 2 EOG + 1 EKG</x:v>
      </x:c>
      <x:c r="L5" s="278" t="str">
        <x:v>500 Hz</x:v>
      </x:c>
      <x:c r="M5" s="278" t="str">
        <x:v>CNT</x:v>
      </x:c>
      <x:c r="N5" s="278" t="str">
        <x:v>Raw + possible preprocessed variants</x:v>
      </x:c>
      <x:c r="O5" s="278" t="str">
        <x:v>PDDL；EEG-Bench 再分发页不是原始所有者</x:v>
      </x:c>
      <x:c r="P5" s="278" t="str">
        <x:v>Gründler et al. (2009), Neuropsychologia; EEG-Bench clinical benchmark</x:v>
      </x:c>
      <x:c r="Q5" s="278" t="str">
        <x:v>08_Health_and_Population/Mental_Health_Risk_Phenotype/Gruendler2009</x:v>
      </x:c>
      <x:c r="R5" s="278" t="str">
        <x:v>新增；不标为确诊 OCD 疾病队列；22 h 为 EEG-Bench 表记录</x:v>
      </x:c>
      <x:c r="S5" s="278"/>
      <x:c r="T5" s="278" t="n">
        <x:v>79200</x:v>
      </x:c>
      <x:c r="U5" s="247" t="n">
        <x:v>46</x:v>
      </x:c>
    </x:row>
    <x:row r="6" ht="60" customHeight="1">
      <x:c r="A6" s="277" t="str">
        <x:v>EEG-0585</x:v>
      </x:c>
      <x:c r="B6" s="278" t="str">
        <x:v>02_Healthcare_and_Disease</x:v>
      </x:c>
      <x:c r="C6" s="278" t="str">
        <x:v>Neurological_Disorders</x:v>
      </x:c>
      <x:c r="D6" s="278" t="str">
        <x:v>Singh2020</x:v>
      </x:c>
      <x:c r="E6" s="278" t="str">
        <x:v>Parkinson pedaling / freezing-of-gait EEG</x:v>
      </x:c>
      <x:c r="F6" s="278" t="str">
        <x:v>HuggingFace:jalauer/Singh2020</x:v>
      </x:c>
      <x:c r="G6" s="278" t="str">
        <x:v>DOWNLOAD_PUBLIC</x:v>
      </x:c>
      <x:c r="H6" s="278" t="str">
        <x:v>https://huggingface.co/datasets/jalauer/Singh2020</x:v>
      </x:c>
      <x:c r="I6" s="278" t="str">
        <x:v>PD freezing-of-gait positive/negative and healthy control lower-limb pedaling</x:v>
      </x:c>
      <x:c r="J6" s="278" t="str">
        <x:v>39（13 FOG+ PD + 13 FOG- PD + 13 controls）</x:v>
      </x:c>
      <x:c r="K6" s="278" t="str">
        <x:v>64 + accelerometer</x:v>
      </x:c>
      <x:c r="L6" s="278" t="str">
        <x:v>500 Hz</x:v>
      </x:c>
      <x:c r="M6" s="278" t="str">
        <x:v>BrainVision + MAT</x:v>
      </x:c>
      <x:c r="N6" s="278" t="str">
        <x:v>Raw + processed</x:v>
      </x:c>
      <x:c r="O6" s="278" t="str">
        <x:v>PDDL；EEG-Bench 再分发页不是原始所有者</x:v>
      </x:c>
      <x:c r="P6" s="278" t="str">
        <x:v>Singh et al. (2020), Clinical Neurophysiology; EEG-Bench</x:v>
      </x:c>
      <x:c r="Q6" s="278" t="str">
        <x:v>02_Healthcare_and_Disease/Neurological_Disorders/Singh2020</x:v>
      </x:c>
      <x:c r="R6" s="278" t="str">
        <x:v>新增；39 名与 7 h 由仓库/EEG-Bench 交叉核验</x:v>
      </x:c>
      <x:c r="S6" s="278"/>
      <x:c r="T6" s="278" t="n">
        <x:v>25200</x:v>
      </x:c>
      <x:c r="U6" s="247" t="n">
        <x:v>39</x:v>
      </x:c>
    </x:row>
    <x:row r="7" ht="60" customHeight="1">
      <x:c r="A7" s="277" t="str">
        <x:v>EEG-0586</x:v>
      </x:c>
      <x:c r="B7" s="278" t="str">
        <x:v>02_Healthcare_and_Disease</x:v>
      </x:c>
      <x:c r="C7" s="278" t="str">
        <x:v>Neurological_Disorders</x:v>
      </x:c>
      <x:c r="D7" s="278" t="str">
        <x:v>Singh2021</x:v>
      </x:c>
      <x:c r="E7" s="278" t="str">
        <x:v>Parkinson interval timing EEG</x:v>
      </x:c>
      <x:c r="F7" s="278" t="str">
        <x:v>HuggingFace:jalauer/Singh2021</x:v>
      </x:c>
      <x:c r="G7" s="278" t="str">
        <x:v>DOWNLOAD_PUBLIC</x:v>
      </x:c>
      <x:c r="H7" s="278" t="str">
        <x:v>https://huggingface.co/datasets/jalauer/Singh2021</x:v>
      </x:c>
      <x:c r="I7" s="278" t="str">
        <x:v>PD vs healthy control；3/7-second interval timing；ON/OFF medication subset</x:v>
      </x:c>
      <x:c r="J7" s="278" t="str">
        <x:v>120（83 PD + 37 controls）；129 recordings</x:v>
      </x:c>
      <x:c r="K7" s="278" t="str">
        <x:v>64 + accelerometer</x:v>
      </x:c>
      <x:c r="L7" s="278" t="str">
        <x:v>500 Hz</x:v>
      </x:c>
      <x:c r="M7" s="278" t="str">
        <x:v>BrainVision</x:v>
      </x:c>
      <x:c r="N7" s="278" t="str">
        <x:v>Raw</x:v>
      </x:c>
      <x:c r="O7" s="278" t="str">
        <x:v>PDDL；EEG-Bench 再分发页不是原始所有者</x:v>
      </x:c>
      <x:c r="P7" s="278" t="str">
        <x:v>Singh et al. (2021), npj Parkinson's Disease; EEG-Bench</x:v>
      </x:c>
      <x:c r="Q7" s="278" t="str">
        <x:v>02_Healthcare_and_Disease/Neurological_Disorders/Singh2021</x:v>
      </x:c>
      <x:c r="R7" s="278" t="str">
        <x:v>新增；受试者与记录数分开；58 h 为 EEG-Bench 表记录</x:v>
      </x:c>
      <x:c r="S7" s="278"/>
      <x:c r="T7" s="278" t="n">
        <x:v>208800</x:v>
      </x:c>
      <x:c r="U7" s="247" t="n">
        <x:v>129</x:v>
      </x:c>
    </x:row>
    <x:row r="8" ht="60" customHeight="1">
      <x:c r="A8" s="277" t="str">
        <x:v>EEG-0594</x:v>
      </x:c>
      <x:c r="B8" s="278" t="str">
        <x:v>08_Health_and_Population</x:v>
      </x:c>
      <x:c r="C8" s="278" t="str">
        <x:v>Developmental_Clinical_Cohort</x:v>
      </x:c>
      <x:c r="D8" s="278" t="str">
        <x:v>HBN-EEG Release 2</x:v>
      </x:c>
      <x:c r="E8" s="278" t="str">
        <x:v>Healthy Brain Network EEG; ds005506</x:v>
      </x:c>
      <x:c r="F8" s="278" t="str">
        <x:v>OpenNeuro:ds005506 | DOI:10.18112/openneuro.ds005506.v1.0.1</x:v>
      </x:c>
      <x:c r="G8" s="278" t="str">
        <x:v>DOWNLOAD_PUBLIC</x:v>
      </x:c>
      <x:c r="H8" s="278" t="str">
        <x:v>https://openneuro.org/datasets/ds005506</x:v>
      </x:c>
      <x:c r="I8" s="278" t="str">
        <x:v>Multi-task developmental EEG (rest, visual/cognitive tasks and behavioral phenotyping; release-dependent)</x:v>
      </x:c>
      <x:c r="J8" s="278" t="str">
        <x:v>150</x:v>
      </x:c>
      <x:c r="K8" s="278" t="str">
        <x:v>129</x:v>
      </x:c>
      <x:c r="L8" s="278" t="str">
        <x:v>500 Hz</x:v>
      </x:c>
      <x:c r="M8" s="278" t="str">
        <x:v>BIDS EEG / EEGLAB SET</x:v>
      </x:c>
      <x:c r="N8" s="278" t="str">
        <x:v>BIDS-organized EEG release</x:v>
      </x:c>
      <x:c r="O8" s="278" t="str">
        <x:v>CC BY-SA 4.0</x:v>
      </x:c>
      <x:c r="P8" s="278" t="str">
        <x:v>Shirazi et al., HBN-EEG; REVE Appendix B</x:v>
      </x:c>
      <x:c r="Q8" s="278" t="str">
        <x:v>08_Health_and_Population/Developmental_Clinical_Cohort/HBN_EEG_R2_ds005506</x:v>
      </x:c>
      <x:c r="R8" s="278" t="str">
        <x:v>150 subjects、1,405 recordings、127.5 h；按 OpenNeuro 独立 release 去重。</x:v>
      </x:c>
      <x:c r="S8" s="278"/>
      <x:c r="T8" s="278" t="n">
        <x:v>459000</x:v>
      </x:c>
      <x:c r="U8" s="247" t="n">
        <x:v>1405</x:v>
      </x:c>
    </x:row>
    <x:row r="9" ht="60" customHeight="1">
      <x:c r="A9" s="277" t="str">
        <x:v>EEG-0595</x:v>
      </x:c>
      <x:c r="B9" s="278" t="str">
        <x:v>08_Health_and_Population</x:v>
      </x:c>
      <x:c r="C9" s="278" t="str">
        <x:v>Developmental_Clinical_Cohort</x:v>
      </x:c>
      <x:c r="D9" s="278" t="str">
        <x:v>HBN-EEG Release 3</x:v>
      </x:c>
      <x:c r="E9" s="278" t="str">
        <x:v>Healthy Brain Network EEG; ds005507</x:v>
      </x:c>
      <x:c r="F9" s="278" t="str">
        <x:v>OpenNeuro:ds005507 | DOI:10.18112/openneuro.ds005507.v1.0.1</x:v>
      </x:c>
      <x:c r="G9" s="278" t="str">
        <x:v>DOWNLOAD_PUBLIC</x:v>
      </x:c>
      <x:c r="H9" s="278" t="str">
        <x:v>https://openneuro.org/datasets/ds005507</x:v>
      </x:c>
      <x:c r="I9" s="278" t="str">
        <x:v>Multi-task developmental EEG (rest, visual/cognitive tasks and behavioral phenotyping; release-dependent)</x:v>
      </x:c>
      <x:c r="J9" s="278" t="str">
        <x:v>184</x:v>
      </x:c>
      <x:c r="K9" s="278" t="str">
        <x:v>129</x:v>
      </x:c>
      <x:c r="L9" s="278" t="str">
        <x:v>500 Hz</x:v>
      </x:c>
      <x:c r="M9" s="278" t="str">
        <x:v>BIDS EEG / EEGLAB SET</x:v>
      </x:c>
      <x:c r="N9" s="278" t="str">
        <x:v>BIDS-organized EEG release</x:v>
      </x:c>
      <x:c r="O9" s="278" t="str">
        <x:v>CC BY-SA 4.0</x:v>
      </x:c>
      <x:c r="P9" s="278" t="str">
        <x:v>Shirazi et al., HBN-EEG; REVE Appendix B</x:v>
      </x:c>
      <x:c r="Q9" s="278" t="str">
        <x:v>08_Health_and_Population/Developmental_Clinical_Cohort/HBN_EEG_R3_ds005507</x:v>
      </x:c>
      <x:c r="R9" s="278" t="str">
        <x:v>184 subjects、1,812 recordings、158.8 h；按 OpenNeuro 独立 release 去重。</x:v>
      </x:c>
      <x:c r="S9" s="278"/>
      <x:c r="T9" s="278" t="n">
        <x:v>571680</x:v>
      </x:c>
      <x:c r="U9" s="247" t="n">
        <x:v>1812</x:v>
      </x:c>
    </x:row>
    <x:row r="10" ht="60" customHeight="1">
      <x:c r="A10" s="277" t="str">
        <x:v>EEG-0596</x:v>
      </x:c>
      <x:c r="B10" s="278" t="str">
        <x:v>08_Health_and_Population</x:v>
      </x:c>
      <x:c r="C10" s="278" t="str">
        <x:v>Developmental_Clinical_Cohort</x:v>
      </x:c>
      <x:c r="D10" s="278" t="str">
        <x:v>HBN-EEG Release 4</x:v>
      </x:c>
      <x:c r="E10" s="278" t="str">
        <x:v>Healthy Brain Network EEG; ds005508</x:v>
      </x:c>
      <x:c r="F10" s="278" t="str">
        <x:v>OpenNeuro:ds005508 | DOI:10.18112/openneuro.ds005508.v1.0.1</x:v>
      </x:c>
      <x:c r="G10" s="278" t="str">
        <x:v>DOWNLOAD_PUBLIC</x:v>
      </x:c>
      <x:c r="H10" s="278" t="str">
        <x:v>https://openneuro.org/datasets/ds005508</x:v>
      </x:c>
      <x:c r="I10" s="278" t="str">
        <x:v>Multi-task developmental EEG (rest, visual/cognitive tasks and behavioral phenotyping; release-dependent)</x:v>
      </x:c>
      <x:c r="J10" s="278" t="str">
        <x:v>324</x:v>
      </x:c>
      <x:c r="K10" s="278" t="str">
        <x:v>129</x:v>
      </x:c>
      <x:c r="L10" s="278" t="str">
        <x:v>500 Hz</x:v>
      </x:c>
      <x:c r="M10" s="278" t="str">
        <x:v>BIDS EEG / EEGLAB SET</x:v>
      </x:c>
      <x:c r="N10" s="278" t="str">
        <x:v>BIDS-organized EEG release</x:v>
      </x:c>
      <x:c r="O10" s="278" t="str">
        <x:v>CC BY-SA 4.0</x:v>
      </x:c>
      <x:c r="P10" s="278" t="str">
        <x:v>Shirazi et al., HBN-EEG; REVE Appendix B</x:v>
      </x:c>
      <x:c r="Q10" s="278" t="str">
        <x:v>08_Health_and_Population/Developmental_Clinical_Cohort/HBN_EEG_R4_ds005508</x:v>
      </x:c>
      <x:c r="R10" s="278" t="str">
        <x:v>324 subjects、3,342 recordings、261.8 h；按 OpenNeuro 独立 release 去重。</x:v>
      </x:c>
      <x:c r="S10" s="278"/>
      <x:c r="T10" s="278" t="n">
        <x:v>942480</x:v>
      </x:c>
      <x:c r="U10" s="247" t="n">
        <x:v>3342</x:v>
      </x:c>
    </x:row>
    <x:row r="11" ht="60" customHeight="1">
      <x:c r="A11" s="277" t="str">
        <x:v>EEG-0597</x:v>
      </x:c>
      <x:c r="B11" s="278" t="str">
        <x:v>08_Health_and_Population</x:v>
      </x:c>
      <x:c r="C11" s="278" t="str">
        <x:v>Developmental_Clinical_Cohort</x:v>
      </x:c>
      <x:c r="D11" s="278" t="str">
        <x:v>HBN-EEG Release 5</x:v>
      </x:c>
      <x:c r="E11" s="278" t="str">
        <x:v>Healthy Brain Network EEG; ds005509</x:v>
      </x:c>
      <x:c r="F11" s="278" t="str">
        <x:v>OpenNeuro:ds005509 | DOI:10.18112/openneuro.ds005509.v1.0.1</x:v>
      </x:c>
      <x:c r="G11" s="278" t="str">
        <x:v>DOWNLOAD_PUBLIC</x:v>
      </x:c>
      <x:c r="H11" s="278" t="str">
        <x:v>https://openneuro.org/datasets/ds005509</x:v>
      </x:c>
      <x:c r="I11" s="278" t="str">
        <x:v>Multi-task developmental EEG (rest, visual/cognitive tasks and behavioral phenotyping; release-dependent)</x:v>
      </x:c>
      <x:c r="J11" s="278" t="str">
        <x:v>330</x:v>
      </x:c>
      <x:c r="K11" s="278" t="str">
        <x:v>129</x:v>
      </x:c>
      <x:c r="L11" s="278" t="str">
        <x:v>500 Hz</x:v>
      </x:c>
      <x:c r="M11" s="278" t="str">
        <x:v>BIDS EEG / EEGLAB SET</x:v>
      </x:c>
      <x:c r="N11" s="278" t="str">
        <x:v>BIDS-organized EEG release</x:v>
      </x:c>
      <x:c r="O11" s="278" t="str">
        <x:v>CC BY-SA 4.0</x:v>
      </x:c>
      <x:c r="P11" s="278" t="str">
        <x:v>Shirazi et al., HBN-EEG; REVE Appendix B</x:v>
      </x:c>
      <x:c r="Q11" s="278" t="str">
        <x:v>08_Health_and_Population/Developmental_Clinical_Cohort/HBN_EEG_R5_ds005509</x:v>
      </x:c>
      <x:c r="R11" s="278" t="str">
        <x:v>330 subjects、3,326 recordings、255.3 h；按 OpenNeuro 独立 release 去重。</x:v>
      </x:c>
      <x:c r="S11" s="278"/>
      <x:c r="T11" s="278" t="n">
        <x:v>919080</x:v>
      </x:c>
      <x:c r="U11" s="247" t="n">
        <x:v>3326</x:v>
      </x:c>
    </x:row>
    <x:row r="12" ht="60" customHeight="1">
      <x:c r="A12" s="277" t="str">
        <x:v>EEG-0598</x:v>
      </x:c>
      <x:c r="B12" s="278" t="str">
        <x:v>08_Health_and_Population</x:v>
      </x:c>
      <x:c r="C12" s="278" t="str">
        <x:v>Developmental_Clinical_Cohort</x:v>
      </x:c>
      <x:c r="D12" s="278" t="str">
        <x:v>HBN-EEG Release 6</x:v>
      </x:c>
      <x:c r="E12" s="278" t="str">
        <x:v>Healthy Brain Network EEG; ds005510</x:v>
      </x:c>
      <x:c r="F12" s="278" t="str">
        <x:v>OpenNeuro:ds005510 | DOI:10.18112/openneuro.ds005510.v1.0.1</x:v>
      </x:c>
      <x:c r="G12" s="278" t="str">
        <x:v>DOWNLOAD_PUBLIC</x:v>
      </x:c>
      <x:c r="H12" s="278" t="str">
        <x:v>https://openneuro.org/datasets/ds005510</x:v>
      </x:c>
      <x:c r="I12" s="278" t="str">
        <x:v>Multi-task developmental EEG (rest, visual/cognitive tasks and behavioral phenotyping; release-dependent)</x:v>
      </x:c>
      <x:c r="J12" s="278" t="str">
        <x:v>135</x:v>
      </x:c>
      <x:c r="K12" s="278" t="str">
        <x:v>129</x:v>
      </x:c>
      <x:c r="L12" s="278" t="str">
        <x:v>500 Hz</x:v>
      </x:c>
      <x:c r="M12" s="278" t="str">
        <x:v>BIDS EEG / EEGLAB SET</x:v>
      </x:c>
      <x:c r="N12" s="278" t="str">
        <x:v>BIDS-organized EEG release</x:v>
      </x:c>
      <x:c r="O12" s="278" t="str">
        <x:v>CC BY-SA 4.0</x:v>
      </x:c>
      <x:c r="P12" s="278" t="str">
        <x:v>Shirazi et al., HBN-EEG; REVE Appendix B</x:v>
      </x:c>
      <x:c r="Q12" s="278" t="str">
        <x:v>08_Health_and_Population/Developmental_Clinical_Cohort/HBN_EEG_R6_ds005510</x:v>
      </x:c>
      <x:c r="R12" s="278" t="str">
        <x:v>135 subjects、1,227 recordings、103.5 h；按 OpenNeuro 独立 release 去重。</x:v>
      </x:c>
      <x:c r="S12" s="278"/>
      <x:c r="T12" s="278" t="n">
        <x:v>372600</x:v>
      </x:c>
      <x:c r="U12" s="247" t="n">
        <x:v>1227</x:v>
      </x:c>
    </x:row>
    <x:row r="13" ht="60" customHeight="1">
      <x:c r="A13" s="277" t="str">
        <x:v>EEG-0600</x:v>
      </x:c>
      <x:c r="B13" s="278" t="str">
        <x:v>08_Health_and_Population</x:v>
      </x:c>
      <x:c r="C13" s="278" t="str">
        <x:v>Developmental_Clinical_Cohort</x:v>
      </x:c>
      <x:c r="D13" s="278" t="str">
        <x:v>HBN-EEG Release 8</x:v>
      </x:c>
      <x:c r="E13" s="278" t="str">
        <x:v>Healthy Brain Network EEG; ds005512</x:v>
      </x:c>
      <x:c r="F13" s="278" t="str">
        <x:v>OpenNeuro:ds005512 | DOI:10.18112/openneuro.ds005512.v1.0.1</x:v>
      </x:c>
      <x:c r="G13" s="278" t="str">
        <x:v>DOWNLOAD_PUBLIC</x:v>
      </x:c>
      <x:c r="H13" s="278" t="str">
        <x:v>https://openneuro.org/datasets/ds005512</x:v>
      </x:c>
      <x:c r="I13" s="278" t="str">
        <x:v>Multi-task developmental EEG (rest, visual/cognitive tasks and behavioral phenotyping; release-dependent)</x:v>
      </x:c>
      <x:c r="J13" s="278" t="str">
        <x:v>257</x:v>
      </x:c>
      <x:c r="K13" s="278" t="str">
        <x:v>129</x:v>
      </x:c>
      <x:c r="L13" s="278" t="str">
        <x:v>500 Hz</x:v>
      </x:c>
      <x:c r="M13" s="278" t="str">
        <x:v>BIDS EEG / EEGLAB SET</x:v>
      </x:c>
      <x:c r="N13" s="278" t="str">
        <x:v>BIDS-organized EEG release</x:v>
      </x:c>
      <x:c r="O13" s="278" t="str">
        <x:v>CC BY-SA 4.0</x:v>
      </x:c>
      <x:c r="P13" s="278" t="str">
        <x:v>Shirazi et al., HBN-EEG; REVE Appendix B</x:v>
      </x:c>
      <x:c r="Q13" s="278" t="str">
        <x:v>08_Health_and_Population/Developmental_Clinical_Cohort/HBN_EEG_R8_ds005512</x:v>
      </x:c>
      <x:c r="R13" s="278" t="str">
        <x:v>257 subjects、2,320 recordings、179.1 h；按 OpenNeuro 独立 release 去重。</x:v>
      </x:c>
      <x:c r="S13" s="278"/>
      <x:c r="T13" s="278" t="n">
        <x:v>644760</x:v>
      </x:c>
      <x:c r="U13" s="247" t="n">
        <x:v>2320</x:v>
      </x:c>
    </x:row>
    <x:row r="14" ht="60" customHeight="1">
      <x:c r="A14" s="277" t="str">
        <x:v>EEG-0601</x:v>
      </x:c>
      <x:c r="B14" s="278" t="str">
        <x:v>08_Health_and_Population</x:v>
      </x:c>
      <x:c r="C14" s="278" t="str">
        <x:v>Developmental_Clinical_Cohort</x:v>
      </x:c>
      <x:c r="D14" s="278" t="str">
        <x:v>HBN-EEG Release 9</x:v>
      </x:c>
      <x:c r="E14" s="278" t="str">
        <x:v>Healthy Brain Network EEG; ds005514</x:v>
      </x:c>
      <x:c r="F14" s="278" t="str">
        <x:v>OpenNeuro:ds005514 | DOI:10.18112/openneuro.ds005514.v1.0.1</x:v>
      </x:c>
      <x:c r="G14" s="278" t="str">
        <x:v>DOWNLOAD_PUBLIC</x:v>
      </x:c>
      <x:c r="H14" s="278" t="str">
        <x:v>https://openneuro.org/datasets/ds005514</x:v>
      </x:c>
      <x:c r="I14" s="278" t="str">
        <x:v>Multi-task developmental EEG (rest, visual/cognitive tasks and behavioral phenotyping; release-dependent)</x:v>
      </x:c>
      <x:c r="J14" s="278" t="str">
        <x:v>295</x:v>
      </x:c>
      <x:c r="K14" s="278" t="str">
        <x:v>129</x:v>
      </x:c>
      <x:c r="L14" s="278" t="str">
        <x:v>500 Hz</x:v>
      </x:c>
      <x:c r="M14" s="278" t="str">
        <x:v>BIDS EEG / EEGLAB SET</x:v>
      </x:c>
      <x:c r="N14" s="278" t="str">
        <x:v>BIDS-organized EEG release</x:v>
      </x:c>
      <x:c r="O14" s="278" t="str">
        <x:v>CC BY-SA 4.0</x:v>
      </x:c>
      <x:c r="P14" s="278" t="str">
        <x:v>Shirazi et al., HBN-EEG; REVE Appendix B</x:v>
      </x:c>
      <x:c r="Q14" s="278" t="str">
        <x:v>08_Health_and_Population/Developmental_Clinical_Cohort/HBN_EEG_R9_ds005514</x:v>
      </x:c>
      <x:c r="R14" s="278" t="str">
        <x:v>295 subjects、2,885 recordings、210.8 h；按 OpenNeuro 独立 release 去重。</x:v>
      </x:c>
      <x:c r="S14" s="278"/>
      <x:c r="T14" s="278" t="n">
        <x:v>758880</x:v>
      </x:c>
      <x:c r="U14" s="247" t="n">
        <x:v>2885</x:v>
      </x:c>
    </x:row>
    <x:row r="15" ht="60" customHeight="1">
      <x:c r="A15" s="264" t="str">
        <x:v>EEG-0004</x:v>
      </x:c>
      <x:c r="B15" s="257" t="str">
        <x:v>01_Signal_Reliability</x:v>
      </x:c>
      <x:c r="C15" s="257" t="str">
        <x:v>Artifact_Identification</x:v>
      </x:c>
      <x:c r="D15" s="257" t="str">
        <x:v>TUAR (TUH Artifact)</x:v>
      </x:c>
      <x:c r="E15" s="257"/>
      <x:c r="F15" s="257" t="str">
        <x:v>TUH:TUAR:v3.0.1</x:v>
      </x:c>
      <x:c r="G15" s="257" t="str">
        <x:v>DOWNLOAD_APPLICATION_REQUIRED</x:v>
      </x:c>
      <x:c r="H15" s="257" t="str">
        <x:v>https://isip.piconepress.com/projects/nedc/html/tuh_eeg/</x:v>
      </x:c>
      <x:c r="I15" s="257" t="str">
        <x:v>EEG artifact classification (eye/chew/shiver/electrode/muscle)</x:v>
      </x:c>
      <x:c r="J15" s="257" t="str">
        <x:v>213 (~310 sessions)</x:v>
      </x:c>
      <x:c r="K15" s="257" t="str">
        <x:v>23.0</x:v>
      </x:c>
      <x:c r="L15" s="257" t="str">
        <x:v>256.0</x:v>
      </x:c>
      <x:c r="M15" s="257" t="str">
        <x:v>EDF</x:v>
      </x:c>
      <x:c r="N15" s="257" t="str">
        <x:v>Raw</x:v>
      </x:c>
      <x:c r="O15" s="257" t="str">
        <x:v>Free but restricted: signed data-use agreement (help@nedcdata.org)</x:v>
      </x:c>
      <x:c r="P15" s="257" t="str">
        <x:v>Recent advances in the TUH EEG corpus: improving the interrater agreement for artifacts and epileptiform events (TUH Artifact Corpus, TUAR). Buckwalter et al., 2021, IEEE SPMB.</x:v>
      </x:c>
      <x:c r="Q15" s="257" t="str">
        <x:v>01_Signal_Reliability/Artifact_Identification/TUAR_TUH_Artifact</x:v>
      </x:c>
      <x:c r="R15" s="257" t="str">
        <x:v>官方数据存在，但需申请、签署协议或获得权限；TUAR v3.0.1; subset of TUEG; do not add subjects or duration to TUEG totals</x:v>
      </x:c>
      <x:c r="S15" s="257"/>
      <x:c r="T15" s="257"/>
      <x:c r="U15" s="213"/>
    </x:row>
    <x:row r="16" ht="60" customHeight="1">
      <x:c r="A16" s="274" t="str">
        <x:v>EEG-0005</x:v>
      </x:c>
      <x:c r="B16" s="275" t="str">
        <x:v>02_Healthcare_and_Disease</x:v>
      </x:c>
      <x:c r="C16" s="275" t="str">
        <x:v>Epilepsy_and_Abnormalities</x:v>
      </x:c>
      <x:c r="D16" s="275" t="str">
        <x:v>A dataset of neonatal EEG recordings with seizure annotations</x:v>
      </x:c>
      <x:c r="E16" s="275" t="str">
        <x:v>Helsinki neonatal EEG; neonatal seizure annotations</x:v>
      </x:c>
      <x:c r="F16" s="275" t="str">
        <x:v>Zenodo:4940267 | DOI:10.1038/sdata.2019.39 | Zenodo:2547147</x:v>
      </x:c>
      <x:c r="G16" s="275" t="str">
        <x:v>DOWNLOAD_PUBLIC</x:v>
      </x:c>
      <x:c r="H16" s="275" t="str">
        <x:v>https://zenodo.org/records/4940267 | https://zenodo.org/records/2547147</x:v>
      </x:c>
      <x:c r="I16" s="275" t="str">
        <x:v>seizure annotation；neonatal seizure annotation / seizure detection</x:v>
      </x:c>
      <x:c r="J16" s="275" t="str">
        <x:v>79</x:v>
      </x:c>
      <x:c r="K16" s="275" t="str">
        <x:v>19</x:v>
      </x:c>
      <x:c r="L16" s="275" t="str">
        <x:v>256 Hz</x:v>
      </x:c>
      <x:c r="M16" s="275" t="str">
        <x:v>.mat</x:v>
      </x:c>
      <x:c r="N16" s="275" t="str">
        <x:v>Both</x:v>
      </x:c>
      <x:c r="O16" s="275" t="str">
        <x:v>Fully open</x:v>
      </x:c>
      <x:c r="P16" s="275" t="str">
        <x:v>DOI: 10.1038/sdata.2019.39；Stevenson et al. (2019); EEGFormer dataset table</x:v>
      </x:c>
      <x:c r="Q16" s="275" t="str">
        <x:v>02_Biometrics_and_Disease/Epilepsy_and_Abnormalities/A_dataset_of_neonatal_EEG_recordings_with_seizures_annotations</x:v>
      </x:c>
      <x:c r="R16" s="275" t="str">
        <x:v>EEG-0005 is the newer release and canonical download unit; EEG-0029 retained only in duplicate evidence</x:v>
      </x:c>
      <x:c r="S16" s="275"/>
      <x:c r="T16" s="275"/>
      <x:c r="U16" s="276"/>
    </x:row>
    <x:row r="17" ht="60" customHeight="1">
      <x:c r="A17" s="264" t="str">
        <x:v>EEG-0009</x:v>
      </x:c>
      <x:c r="B17" s="257" t="str">
        <x:v>02_Healthcare_and_Disease</x:v>
      </x:c>
      <x:c r="C17" s="257" t="str">
        <x:v>Epilepsy_and_Abnormalities</x:v>
      </x:c>
      <x:c r="D17" s="257" t="str">
        <x:v>CHB-MIT</x:v>
      </x:c>
      <x:c r="E17" s="257"/>
      <x:c r="F17" s="257" t="str">
        <x:v>PhysioNet:chbmit</x:v>
      </x:c>
      <x:c r="G17" s="257" t="str">
        <x:v>DOWNLOAD_PUBLIC</x:v>
      </x:c>
      <x:c r="H17" s="257" t="str">
        <x:v>https://physionet.org/content/chbmit/1.0.0/</x:v>
      </x:c>
      <x:c r="I17" s="257" t="str">
        <x:v>Seizure detection (binary); no seizure-type classification (dataset does not include seizure types)</x:v>
      </x:c>
      <x:c r="J17" s="257" t="str">
        <x:v>22 subjects (5M/17F; ages 1.5-22); 23 standard cases + chb24 (added Dec 2010)</x:v>
      </x:c>
      <x:c r="K17" s="257" t="str">
        <x:v>23</x:v>
      </x:c>
      <x:c r="L17" s="257" t="str">
        <x:v>256 Hz</x:v>
      </x:c>
      <x:c r="M17" s="257" t="str">
        <x:v>EEG (EDF, PhysioNet); preprocessed by authors into frequency-domain (FFT) components with distance-based EEG graph</x:v>
      </x:c>
      <x:c r="N17" s="257" t="str">
        <x:v>Raw EEG with seizure onset/offset annotations</x:v>
      </x:c>
      <x:c r="O17" s="257" t="str">
        <x:v>Open Access (PhysioNet; ODC Attribution License v1.0)</x:v>
      </x:c>
      <x:c r="P17" s="257" t="str">
        <x:v>Shoeb (2009). Application of Machine Learning to Epileptic Seizure Onset Detection and Treatment. PhD Thesis, Massachusetts Institute of Technology.</x:v>
      </x:c>
      <x:c r="Q17" s="257" t="str">
        <x:v>02_Biometrics_and_Disease/Epilepsy_and_Abnormalities/CHB-MIT</x:v>
      </x:c>
      <x:c r="R17" s="257" t="str">
        <x:v>存在公开仓库、官方入口或稳定数据访问号</x:v>
      </x:c>
      <x:c r="S17" s="257"/>
      <x:c r="T17" s="257"/>
      <x:c r="U17" s="213"/>
    </x:row>
    <x:row r="18" ht="60" customHeight="1">
      <x:c r="A18" s="274" t="str">
        <x:v>EEG-0010</x:v>
      </x:c>
      <x:c r="B18" s="275" t="str">
        <x:v>02_Healthcare_and_Disease</x:v>
      </x:c>
      <x:c r="C18" s="275" t="str">
        <x:v>Epilepsy_and_Abnormalities</x:v>
      </x:c>
      <x:c r="D18" s="275" t="str">
        <x:v>Criteria for defining interictal epileptiform discharges in EEG: a clinical validation study</x:v>
      </x:c>
      <x:c r="E18" s="275"/>
      <x:c r="F18" s="275" t="str">
        <x:v>Zenodo:4688758 | DOI:10.1212/WNL.0000000000009439</x:v>
      </x:c>
      <x:c r="G18" s="275" t="str">
        <x:v>DOWNLOAD_PUBLIC</x:v>
      </x:c>
      <x:c r="H18" s="275" t="str">
        <x:v>https://zenodo.org/records/4688758</x:v>
      </x:c>
      <x:c r="I18" s="275" t="str">
        <x:v>EEG interictal epileptiform discharge</x:v>
      </x:c>
      <x:c r="J18" s="275" t="str">
        <x:v>100</x:v>
      </x:c>
      <x:c r="K18" s="275" t="str">
        <x:v>25</x:v>
      </x:c>
      <x:c r="L18" s="275" t="str">
        <x:v>256 Hz</x:v>
      </x:c>
      <x:c r="M18" s="275" t="str">
        <x:v>EDF</x:v>
      </x:c>
      <x:c r="N18" s="275" t="str">
        <x:v>Processed Data</x:v>
      </x:c>
      <x:c r="O18" s="275" t="str">
        <x:v>Fully open</x:v>
      </x:c>
      <x:c r="P18" s="275" t="str">
        <x:v>DOI: 10.1212/WNL.0000000000009439</x:v>
      </x:c>
      <x:c r="Q18" s="275" t="str">
        <x:v>02_Biometrics_and_Disease/Epilepsy_and_Abnormalities/Criteria_for_defining_interictal_epileptiform_discharges_in_EEG_a_clinical_validation_stud</x:v>
      </x:c>
      <x:c r="R18" s="275" t="str">
        <x:v>存在公开仓库、官方入口或稳定数据访问号</x:v>
      </x:c>
      <x:c r="S18" s="275"/>
      <x:c r="T18" s="275"/>
      <x:c r="U18" s="276"/>
    </x:row>
    <x:row r="19" ht="60" customHeight="1">
      <x:c r="A19" s="264" t="str">
        <x:v>EEG-0013</x:v>
      </x:c>
      <x:c r="B19" s="257" t="str">
        <x:v>02_Healthcare_and_Disease</x:v>
      </x:c>
      <x:c r="C19" s="257" t="str">
        <x:v>Epilepsy_and_Abnormalities</x:v>
      </x:c>
      <x:c r="D19" s="257" t="str">
        <x:v>HFO (High-Frequency Oscillations)</x:v>
      </x:c>
      <x:c r="E19" s="257"/>
      <x:c r="F19" s="257" t="str">
        <x:v>OpenNeuro:ds003555 | BNCI:256-2000</x:v>
      </x:c>
      <x:c r="G19" s="257" t="str">
        <x:v>DOWNLOAD_PUBLIC</x:v>
      </x:c>
      <x:c r="H19" s="257" t="str">
        <x:v>https://openneuro.org/datasets/ds003555</x:v>
      </x:c>
      <x:c r="I19" s="257" t="str">
        <x:v>Scalp HFO (ripple) detection in pediatric epilepsy</x:v>
      </x:c>
      <x:c r="J19" s="257" t="str">
        <x:v>30</x:v>
      </x:c>
      <x:c r="K19" s="257" t="str">
        <x:v>~18-20</x:v>
      </x:c>
      <x:c r="L19" s="257" t="str">
        <x:v>N.A. (likely 256-2000 Hz)</x:v>
      </x:c>
      <x:c r="M19" s="257" t="str">
        <x:v>EDF / BIDS</x:v>
      </x:c>
      <x:c r="N19" s="257" t="str">
        <x:v>Raw + expert HFO/ripple annotations</x:v>
      </x:c>
      <x:c r="O19" s="257" t="str">
        <x:v>Open (OpenNeuro ds003555)</x:v>
      </x:c>
      <x:c r="P19" s="257" t="str">
        <x:v>Scalp EEG dataset with marked high-frequency oscillations in pediatric epilepsy (OpenNeuro ds003555). 2021 (full citation to confirm).</x:v>
      </x:c>
      <x:c r="Q19" s="257" t="str">
        <x:v>02_Biometrics_and_Disease/Epilepsy_and_Abnormalities/HFO_High-Frequency_Oscillations</x:v>
      </x:c>
      <x:c r="R19" s="257" t="str">
        <x:v>存在公开仓库、官方入口或稳定数据访问号</x:v>
      </x:c>
      <x:c r="S19" s="257"/>
      <x:c r="T19" s="257"/>
      <x:c r="U19" s="213"/>
    </x:row>
    <x:row r="20" ht="60" customHeight="1">
      <x:c r="A20" s="274" t="str">
        <x:v>EEG-0017</x:v>
      </x:c>
      <x:c r="B20" s="275" t="str">
        <x:v>02_Healthcare_and_Disease</x:v>
      </x:c>
      <x:c r="C20" s="275" t="str">
        <x:v>Epilepsy_and_Abnormalities</x:v>
      </x:c>
      <x:c r="D20" s="275" t="str">
        <x:v>Intracranial entrainment reveals statistical learning across levels of abstraction</x:v>
      </x:c>
      <x:c r="E20" s="275"/>
      <x:c r="F20" s="275" t="str">
        <x:v>Zenodo:8018664 | DOI:10.1162/jocn_a_02012</x:v>
      </x:c>
      <x:c r="G20" s="275" t="str">
        <x:v>DOWNLOAD_PUBLIC</x:v>
      </x:c>
      <x:c r="H20" s="275" t="str">
        <x:v>https://zenodo.org/records/8018664</x:v>
      </x:c>
      <x:c r="I20" s="275" t="str">
        <x:v>epilepsy/seizure</x:v>
      </x:c>
      <x:c r="J20" s="275" t="str">
        <x:v>8</x:v>
      </x:c>
      <x:c r="K20" s="275" t="str">
        <x:v>Not fixed</x:v>
      </x:c>
      <x:c r="L20" s="275" t="str">
        <x:v>4096 Hz</x:v>
      </x:c>
      <x:c r="M20" s="275" t="str">
        <x:v>EDF</x:v>
      </x:c>
      <x:c r="N20" s="275" t="str">
        <x:v>Raw</x:v>
      </x:c>
      <x:c r="O20" s="275" t="str">
        <x:v>Fully open</x:v>
      </x:c>
      <x:c r="P20" s="275" t="str">
        <x:v>DOI 10.1162/jocn_a_02012</x:v>
      </x:c>
      <x:c r="Q20" s="275" t="str">
        <x:v>02_Biometrics_and_Disease/Epilepsy_and_Abnormalities/Intracranial_entrainment_reveals_statistical_learning_across_levels_of_abstraction</x:v>
      </x:c>
      <x:c r="R20" s="275" t="str">
        <x:v>存在公开仓库、官方入口或稳定数据访问号</x:v>
      </x:c>
      <x:c r="S20" s="275"/>
      <x:c r="T20" s="275"/>
      <x:c r="U20" s="276"/>
    </x:row>
    <x:row r="21" ht="60" customHeight="1">
      <x:c r="A21" s="264" t="str">
        <x:v>EEG-0031</x:v>
      </x:c>
      <x:c r="B21" s="257" t="str">
        <x:v>02_Healthcare_and_Disease</x:v>
      </x:c>
      <x:c r="C21" s="257" t="str">
        <x:v>Epilepsy_and_Abnormalities</x:v>
      </x:c>
      <x:c r="D21" s="257" t="str">
        <x:v>SeizeIT2</x:v>
      </x:c>
      <x:c r="E21" s="257"/>
      <x:c r="F21" s="257" t="str">
        <x:v>OpenNeuro:ds005873</x:v>
      </x:c>
      <x:c r="G21" s="257" t="str">
        <x:v>DOWNLOAD_PUBLIC</x:v>
      </x:c>
      <x:c r="H21" s="257" t="str">
        <x:v>[OpenNeuro ds005873](https://openneuro.org/datasets/ds005873/versions/1.1.0)</x:v>
      </x:c>
      <x:c r="I21" s="257" t="str">
        <x:v>seizure monitoring；wearable / behind-the-ear low-channel EEG</x:v>
      </x:c>
      <x:c r="J21" s="257" t="str">
        <x:v>125</x:v>
      </x:c>
      <x:c r="K21" s="257" t="str">
        <x:v>2</x:v>
      </x:c>
      <x:c r="L21" s="257" t="str">
        <x:v>256Hz</x:v>
      </x:c>
      <x:c r="M21" s="257" t="str">
        <x:v>BIDS</x:v>
      </x:c>
      <x:c r="N21" s="257" t="str">
        <x:v>raw BIDS</x:v>
      </x:c>
      <x:c r="O21" s="257" t="str">
        <x:v>公开下载：OpenNeuro ds005873 v1.1.0；CC0，可网页、OpenNeuro CLI 或 DataLad 获取。</x:v>
      </x:c>
      <x:c r="P21" s="257" t="str">
        <x:v>Miguel Bhagubai; Christos Chatzichristos; Lauren Swinnen; Jaiver Macea; Jingwei Zhang; Lieven Lagae; Katrien Jansen; Andreas Schulze-Bonhage</x:v>
      </x:c>
      <x:c r="Q21" s="257" t="str">
        <x:v>02_Biometrics_and_Disease/Epilepsy_and_Abnormalities/SeizeIT2</x:v>
      </x:c>
      <x:c r="R21" s="257" t="str">
        <x:v>存在公开仓库、官方入口或稳定数据访问号</x:v>
      </x:c>
      <x:c r="S21" s="257"/>
      <x:c r="T21" s="257"/>
      <x:c r="U21" s="213"/>
    </x:row>
    <x:row r="22" ht="60" customHeight="1">
      <x:c r="A22" s="274" t="str">
        <x:v>EEG-0032</x:v>
      </x:c>
      <x:c r="B22" s="275" t="str">
        <x:v>02_Healthcare_and_Disease</x:v>
      </x:c>
      <x:c r="C22" s="275" t="str">
        <x:v>Epilepsy_and_Abnormalities</x:v>
      </x:c>
      <x:c r="D22" s="275" t="str">
        <x:v>Siena Scalp EEG</x:v>
      </x:c>
      <x:c r="E22" s="275"/>
      <x:c r="F22" s="275" t="str">
        <x:v>PhysioNet:siena-scalp-eeg</x:v>
      </x:c>
      <x:c r="G22" s="275" t="str">
        <x:v>DOWNLOAD_PUBLIC</x:v>
      </x:c>
      <x:c r="H22" s="275" t="str">
        <x:v>https://physionet.org/content/siena-scalp-eeg/1.0.0/</x:v>
      </x:c>
      <x:c r="I22" s="275" t="str">
        <x:v>Seizure detection (focal epilepsy)</x:v>
      </x:c>
      <x:c r="J22" s="275" t="str">
        <x:v>14</x:v>
      </x:c>
      <x:c r="K22" s="275" t="str">
        <x:v>29-31 EEG (+EKG; min 21)</x:v>
      </x:c>
      <x:c r="L22" s="275" t="str">
        <x:v>512 Hz</x:v>
      </x:c>
      <x:c r="M22" s="275" t="str">
        <x:v>EDF</x:v>
      </x:c>
      <x:c r="N22" s="275" t="str">
        <x:v>Raw</x:v>
      </x:c>
      <x:c r="O22" s="275" t="str">
        <x:v>Open Data Commons Attribution (PhysioNet)</x:v>
      </x:c>
      <x:c r="P22" s="275" t="str">
        <x:v>EEG synchronization analysis for seizure prediction (Siena Scalp EEG Database). Detti et al., 2020, Processes 8(7):846 / PhysioNet.</x:v>
      </x:c>
      <x:c r="Q22" s="275" t="str">
        <x:v>02_Biometrics_and_Disease/Epilepsy_and_Abnormalities/Siena_Scalp_EEG</x:v>
      </x:c>
      <x:c r="R22" s="275" t="str">
        <x:v>存在公开仓库、官方入口或稳定数据访问号</x:v>
      </x:c>
      <x:c r="S22" s="275"/>
      <x:c r="T22" s="275"/>
      <x:c r="U22" s="276"/>
    </x:row>
    <x:row r="23" ht="60" customHeight="1">
      <x:c r="A23" s="264" t="str">
        <x:v>EEG-0033</x:v>
      </x:c>
      <x:c r="B23" s="257" t="str">
        <x:v>02_Healthcare_and_Disease</x:v>
      </x:c>
      <x:c r="C23" s="257" t="str">
        <x:v>Epilepsy_and_Abnormalities</x:v>
      </x:c>
      <x:c r="D23" s="257" t="str">
        <x:v>TUEP (TUH Epilepsy)</x:v>
      </x:c>
      <x:c r="E23" s="257"/>
      <x:c r="F23" s="257" t="str">
        <x:v>TUH:TUEP:v3.1.0</x:v>
      </x:c>
      <x:c r="G23" s="257" t="str">
        <x:v>DOWNLOAD_APPLICATION_REQUIRED</x:v>
      </x:c>
      <x:c r="H23" s="257" t="str">
        <x:v>https://isip.piconepress.com/projects/nedc/html/tuh_eeg/</x:v>
      </x:c>
      <x:c r="I23" s="257" t="str">
        <x:v>Epilepsy vs non-epilepsy</x:v>
      </x:c>
      <x:c r="J23" s="257" t="str">
        <x:v>200 (~1,648 recordings)</x:v>
      </x:c>
      <x:c r="K23" s="257" t="str">
        <x:v>Varies (≥19)</x:v>
      </x:c>
      <x:c r="L23" s="257" t="str">
        <x:v>256 Hz</x:v>
      </x:c>
      <x:c r="M23" s="257" t="str">
        <x:v>EDF</x:v>
      </x:c>
      <x:c r="N23" s="257" t="str">
        <x:v>Raw</x:v>
      </x:c>
      <x:c r="O23" s="257" t="str">
        <x:v>Free but restricted: signed data-use agreement (help@nedcdata.org)</x:v>
      </x:c>
      <x:c r="P23" s="257" t="str">
        <x:v>Big data resources for EEGs: enabling deep learning research (TUH Epilepsy Corpus, TUEP). Veloso et al., 2017, IEEE SPMB.</x:v>
      </x:c>
      <x:c r="Q23" s="257" t="str">
        <x:v>02_Biometrics_and_Disease/Epilepsy_and_Abnormalities/TUEP_TUH_Epilepsy</x:v>
      </x:c>
      <x:c r="R23" s="257" t="str">
        <x:v>官方数据存在，但需申请、签署协议或获得权限；TUEP v3.1.0; subset of TUEG; do not add subjects or duration to TUEG totals</x:v>
      </x:c>
      <x:c r="S23" s="257"/>
      <x:c r="T23" s="257"/>
      <x:c r="U23" s="213"/>
    </x:row>
    <x:row r="24" ht="60" customHeight="1">
      <x:c r="A24" s="274" t="str">
        <x:v>EEG-0034</x:v>
      </x:c>
      <x:c r="B24" s="275" t="str">
        <x:v>02_Healthcare_and_Disease</x:v>
      </x:c>
      <x:c r="C24" s="275" t="str">
        <x:v>Epilepsy_and_Abnormalities</x:v>
      </x:c>
      <x:c r="D24" s="275" t="str">
        <x:v>TUEV (TUH Events)</x:v>
      </x:c>
      <x:c r="E24" s="275"/>
      <x:c r="F24" s="275" t="str">
        <x:v>TUH:TUEV:v2.0.1</x:v>
      </x:c>
      <x:c r="G24" s="275" t="str">
        <x:v>DOWNLOAD_APPLICATION_REQUIRED</x:v>
      </x:c>
      <x:c r="H24" s="275" t="str">
        <x:v>https://isip.piconepress.com/projects/nedc/html/tuh_eeg/</x:v>
      </x:c>
      <x:c r="I24" s="275" t="str">
        <x:v>EEG event classification (6 classes: SPSW/GPED/PLED/EYEM/ARTF/BCKG)</x:v>
      </x:c>
      <x:c r="J24" s="275" t="str">
        <x:v>370 (518 recordings)</x:v>
      </x:c>
      <x:c r="K24" s="275" t="str">
        <x:v>23 channels in CBraMod; common 16 bipolar montage in benchmarks</x:v>
      </x:c>
      <x:c r="L24" s="275" t="str">
        <x:v>250 Hz in CBraMod</x:v>
      </x:c>
      <x:c r="M24" s="275" t="str">
        <x:v>EDF</x:v>
      </x:c>
      <x:c r="N24" s="275" t="str">
        <x:v>Raw</x:v>
      </x:c>
      <x:c r="O24" s="275" t="str">
        <x:v>Free but restricted: signed data-use agreement (help@nedcdata.org)</x:v>
      </x:c>
      <x:c r="P24" s="275" t="str">
        <x:v>Improved EEG event classification using differential energy (TUH Events Corpus, TUEV). Harati et al., 2015, IEEE SPMB.</x:v>
      </x:c>
      <x:c r="Q24" s="275" t="str">
        <x:v>02_Biometrics_and_Disease/Epilepsy_and_Abnormalities/TUEV_TUH_Events</x:v>
      </x:c>
      <x:c r="R24" s="275" t="str">
        <x:v>官方数据存在，但需申请、签署协议或获得权限；TUEV v2.0.1; subset of TUEG; do not add subjects or duration to TUEG totals</x:v>
      </x:c>
      <x:c r="S24" s="275"/>
      <x:c r="T24" s="275"/>
      <x:c r="U24" s="276"/>
    </x:row>
    <x:row r="25" ht="60" customHeight="1">
      <x:c r="A25" s="264" t="str">
        <x:v>EEG-0035</x:v>
      </x:c>
      <x:c r="B25" s="257" t="str">
        <x:v>02_Healthcare_and_Disease</x:v>
      </x:c>
      <x:c r="C25" s="257" t="str">
        <x:v>Epilepsy_and_Abnormalities</x:v>
      </x:c>
      <x:c r="D25" s="257" t="str">
        <x:v>TUSL (TUH Slowing)</x:v>
      </x:c>
      <x:c r="E25" s="257"/>
      <x:c r="F25" s="257" t="str">
        <x:v>TUH:TUSL:v2.0.1</x:v>
      </x:c>
      <x:c r="G25" s="257" t="str">
        <x:v>DOWNLOAD_APPLICATION_REQUIRED</x:v>
      </x:c>
      <x:c r="H25" s="257" t="str">
        <x:v>https://isip.piconepress.com/projects/nedc/html/tuh_eeg/</x:v>
      </x:c>
      <x:c r="I25" s="257" t="str">
        <x:v>EEG slowing vs seizure vs background (3-class)</x:v>
      </x:c>
      <x:c r="J25" s="257" t="str">
        <x:v>38 (112 files; 300 samples)</x:v>
      </x:c>
      <x:c r="K25" s="257" t="str">
        <x:v>Varies (~22)</x:v>
      </x:c>
      <x:c r="L25" s="257" t="str">
        <x:v>256 Hz</x:v>
      </x:c>
      <x:c r="M25" s="257" t="str">
        <x:v>EDF</x:v>
      </x:c>
      <x:c r="N25" s="257" t="str">
        <x:v>Raw</x:v>
      </x:c>
      <x:c r="O25" s="257" t="str">
        <x:v>Free but restricted: signed data-use agreement (help@nedcdata.org)</x:v>
      </x:c>
      <x:c r="P25" s="257" t="str">
        <x:v>Electroencephalographic slowing: a primary source of error in automatic seizure detection (TUH Slowing Corpus, TUSL). von Weltin et al., 2017, IEEE SPMB.</x:v>
      </x:c>
      <x:c r="Q25" s="257" t="str">
        <x:v>02_Biometrics_and_Disease/Epilepsy_and_Abnormalities/TUSL_TUH_Slowing</x:v>
      </x:c>
      <x:c r="R25" s="257" t="str">
        <x:v>官方数据存在，但需申请、签署协议或获得权限；TUSL v2.0.1; subset of TUEG; do not add subjects or duration to TUEG totals</x:v>
      </x:c>
      <x:c r="S25" s="257"/>
      <x:c r="T25" s="257"/>
      <x:c r="U25" s="213"/>
    </x:row>
    <x:row r="26" ht="60" customHeight="1">
      <x:c r="A26" s="274" t="str">
        <x:v>EEG-0036</x:v>
      </x:c>
      <x:c r="B26" s="275" t="str">
        <x:v>02_Healthcare_and_Disease</x:v>
      </x:c>
      <x:c r="C26" s="275" t="str">
        <x:v>Epilepsy_and_Abnormalities</x:v>
      </x:c>
      <x:c r="D26" s="275" t="str">
        <x:v>TUSZ (TUH Seizure)</x:v>
      </x:c>
      <x:c r="E26" s="275"/>
      <x:c r="F26" s="275" t="str">
        <x:v>TUH:TUSZ:v2.0.6</x:v>
      </x:c>
      <x:c r="G26" s="275" t="str">
        <x:v>DOWNLOAD_APPLICATION_REQUIRED</x:v>
      </x:c>
      <x:c r="H26" s="275" t="str">
        <x:v>https://isip.piconepress.com/projects/nedc/html/tuh_eeg/</x:v>
      </x:c>
      <x:c r="I26" s="275" t="str">
        <x:v>Seizure detection (start/stop/channel/type)</x:v>
      </x:c>
      <x:c r="J26" s="275" t="str">
        <x:v>675 (315 in core; 822 sessions)</x:v>
      </x:c>
      <x:c r="K26" s="275" t="str">
        <x:v>19-128 (varies)</x:v>
      </x:c>
      <x:c r="L26" s="275" t="str">
        <x:v>250 Hz</x:v>
      </x:c>
      <x:c r="M26" s="275" t="str">
        <x:v>EDF</x:v>
      </x:c>
      <x:c r="N26" s="275" t="str">
        <x:v>Raw</x:v>
      </x:c>
      <x:c r="O26" s="275" t="str">
        <x:v>Free but restricted: signed data-use agreement (help@nedcdata.org)</x:v>
      </x:c>
      <x:c r="P26" s="275" t="str">
        <x:v>The Temple University Hospital seizure detection corpus (TUSZ). Shah et al., 2018, Frontiers in Neuroinformatics 12:83.</x:v>
      </x:c>
      <x:c r="Q26" s="275" t="str">
        <x:v>02_Biometrics_and_Disease/Epilepsy_and_Abnormalities/TUSZ_TUH_Seizure</x:v>
      </x:c>
      <x:c r="R26" s="275" t="str">
        <x:v>官方数据存在，但需申请、签署协议或获得权限；TUSZ v2.0.6; subset of TUEG; do not add subjects or duration to TUEG totals</x:v>
      </x:c>
      <x:c r="S26" s="275"/>
      <x:c r="T26" s="275"/>
      <x:c r="U26" s="276"/>
    </x:row>
    <x:row r="27" ht="60" customHeight="1">
      <x:c r="A27" s="264" t="str">
        <x:v>EEG-0040</x:v>
      </x:c>
      <x:c r="B27" s="257" t="str">
        <x:v>02_Healthcare_and_Disease</x:v>
      </x:c>
      <x:c r="C27" s="257" t="str">
        <x:v>Neurodegenerative_Disorders</x:v>
      </x:c>
      <x:c r="D27" s="257" t="str">
        <x:v>AD65 (Alzheimer/FTD)</x:v>
      </x:c>
      <x:c r="E27" s="257"/>
      <x:c r="F27" s="257" t="str">
        <x:v>OpenNeuro:ds004504</x:v>
      </x:c>
      <x:c r="G27" s="257" t="str">
        <x:v>DOWNLOAD_PUBLIC</x:v>
      </x:c>
      <x:c r="H27" s="257" t="str">
        <x:v>https://openneuro.org/datasets/ds004504</x:v>
      </x:c>
      <x:c r="I27" s="257" t="str">
        <x:v>Alzheimer vs frontotemporal dementia vs healthy (resting EC)</x:v>
      </x:c>
      <x:c r="J27" s="257" t="str">
        <x:v>88 (36 AD/23 FTD/29 CN)</x:v>
      </x:c>
      <x:c r="K27" s="257" t="str">
        <x:v>19</x:v>
      </x:c>
      <x:c r="L27" s="257" t="str">
        <x:v>500 Hz</x:v>
      </x:c>
      <x:c r="M27" s="257" t="str">
        <x:v>EEGLAB / EDF / BIDS</x:v>
      </x:c>
      <x:c r="N27" s="257" t="str">
        <x:v>Both (raw + preprocessed derivative)</x:v>
      </x:c>
      <x:c r="O27" s="257" t="str">
        <x:v>Open (OpenNeuro ds004504), CC0</x:v>
      </x:c>
      <x:c r="P27" s="257" t="str">
        <x:v>A dataset of scalp EEG recordings of Alzheimer's disease, frontotemporal dementia and healthy subjects from routine EEG. Miltiadous et al., 2023, Data 8(6):95.</x:v>
      </x:c>
      <x:c r="Q27" s="257" t="str">
        <x:v>02_Biometrics_and_Disease/Neurodegenerative_Disorders/AD65_Alzheimer_FTD</x:v>
      </x:c>
      <x:c r="R27" s="257" t="str">
        <x:v>存在公开仓库、官方入口或稳定数据访问号</x:v>
      </x:c>
      <x:c r="S27" s="257"/>
      <x:c r="T27" s="257"/>
      <x:c r="U27" s="213"/>
    </x:row>
    <x:row r="28" ht="60" customHeight="1">
      <x:c r="A28" s="274" t="str">
        <x:v>EEG-0041</x:v>
      </x:c>
      <x:c r="B28" s="275" t="str">
        <x:v>02_Healthcare_and_Disease</x:v>
      </x:c>
      <x:c r="C28" s="275" t="str">
        <x:v>Neurodegenerative_Disorders</x:v>
      </x:c>
      <x:c r="D28" s="275" t="str">
        <x:v>Alzheimer Risk Classification Sample-enrichment EEG</x:v>
      </x:c>
      <x:c r="E28" s="275"/>
      <x:c r="F28" s="275" t="str">
        <x:v>OpenNeuro:ds007427</x:v>
      </x:c>
      <x:c r="G28" s="275" t="str">
        <x:v>DOWNLOAD_PUBLIC</x:v>
      </x:c>
      <x:c r="H28" s="275" t="str">
        <x:v>[OpenNeuro ds007427](https://openneuro.org/datasets/ds007427/versions/1.0.1)</x:v>
      </x:c>
      <x:c r="I28" s="275" t="str">
        <x:v>Alzheimer’s risk classification；sample enrichment；cognitive / resting EEG biomarkers</x:v>
      </x:c>
      <x:c r="J28" s="275" t="str">
        <x:v>44</x:v>
      </x:c>
      <x:c r="K28" s="275" t="str">
        <x:v>58</x:v>
      </x:c>
      <x:c r="L28" s="275" t="str">
        <x:v>1000Hz</x:v>
      </x:c>
      <x:c r="M28" s="275" t="str">
        <x:v>BIDS</x:v>
      </x:c>
      <x:c r="N28" s="275" t="str">
        <x:v>raw BIDS</x:v>
      </x:c>
      <x:c r="O28" s="275" t="str">
        <x:v>公开下载：OpenNeuro ds007427 v1.0.1；CC0，可网页、OpenNeuro CLI 或 DataLad 获取。</x:v>
      </x:c>
      <x:c r="P28" s="275" t="str">
        <x:v>Verónica Henao Isaza; Carlos Andrés Tobón Quintero; John Fredy Ochoa Gómez</x:v>
      </x:c>
      <x:c r="Q28" s="275" t="str">
        <x:v>02_Biometrics_and_Disease/Neurodegenerative_Disorders/Alzheimer_Risk_Classification_Sample-enrichment_EEG</x:v>
      </x:c>
      <x:c r="R28" s="275" t="str">
        <x:v>存在公开仓库、官方入口或稳定数据访问号</x:v>
      </x:c>
      <x:c r="S28" s="275"/>
      <x:c r="T28" s="275"/>
      <x:c r="U28" s="276"/>
    </x:row>
    <x:row r="29" ht="60" customHeight="1">
      <x:c r="A29" s="264" t="str">
        <x:v>EEG-0045</x:v>
      </x:c>
      <x:c r="B29" s="257" t="str">
        <x:v>02_Healthcare_and_Disease</x:v>
      </x:c>
      <x:c r="C29" s="257" t="str">
        <x:v>Neurodegenerative_Disorders</x:v>
      </x:c>
      <x:c r="D29" s="257" t="str">
        <x:v>EEG p-adic quantum potential accurately identifies depression, schizophrenia and cognitive decline</x:v>
      </x:c>
      <x:c r="E29" s="257" t="str">
        <x:v>P-ADIC [EEG-0046]</x:v>
      </x:c>
      <x:c r="F29" s="257" t="str">
        <x:v>Zenodo:7258868 | DOI:10.1371/journal.pone.0255529 | DOI:10.5061/dryad.8gtht76pw</x:v>
      </x:c>
      <x:c r="G29" s="257" t="str">
        <x:v>DOWNLOAD_PUBLIC</x:v>
      </x:c>
      <x:c r="H29" s="257" t="str">
        <x:v>https://zenodo.org/records/7258868 | [Dryad P-ADIC dataset](https://datadryad.org/dataset/doi:10.5061/dryad.8gtht76pw)</x:v>
      </x:c>
      <x:c r="I29" s="257" t="str">
        <x:v>Resting-state；AD / MCI / healthy control / schizophrenia / depression classification；可构造 neurodegeneration vs psychiatric differential diagnosis</x:v>
      </x:c>
      <x:c r="J29" s="257" t="str">
        <x:v>230/249 (source-version scope differs; see duplicate evidence)</x:v>
      </x:c>
      <x:c r="K29" s="257" t="str">
        <x:v>19</x:v>
      </x:c>
      <x:c r="L29" s="257" t="str">
        <x:v>500 Hz</x:v>
      </x:c>
      <x:c r="M29" s="257" t="str">
        <x:v>.mat</x:v>
      </x:c>
      <x:c r="N29" s="257" t="str">
        <x:v>Processed data</x:v>
      </x:c>
      <x:c r="O29" s="257" t="str">
        <x:v>Fully open</x:v>
      </x:c>
      <x:c r="P29" s="257" t="str">
        <x:v>DOI：10.1371/journal.pone.0255529；未给出</x:v>
      </x:c>
      <x:c r="Q29" s="257" t="str">
        <x:v>02_Biometrics_and_Disease/Neurodegenerative_Disorders/EEG_p-adic_quantum_potential_accurately_identifies_depression_schizophrenia_and_cognitive_</x:v>
      </x:c>
      <x:c r="R29" s="257" t="str">
        <x:v>存在公开仓库、官方入口或稳定数据访问号；2026-08-04去重：EEG-0046并入EEG-0045（Project download-content audit: P-ADIC source duplication）</x:v>
      </x:c>
      <x:c r="S29" s="257"/>
      <x:c r="T29" s="257"/>
      <x:c r="U29" s="213"/>
    </x:row>
    <x:row r="30" ht="60" customHeight="1">
      <x:c r="A30" s="274" t="str">
        <x:v>EEG-0047</x:v>
      </x:c>
      <x:c r="B30" s="275" t="str">
        <x:v>02_Healthcare_and_Disease</x:v>
      </x:c>
      <x:c r="C30" s="275" t="str">
        <x:v>Neurodegenerative_Disorders</x:v>
      </x:c>
      <x:c r="D30" s="275" t="str">
        <x:v>Resting-state high-density EEG using EGI GES 300 for healthy elders, SCD, MCI and Alzheimer's disease</x:v>
      </x:c>
      <x:c r="E30" s="275"/>
      <x:c r="F30" s="275" t="str">
        <x:v>Zenodo:4316608 | DOI:10.3390/brainsci10060392,10.5281/zenodo.4316608</x:v>
      </x:c>
      <x:c r="G30" s="275" t="str">
        <x:v>DOWNLOAD_APPLICATION_REQUIRED</x:v>
      </x:c>
      <x:c r="H30" s="275" t="str">
        <x:v>https://doi.org/10.5281/zenodo.4316608</x:v>
      </x:c>
      <x:c r="I30" s="275" t="str">
        <x:v>including 4 samples of resting-state EEG recording for Alzheimer's Disease (AD), Mild Cognitive Impairment (MCI), Subjective Cognitive Decline (SCD), and Healthy Controls (HC) using the HD-EEG EGI GES 300.</x:v>
      </x:c>
      <x:c r="J30" s="275" t="str">
        <x:v>230</x:v>
      </x:c>
      <x:c r="K30" s="275" t="str">
        <x:v>256</x:v>
      </x:c>
      <x:c r="L30" s="275" t="str">
        <x:v>250 Hz</x:v>
      </x:c>
      <x:c r="M30" s="275" t="str">
        <x:v>.mat</x:v>
      </x:c>
      <x:c r="N30" s="275" t="str">
        <x:v>Processed Data</x:v>
      </x:c>
      <x:c r="O30" s="275" t="str">
        <x:v>Need apply</x:v>
      </x:c>
      <x:c r="P30" s="275" t="str">
        <x:v>DOI: 10.3390/brainsci10060392.</x:v>
      </x:c>
      <x:c r="Q30" s="275" t="str">
        <x:v>02_Biometrics_and_Disease/Neurodegenerative_Disorders/Resting-state_high-density_EEG_using_EGI_GES_300_for_healthy_elders_SCD_MCI_and_Alzheimer_</x:v>
      </x:c>
      <x:c r="R30" s="275" t="str">
        <x:v>官方数据存在，但需申请、签署协议或获得权限</x:v>
      </x:c>
      <x:c r="S30" s="275"/>
      <x:c r="T30" s="275"/>
      <x:c r="U30" s="276"/>
    </x:row>
    <x:row r="31" ht="60" customHeight="1">
      <x:c r="A31" s="264" t="str">
        <x:v>EEG-0052</x:v>
      </x:c>
      <x:c r="B31" s="257" t="str">
        <x:v>02_Healthcare_and_Disease</x:v>
      </x:c>
      <x:c r="C31" s="257" t="str">
        <x:v>Mental_and_Developmental_Disorders</x:v>
      </x:c>
      <x:c r="D31" s="257" t="str">
        <x:v>Depression resting (BDI)</x:v>
      </x:c>
      <x:c r="E31" s="257"/>
      <x:c r="F31" s="257" t="str">
        <x:v>OpenNeuro:ds003478</x:v>
      </x:c>
      <x:c r="G31" s="257" t="str">
        <x:v>DOWNLOAD_PUBLIC</x:v>
      </x:c>
      <x:c r="H31" s="257" t="str">
        <x:v>https://openneuro.org/datasets/ds003478</x:v>
      </x:c>
      <x:c r="I31" s="257" t="str">
        <x:v>Depression severity (high vs low BDI) resting EEG</x:v>
      </x:c>
      <x:c r="J31" s="257" t="str">
        <x:v>122</x:v>
      </x:c>
      <x:c r="K31" s="257" t="str">
        <x:v>64 (+2 EOG)</x:v>
      </x:c>
      <x:c r="L31" s="257" t="str">
        <x:v>500 Hz</x:v>
      </x:c>
      <x:c r="M31" s="257" t="str">
        <x:v>EEGLAB (Curry) / BIDS</x:v>
      </x:c>
      <x:c r="N31" s="257" t="str">
        <x:v>Raw</x:v>
      </x:c>
      <x:c r="O31" s="257" t="str">
        <x:v>Open (OpenNeuro ds003478), CC0</x:v>
      </x:c>
      <x:c r="P31" s="257" t="str">
        <x:v>Resting-state EEG dataset for depression severity grouping via BDI (OpenNeuro ds003478). Cavanagh et al., 2019.</x:v>
      </x:c>
      <x:c r="Q31" s="257" t="str">
        <x:v>02_Biometrics_and_Disease/Mental_and_Developmental_Disorders/Depression_resting_BDI</x:v>
      </x:c>
      <x:c r="R31" s="257" t="str">
        <x:v>存在公开仓库、官方入口或稳定数据访问号</x:v>
      </x:c>
      <x:c r="S31" s="257"/>
      <x:c r="T31" s="257"/>
      <x:c r="U31" s="213"/>
    </x:row>
    <x:row r="32" ht="60" customHeight="1">
      <x:c r="A32" s="274" t="str">
        <x:v>EEG-0053</x:v>
      </x:c>
      <x:c r="B32" s="275" t="str">
        <x:v>02_Healthcare_and_Disease</x:v>
      </x:c>
      <x:c r="C32" s="275" t="str">
        <x:v>Mental_and_Developmental_Disorders</x:v>
      </x:c>
      <x:c r="D32" s="275" t="str">
        <x:v>EEG Data for ADHD</x:v>
      </x:c>
      <x:c r="E32" s="275" t="str">
        <x:v>ADHD-AliMotie</x:v>
      </x:c>
      <x:c r="F32" s="275" t="str">
        <x:v>DOI:10.21227/rzfh-zn36</x:v>
      </x:c>
      <x:c r="G32" s="275" t="str">
        <x:v>DOWNLOAD_PUBLIC</x:v>
      </x:c>
      <x:c r="H32" s="275" t="str">
        <x:v>[IEEE DataPort ADHD-Control Children](https://ieee-dataport.org/open-access/eeg-data-adhd-control-children)</x:v>
      </x:c>
      <x:c r="I32" s="275" t="str">
        <x:v>ADHD vs healthy control classification</x:v>
      </x:c>
      <x:c r="J32" s="275" t="str">
        <x:v>121</x:v>
      </x:c>
      <x:c r="K32" s="275" t="str">
        <x:v>19</x:v>
      </x:c>
      <x:c r="L32" s="275" t="str">
        <x:v>128Hz</x:v>
      </x:c>
      <x:c r="M32" s="275" t="str">
        <x:v>MAT</x:v>
      </x:c>
      <x:c r="N32" s="275" t="str">
        <x:v>raw</x:v>
      </x:c>
      <x:c r="O32" s="275" t="str">
        <x:v>IEEE DataPort open access; DOI 10.21227/rzfh-zn36.</x:v>
      </x:c>
      <x:c r="P32" s="275" t="str">
        <x:v>Motie Nasrabadi et al. (2020); BrainWave evaluation table</x:v>
      </x:c>
      <x:c r="Q32" s="275" t="str">
        <x:v>02_Biometrics_and_Disease/Mental_and_Developmental_Disorders/EEG_Data_for_ADHD</x:v>
      </x:c>
      <x:c r="R32" s="275" t="str">
        <x:v>存在公开仓库、官方入口或稳定数据访问号</x:v>
      </x:c>
      <x:c r="S32" s="275"/>
      <x:c r="T32" s="275"/>
      <x:c r="U32" s="276"/>
    </x:row>
    <x:row r="33" ht="60" customHeight="1">
      <x:c r="A33" s="264" t="str">
        <x:v>EEG-0055</x:v>
      </x:c>
      <x:c r="B33" s="257" t="str">
        <x:v>02_Healthcare_and_Disease</x:v>
      </x:c>
      <x:c r="C33" s="257" t="str">
        <x:v>Mental_and_Developmental_Disorders</x:v>
      </x:c>
      <x:c r="D33" s="257" t="str">
        <x:v>FEPCR</x:v>
      </x:c>
      <x:c r="E33" s="257"/>
      <x:c r="F33" s="257" t="str">
        <x:v>OpenNeuro:ds003944,ds003947</x:v>
      </x:c>
      <x:c r="G33" s="257" t="str">
        <x:v>DOWNLOAD_PUBLIC</x:v>
      </x:c>
      <x:c r="H33" s="257" t="str">
        <x:v>https://huggingface.co/datasets/EEGDash/ds003944</x:v>
      </x:c>
      <x:c r="I33" s="257" t="str">
        <x:v>clinical / first-episode psychosis related EEG; LEAD pretraining source</x:v>
      </x:c>
      <x:c r="J33" s="257" t="str">
        <x:v>82</x:v>
      </x:c>
      <x:c r="K33" s="257" t="str">
        <x:v>61</x:v>
      </x:c>
      <x:c r="L33" s="257" t="str">
        <x:v>1000 Hz</x:v>
      </x:c>
      <x:c r="M33" s="257" t="str">
        <x:v>BIDS; BIDS (JSON, TSV, EEG, VHDR, VMRK)</x:v>
      </x:c>
      <x:c r="N33" s="257" t="str">
        <x:v>raw / release-dependent</x:v>
      </x:c>
      <x:c r="O33" s="257" t="str">
        <x:v>公开下载：OpenNeuro ds003944 与 ds003947；CC0，可网页、OpenNeuro CLI 或 DataLad 获取。</x:v>
      </x:c>
      <x:c r="P33" s="257" t="str">
        <x:v>LEAD; Liu et al. (2026), EEG Foundation Models Tables VIII-XIV</x:v>
      </x:c>
      <x:c r="Q33" s="257" t="str">
        <x:v>02_Biometrics_and_Disease/Mental_and_Developmental_Disorders/FEPCR</x:v>
      </x:c>
      <x:c r="R33" s="257" t="str">
        <x:v>存在公开仓库、官方入口或稳定数据访问号</x:v>
      </x:c>
      <x:c r="S33" s="257"/>
      <x:c r="T33" s="257"/>
      <x:c r="U33" s="213"/>
    </x:row>
    <x:row r="34" ht="60" customHeight="1">
      <x:c r="A34" s="274" t="str">
        <x:v>EEG-0056</x:v>
      </x:c>
      <x:c r="B34" s="275" t="str">
        <x:v>02_Healthcare_and_Disease</x:v>
      </x:c>
      <x:c r="C34" s="275" t="str">
        <x:v>Mental_and_Developmental_Disorders</x:v>
      </x:c>
      <x:c r="D34" s="275" t="str">
        <x:v>Fribourg Ultimatum Game in Schizophrenia Study</x:v>
      </x:c>
      <x:c r="E34" s="275"/>
      <x:c r="F34" s="275" t="str">
        <x:v>OpenNeuro:ds004000 | DOI:10.1016/j.schres.2017.05.037</x:v>
      </x:c>
      <x:c r="G34" s="275" t="str">
        <x:v>DOWNLOAD_APPLICATION_REQUIRED</x:v>
      </x:c>
      <x:c r="H34" s="275" t="str">
        <x:v>https://huggingface.co/datasets/EEGDash/ds004000</x:v>
      </x:c>
      <x:c r="I34" s="275" t="str">
        <x:v>Schizophrenia / psychosis</x:v>
      </x:c>
      <x:c r="J34" s="275" t="str">
        <x:v>43</x:v>
      </x:c>
      <x:c r="K34" s="275" t="str">
        <x:v>132</x:v>
      </x:c>
      <x:c r="L34" s="275" t="str">
        <x:v>2024 Hz</x:v>
      </x:c>
      <x:c r="M34" s="275" t="str">
        <x:v>BIDS; BIDS (JSON, TSV, EEG, VHDR, VMRK)</x:v>
      </x:c>
      <x:c r="N34" s="275" t="str">
        <x:v>Raw Data</x:v>
      </x:c>
      <x:c r="O34" s="275" t="str">
        <x:v>Agreement</x:v>
      </x:c>
      <x:c r="P34" s="275" t="str">
        <x:v>DOI: 10.1016/j.schres.2017.05.037</x:v>
      </x:c>
      <x:c r="Q34" s="275" t="str">
        <x:v>02_Biometrics_and_Disease/Mental_and_Developmental_Disorders/Fribourg_Ultimatum_Game_in_Schizophrenia_Study</x:v>
      </x:c>
      <x:c r="R34" s="275" t="str">
        <x:v>官方数据存在，但需申请、签署协议或获得权限</x:v>
      </x:c>
      <x:c r="S34" s="275"/>
      <x:c r="T34" s="275"/>
      <x:c r="U34" s="276"/>
    </x:row>
    <x:row r="35" ht="60" customHeight="1">
      <x:c r="A35" s="264" t="str">
        <x:v>EEG-0057</x:v>
      </x:c>
      <x:c r="B35" s="257" t="str">
        <x:v>02_Healthcare_and_Disease</x:v>
      </x:c>
      <x:c r="C35" s="257" t="str">
        <x:v>Mental_and_Developmental_Disorders</x:v>
      </x:c>
      <x:c r="D35" s="257" t="str">
        <x:v>MDD (Mumtaz)</x:v>
      </x:c>
      <x:c r="E35" s="257" t="str">
        <x:v>MDD
Mumtaz2016 (MDD Patients and Healthy Controls EEG Data)
Mumtaz2016 depression EEG</x:v>
      </x:c>
      <x:c r="F35" s="257" t="str">
        <x:v>Figshare:3385168,Figshare:4244171 | DOI:10.6084/m9.figshare.4244171</x:v>
      </x:c>
      <x:c r="G35" s="257" t="str">
        <x:v>DOWNLOAD_APPLICATION_REQUIRED</x:v>
      </x:c>
      <x:c r="H35" s="257" t="str">
        <x:v>https://doi.org/10.6084/m9.figshare.4244171</x:v>
      </x:c>
      <x:c r="I35" s="257" t="str">
        <x:v>Depression (MDD) vs healthy (EO/EC + P300); OmniEEG: MDD classification</x:v>
      </x:c>
      <x:c r="J35" s="257" t="str">
        <x:v>64 (34 MDD + 30 HC)</x:v>
      </x:c>
      <x:c r="K35" s="257" t="str">
        <x:v>19</x:v>
      </x:c>
      <x:c r="L35" s="257" t="str">
        <x:v>256 Hz</x:v>
      </x:c>
      <x:c r="M35" s="257" t="str">
        <x:v>EDF / MAT</x:v>
      </x:c>
      <x:c r="N35" s="257" t="str">
        <x:v>Both (raw .edf + some preprocessed)</x:v>
      </x:c>
      <x:c r="O35" s="257" t="str">
        <x:v>Open (figshare 4244171), CC-BY</x:v>
      </x:c>
      <x:c r="P35" s="257" t="str">
        <x:v>A wavelet-based technique to predict treatment outcome for major depressive disorder (MDD patients and healthy controls EEG data). Mumtaz et al., 2017, PLoS ONE 12(2):e0171409.</x:v>
      </x:c>
      <x:c r="Q35" s="257" t="str">
        <x:v>02_Biometrics_and_Disease/Mental_and_Developmental_Disorders/MDD_Mumtaz</x:v>
      </x:c>
      <x:c r="R35" s="257" t="str">
        <x:v>官方数据存在，但需申请、签署协议或获得权限</x:v>
      </x:c>
      <x:c r="S35" s="257"/>
      <x:c r="T35" s="257"/>
      <x:c r="U35" s="213"/>
    </x:row>
    <x:row r="36" ht="60" customHeight="1">
      <x:c r="A36" s="274" t="str">
        <x:v>EEG-0059</x:v>
      </x:c>
      <x:c r="B36" s="275" t="str">
        <x:v>02_Healthcare_and_Disease</x:v>
      </x:c>
      <x:c r="C36" s="275" t="str">
        <x:v>Mental_and_Developmental_Disorders</x:v>
      </x:c>
      <x:c r="D36" s="275" t="str">
        <x:v>Power Spectral Density-Based Resting-State EEG Classification of First-Episode Psychosis</x:v>
      </x:c>
      <x:c r="E36" s="275"/>
      <x:c r="F36" s="275" t="str">
        <x:v>Zenodo:7315010 | DOI:10.1016/j.bpsc.2019.06.010</x:v>
      </x:c>
      <x:c r="G36" s="275" t="str">
        <x:v>DOWNLOAD_PUBLIC</x:v>
      </x:c>
      <x:c r="H36" s="275" t="str">
        <x:v>https://zenodo.org/records/7315010</x:v>
      </x:c>
      <x:c r="I36" s="275" t="str">
        <x:v>Resting-state EEG</x:v>
      </x:c>
      <x:c r="J36" s="275" t="str">
        <x:v>72</x:v>
      </x:c>
      <x:c r="K36" s="275" t="str">
        <x:v>60</x:v>
      </x:c>
      <x:c r="L36" s="275" t="str">
        <x:v>1000 Hz</x:v>
      </x:c>
      <x:c r="M36" s="275" t="str">
        <x:v>.fif</x:v>
      </x:c>
      <x:c r="N36" s="275" t="str">
        <x:v>Processed data</x:v>
      </x:c>
      <x:c r="O36" s="275" t="str">
        <x:v>Fully open</x:v>
      </x:c>
      <x:c r="P36" s="275" t="str">
        <x:v>DOI: 10.1016/j.bpsc.2019.06.010</x:v>
      </x:c>
      <x:c r="Q36" s="275" t="str">
        <x:v>02_Biometrics_and_Disease/Mental_and_Developmental_Disorders/Power_Spectral_Density-Based_Resting-State_EEG_Classification_of_First-Episode_Psychosis</x:v>
      </x:c>
      <x:c r="R36" s="275" t="str">
        <x:v>存在公开仓库、官方入口或稳定数据访问号</x:v>
      </x:c>
      <x:c r="S36" s="275"/>
      <x:c r="T36" s="275"/>
      <x:c r="U36" s="276"/>
    </x:row>
    <x:row r="37" ht="60" customHeight="1">
      <x:c r="A37" s="264" t="str">
        <x:v>EEG-0062</x:v>
      </x:c>
      <x:c r="B37" s="257" t="str">
        <x:v>02_Healthcare_and_Disease</x:v>
      </x:c>
      <x:c r="C37" s="257" t="str">
        <x:v>Neurological_Disorders</x:v>
      </x:c>
      <x:c r="D37" s="257" t="str">
        <x:v>Acute Mild TBI DPX Cognitive-control EEG</x:v>
      </x:c>
      <x:c r="E37" s="257"/>
      <x:c r="F37" s="257" t="str">
        <x:v>OpenNeuro:ds005114</x:v>
      </x:c>
      <x:c r="G37" s="257" t="str">
        <x:v>DOWNLOAD_PUBLIC</x:v>
      </x:c>
      <x:c r="H37" s="257" t="str">
        <x:v>[OpenNeuro ds005114](https://openneuro.org/datasets/ds005114/versions/1.0.0)</x:v>
      </x:c>
      <x:c r="I37" s="257" t="str">
        <x:v>DPX cognitive-control task；acute mild traumatic brain injury</x:v>
      </x:c>
      <x:c r="J37" s="257" t="str">
        <x:v>91</x:v>
      </x:c>
      <x:c r="K37" s="257" t="str">
        <x:v>64</x:v>
      </x:c>
      <x:c r="L37" s="257" t="str">
        <x:v>500Hz</x:v>
      </x:c>
      <x:c r="M37" s="257" t="str">
        <x:v>BIDS</x:v>
      </x:c>
      <x:c r="N37" s="257" t="str">
        <x:v>raw BIDS</x:v>
      </x:c>
      <x:c r="O37" s="257" t="str">
        <x:v>公开下载：OpenNeuro ds005114 v1.0.0；CC0，可网页、OpenNeuro CLI 或 DataLad 获取。</x:v>
      </x:c>
      <x:c r="P37" s="257" t="str">
        <x:v>James F. Cavanagh</x:v>
      </x:c>
      <x:c r="Q37" s="257" t="str">
        <x:v>02_Biometrics_and_Disease/Neurological_Disorders/Acute_Mild_TBI_DPX_Cognitive-control_EEG</x:v>
      </x:c>
      <x:c r="R37" s="257" t="str">
        <x:v>存在公开仓库、官方入口或稳定数据访问号</x:v>
      </x:c>
      <x:c r="S37" s="257"/>
      <x:c r="T37" s="257"/>
      <x:c r="U37" s="213"/>
    </x:row>
    <x:row r="38" ht="60" customHeight="1">
      <x:c r="A38" s="274" t="str">
        <x:v>EEG-0063</x:v>
      </x:c>
      <x:c r="B38" s="275" t="str">
        <x:v>02_Healthcare_and_Disease</x:v>
      </x:c>
      <x:c r="C38" s="275" t="str">
        <x:v>Neurological_Disorders</x:v>
      </x:c>
      <x:c r="D38" s="275" t="str">
        <x:v>Clinical BCI Challenge WCCI 2020 (Stroke Motor Attempt)</x:v>
      </x:c>
      <x:c r="E38" s="275" t="str">
        <x:v>Acute Stroke Motor Imagery EEG Dataset</x:v>
      </x:c>
      <x:c r="F38" s="275" t="str">
        <x:v>GitHub:5anirban9/Clinical-Brain-Computer-Interfaces-Challenge-WCCI-2020-Glasgow</x:v>
      </x:c>
      <x:c r="G38" s="275" t="str">
        <x:v>DOWNLOAD_PUBLIC</x:v>
      </x:c>
      <x:c r="H38" s="275" t="str">
        <x:v>https://github.com/5anirban9/Clinical-Brain-Computer-Interfaces-Challenge-WCCI-2020-Glasgow</x:v>
      </x:c>
      <x:c r="I38" s="275" t="str">
        <x:v>Left-versus-right hand motor attempt in hemiparetic stroke; within- and cross-subject classification</x:v>
      </x:c>
      <x:c r="J38" s="275" t="str">
        <x:v>10 hemiparetic stroke patients (P01-P10; training labels P01-P08)</x:v>
      </x:c>
      <x:c r="K38" s="275" t="str">
        <x:v>12 EEG</x:v>
      </x:c>
      <x:c r="L38" s="275" t="str">
        <x:v>512 Hz</x:v>
      </x:c>
      <x:c r="M38" s="275" t="str">
        <x:v>ZIP containing MATLAB .mat</x:v>
      </x:c>
      <x:c r="N38" s="275" t="str">
        <x:v>Parsed trial matrices (competition release)</x:v>
      </x:c>
      <x:c r="O38" s="275" t="str">
        <x:v>Public challenge repository; follow the WCCI challenge/repository reuse terms.</x:v>
      </x:c>
      <x:c r="P38" s="275" t="str">
        <x:v>Clinical BCI Challenge, WCCI 2020 Glasgow</x:v>
      </x:c>
      <x:c r="Q38" s="275" t="str">
        <x:v>02_Biometrics_and_Disease/Neurological_Disorders/Acute_Stroke_Motor_Imagery_EEG_Dataset</x:v>
      </x:c>
      <x:c r="R38" s="275" t="str">
        <x:v>存在公开仓库、官方入口或稳定数据访问号</x:v>
      </x:c>
      <x:c r="S38" s="275"/>
      <x:c r="T38" s="275"/>
      <x:c r="U38" s="276"/>
    </x:row>
    <x:row r="39" ht="60" customHeight="1">
      <x:c r="A39" s="264" t="str">
        <x:v>EEG-0065</x:v>
      </x:c>
      <x:c r="B39" s="257" t="str">
        <x:v>02_Healthcare_and_Disease</x:v>
      </x:c>
      <x:c r="C39" s="257" t="str">
        <x:v>Neurological_Disorders</x:v>
      </x:c>
      <x:c r="D39" s="257" t="str">
        <x:v>ALS-Spelling (EEG-ET)</x:v>
      </x:c>
      <x:c r="E39" s="257"/>
      <x:c r="F39" s="257" t="str">
        <x:v>DOI:10.6084/m9.figshare.c.6910027.v1 | DOI:10.6084/m9.figshare.24485689.v1</x:v>
      </x:c>
      <x:c r="G39" s="257" t="str">
        <x:v>DOWNLOAD_PUBLIC</x:v>
      </x:c>
      <x:c r="H39" s="257" t="str">
        <x:v>https://doi.org/10.6084/m9.figshare.24485689.v1</x:v>
      </x:c>
      <x:c r="I39" s="257" t="str">
        <x:v>Eye-tracking spelling system usage (ALS)</x:v>
      </x:c>
      <x:c r="J39" s="257" t="str">
        <x:v>176（6 ALS + 170 healthy）</x:v>
      </x:c>
      <x:c r="K39" s="257" t="str">
        <x:v>34</x:v>
      </x:c>
      <x:c r="L39" s="257" t="str">
        <x:v>1000 Hz</x:v>
      </x:c>
      <x:c r="M39" s="257" t="str">
        <x:v>EDF</x:v>
      </x:c>
      <x:c r="N39" s="257" t="str">
        <x:v>Raw</x:v>
      </x:c>
      <x:c r="O39" s="257" t="str">
        <x:v>Open (figshare c.6910027), CC-BY 4.0</x:v>
      </x:c>
      <x:c r="P39" s="257" t="str">
        <x:v>An EEG &amp; eye-tracking dataset of ALS patients &amp; healthy people during eye-tracking-based spelling system usage. Ngo et al., 2024, Scientific Data 11:664.</x:v>
      </x:c>
      <x:c r="Q39" s="257" t="str">
        <x:v>02_Biometrics_and_Disease/Neurological_Disorders/ALS-Spelling_EEG-ET</x:v>
      </x:c>
      <x:c r="R39" s="257" t="str">
        <x:v>存在公开仓库、官方入口或稳定数据访问号</x:v>
      </x:c>
      <x:c r="S39" s="257"/>
      <x:c r="T39" s="257"/>
      <x:c r="U39" s="213"/>
    </x:row>
    <x:row r="40" ht="60" customHeight="1">
      <x:c r="A40" s="274" t="str">
        <x:v>EEG-0066</x:v>
      </x:c>
      <x:c r="B40" s="275" t="str">
        <x:v>04_Cognition_and_Emotion</x:v>
      </x:c>
      <x:c r="C40" s="275" t="str">
        <x:v>Emotion_Recognition</x:v>
      </x:c>
      <x:c r="D40" s="275" t="str">
        <x:v>AMIGOS</x:v>
      </x:c>
      <x:c r="E40" s="275" t="str">
        <x:v>AMIGOS [EEG-0109]; AMIGOS; same official dataset as EEG-0066</x:v>
      </x:c>
      <x:c r="F40" s="275" t="str">
        <x:v>DOI:10.1109/TAFFC.2018.2884461</x:v>
      </x:c>
      <x:c r="G40" s="275" t="str">
        <x:v>DOWNLOAD_APPLICATION_REQUIRED</x:v>
      </x:c>
      <x:c r="H40" s="275" t="str">
        <x:v>https://www.eecs.qmul.ac.uk/mmv/datasets/amigos/</x:v>
      </x:c>
      <x:c r="I40" s="275" t="str">
        <x:v>emotion recognition；EEG-based emotion recognition; binary valence and arousal classification. Used as an augmentation benchmark and as the dataset for adversarial-attack robustness experiments (FGSM, PGD, DeepFool) on emotional arousal</x:v>
      </x:c>
      <x:c r="J40" s="275" t="str">
        <x:v>40</x:v>
      </x:c>
      <x:c r="K40" s="275" t="str">
        <x:v>14</x:v>
      </x:c>
      <x:c r="L40" s="275" t="str">
        <x:v>128 Hz</x:v>
      </x:c>
      <x:c r="M40" s="275" t="str">
        <x:v>.mat</x:v>
      </x:c>
      <x:c r="N40" s="275" t="str">
        <x:v>Both</x:v>
      </x:c>
      <x:c r="O40" s="275" t="str">
        <x:v>Official QMUL access requires an approved request/signed EULA; use only the account holder's issued credentials or download link.</x:v>
      </x:c>
      <x:c r="P40" s="275" t="str">
        <x:v>DOI: 10.1109/TAFFC.2018.2884461；Miranda-Correa et al. (2021). AMIGOS: A Dataset for Affect, Personality and Mood Research on Individuals and Groups. IEEE Transactions on Affective Computing, 12(2):479-493.</x:v>
      </x:c>
      <x:c r="Q40" s="275" t="str">
        <x:v>04_Cognition_and_Emotion/Emotion_Recognition/AMIGOS</x:v>
      </x:c>
      <x:c r="R40" s="275" t="str">
        <x:v>Official AMIGOS dataset; registration/application required; EEG-0109 merged as an alias on 2026-08-04</x:v>
      </x:c>
      <x:c r="S40" s="275"/>
      <x:c r="T40" s="275"/>
      <x:c r="U40" s="276"/>
    </x:row>
    <x:row r="41" ht="60" customHeight="1">
      <x:c r="A41" s="264" t="str">
        <x:v>EEG-0067</x:v>
      </x:c>
      <x:c r="B41" s="257" t="str">
        <x:v>04_Cognition_and_Emotion</x:v>
      </x:c>
      <x:c r="C41" s="257" t="str">
        <x:v>Attention_and_Multisensory</x:v>
      </x:c>
      <x:c r="D41" s="257" t="str">
        <x:v>Auditory-Visual Shift Study</x:v>
      </x:c>
      <x:c r="E41" s="257"/>
      <x:c r="F41" s="257" t="str">
        <x:v>OpenNeuro:ds002893 | DOI:10.1016/j.brainres.2008.02.010</x:v>
      </x:c>
      <x:c r="G41" s="257" t="str">
        <x:v>DOWNLOAD_PUBLIC</x:v>
      </x:c>
      <x:c r="H41" s="257" t="str">
        <x:v>https://openneuro.org/datasets/ds002893</x:v>
      </x:c>
      <x:c r="I41" s="257" t="str">
        <x:v>AuditoryVisualShift</x:v>
      </x:c>
      <x:c r="J41" s="257" t="str">
        <x:v>49</x:v>
      </x:c>
      <x:c r="K41" s="257" t="str">
        <x:v>33</x:v>
      </x:c>
      <x:c r="L41" s="257" t="str">
        <x:v>250 Hz</x:v>
      </x:c>
      <x:c r="M41" s="257" t="str">
        <x:v>BIDS</x:v>
      </x:c>
      <x:c r="N41" s="257" t="str">
        <x:v>RAW</x:v>
      </x:c>
      <x:c r="O41" s="257" t="str">
        <x:v>Fully open</x:v>
      </x:c>
      <x:c r="P41" s="257" t="str">
        <x:v>DOI: 10.1016/j.brainres.2008.02.010</x:v>
      </x:c>
      <x:c r="Q41" s="257" t="str">
        <x:v>02_Biometrics_and_Disease/Neurological_Disorders/Auditory-Visual_Shift_Study</x:v>
      </x:c>
      <x:c r="R41" s="257" t="str">
        <x:v>存在公开仓库、官方入口或稳定数据访问号</x:v>
      </x:c>
      <x:c r="S41" s="257"/>
      <x:c r="T41" s="257"/>
      <x:c r="U41" s="213"/>
    </x:row>
    <x:row r="42" ht="60" customHeight="1">
      <x:c r="A42" s="274" t="str">
        <x:v>EEG-0068</x:v>
      </x:c>
      <x:c r="B42" s="275" t="str">
        <x:v>06_Motor_and_Interaction</x:v>
      </x:c>
      <x:c r="C42" s="275" t="str">
        <x:v>BCI_Competition</x:v>
      </x:c>
      <x:c r="D42" s="275" t="str">
        <x:v>BCI Competition III (2005) Dataset I</x:v>
      </x:c>
      <x:c r="E42" s="275" t="str">
        <x:v>BCI2005_I; motor-imagery ECoG</x:v>
      </x:c>
      <x:c r="F42" s="275" t="str">
        <x:v>BBCI:competition-iii-dataset-i</x:v>
      </x:c>
      <x:c r="G42" s="275" t="str">
        <x:v>DOWNLOAD_PUBLIC</x:v>
      </x:c>
      <x:c r="H42" s="275" t="str">
        <x:v>https://www.bbci.de/competition/iii/</x:v>
      </x:c>
      <x:c r="I42" s="275" t="str">
        <x:v>Cued motor imagery (left pinky versus tongue), ECoG session-to-session transfer</x:v>
      </x:c>
      <x:c r="J42" s="275" t="str">
        <x:v>1</x:v>
      </x:c>
      <x:c r="K42" s="275" t="str">
        <x:v>64 ECoG</x:v>
      </x:c>
      <x:c r="L42" s="275" t="str">
        <x:v>1000 Hz</x:v>
      </x:c>
      <x:c r="M42" s="275" t="str">
        <x:v>GDF</x:v>
      </x:c>
      <x:c r="N42" s="275" t="str">
        <x:v>Raw ECoG competition release</x:v>
      </x:c>
      <x:c r="O42" s="275" t="str">
        <x:v>Public BCI Competition III download; competition reuse terms apply.</x:v>
      </x:c>
      <x:c r="P42" s="275" t="str">
        <x:v>BCI Competition III; Birbaumer, Schölkopf and collaborators</x:v>
      </x:c>
      <x:c r="Q42" s="275" t="str">
        <x:v>02_Biometrics_and_Disease/Neurological_Disorders/BCI_Competition_2003_III_Dataset_I</x:v>
      </x:c>
      <x:c r="R42" s="275" t="str">
        <x:v>存在公开仓库、官方入口或稳定数据访问号</x:v>
      </x:c>
      <x:c r="S42" s="275"/>
      <x:c r="T42" s="275"/>
      <x:c r="U42" s="276"/>
    </x:row>
    <x:row r="43" ht="60" customHeight="1">
      <x:c r="A43" s="264" t="str">
        <x:v>EEG-0069</x:v>
      </x:c>
      <x:c r="B43" s="257" t="str">
        <x:v>06_Motor_and_Interaction</x:v>
      </x:c>
      <x:c r="C43" s="257" t="str">
        <x:v>Interaction_and_Control</x:v>
      </x:c>
      <x:c r="D43" s="257" t="str">
        <x:v>Tsinghua SSVEP Benchmark (Wang 2016)</x:v>
      </x:c>
      <x:c r="E43" s="257" t="str">
        <x:v>TSU (Tsinghua Benchmark SSVEP dataset)
Tsinghua Benchmark SSVEP
Tsinghua SSVEP Benchmark Dataset
Wang2016 SSVEP; SSVEP Benchmark (Wang 2016) [EEG-0445]</x:v>
      </x:c>
      <x:c r="F43" s="257" t="str">
        <x:v>Zenodo:14865172</x:v>
      </x:c>
      <x:c r="G43" s="257" t="str">
        <x:v>DOWNLOAD_PUBLIC</x:v>
      </x:c>
      <x:c r="H43" s="257" t="str">
        <x:v>http://bci.med.tsinghua.edu.cn/download.html (mirror: zenodo.org/records/14865172) | http://bci.med.tsinghua.edu.cn/download.html</x:v>
      </x:c>
      <x:c r="I43" s="257" t="str">
        <x:v>SSVEP 40-target speller (JFPM 8-15.8 Hz)；SSVEP 40-class target recognition (40 frequencies: 8-15.8 Hz, 0.2 Hz step)</x:v>
      </x:c>
      <x:c r="J43" s="257" t="str">
        <x:v>35</x:v>
      </x:c>
      <x:c r="K43" s="257" t="str">
        <x:v>64</x:v>
      </x:c>
      <x:c r="L43" s="257" t="str">
        <x:v>250 Hz (down from 1000)</x:v>
      </x:c>
      <x:c r="M43" s="257" t="str">
        <x:v>MAT</x:v>
      </x:c>
      <x:c r="N43" s="257" t="str">
        <x:v>Processed</x:v>
      </x:c>
      <x:c r="O43" s="257" t="str">
        <x:v>Free download; CC BY 4.0</x:v>
      </x:c>
      <x:c r="P43" s="257" t="str">
        <x:v>A benchmark dataset for SSVEP-based brain-computer interfaces. Wang et al., 2017, IEEE Transactions on Neural Systems and Rehabilitation Engineering 25(10):1746-1752.；Liu et al. (2020). BETA: A Large Benchmark Database Toward SSVEP-BCI Application. Frontiers in Neuroscience, 14:627.</x:v>
      </x:c>
      <x:c r="Q43" s="257" t="str">
        <x:v>06_Motor_and_Interaction/Interaction_and_Control/Tsinghua_SSVEP_Benchmark_Wang_2016</x:v>
      </x:c>
      <x:c r="R43" s="257" t="str">
        <x:v>官方数据存在，但需申请、签署协议或获得权限；2026-08-04去重：EEG-0445并入EEG-0069（Tsinghua SSVEP Benchmark / Wang 2016）</x:v>
      </x:c>
      <x:c r="S43" s="257"/>
      <x:c r="T43" s="257"/>
      <x:c r="U43" s="213"/>
    </x:row>
    <x:row r="44" ht="60" customHeight="1">
      <x:c r="A44" s="274" t="str">
        <x:v>EEG-0071</x:v>
      </x:c>
      <x:c r="B44" s="275" t="str">
        <x:v>02_Healthcare_and_Disease</x:v>
      </x:c>
      <x:c r="C44" s="275" t="str">
        <x:v>Neurological_Disorders</x:v>
      </x:c>
      <x:c r="D44" s="275" t="str">
        <x:v>BNCI 008-2014 (P300 speller, ALS)</x:v>
      </x:c>
      <x:c r="E44" s="275" t="str">
        <x:v>BNCI2014_008; P300 ALS</x:v>
      </x:c>
      <x:c r="F44" s="275" t="str">
        <x:v>BNCI:BNCI 008-2014 | BNCI:008-2014 | DOI:10.3389/fnhum.2013.00732</x:v>
      </x:c>
      <x:c r="G44" s="275" t="str">
        <x:v>DOWNLOAD_PUBLIC</x:v>
      </x:c>
      <x:c r="H44" s="275" t="str">
        <x:v>http://bnci-horizon-2020.eu/database/data-sets | https://bnci-horizon-2020.eu/database/data-sets</x:v>
      </x:c>
      <x:c r="I44" s="275" t="str">
        <x:v>Visual P300 speller matrix spelling task；P300 / ERP target vs non-target; ALS P300 speller</x:v>
      </x:c>
      <x:c r="J44" s="275" t="str">
        <x:v>8</x:v>
      </x:c>
      <x:c r="K44" s="275" t="str">
        <x:v>8 EEG channels</x:v>
      </x:c>
      <x:c r="L44" s="275" t="str">
        <x:v>256 Hz</x:v>
      </x:c>
      <x:c r="M44" s="275" t="str">
        <x:v>MAT</x:v>
      </x:c>
      <x:c r="N44" s="275" t="str">
        <x:v>Raw EEG</x:v>
      </x:c>
      <x:c r="O44" s="275" t="str">
        <x:v>Open, CC BY-NC-ND 4.0, no application</x:v>
      </x:c>
      <x:c r="P44" s="275" t="str">
        <x:v>Riccio/Cincotti, IRCCS Santa Lucia；Riccio et al. (2013); EEG-FM-Compass Table IV (2026)</x:v>
      </x:c>
      <x:c r="Q44" s="275" t="str">
        <x:v>02_Biometrics_and_Disease/Neurological_Disorders/BNCI_008-2014_P300_speller_ALS</x:v>
      </x:c>
      <x:c r="R44" s="275" t="str">
        <x:v>官方数据存在，但需申请、签署协议或获得权限；2026-08-04去重：EEG-0072并入EEG-0071（BNCI 008-2014 / MOABB BNCI2014_008）</x:v>
      </x:c>
      <x:c r="S44" s="275"/>
      <x:c r="T44" s="275"/>
      <x:c r="U44" s="276"/>
    </x:row>
    <x:row r="45" ht="60" customHeight="1">
      <x:c r="A45" s="264" t="str">
        <x:v>EEG-0074</x:v>
      </x:c>
      <x:c r="B45" s="257" t="str">
        <x:v>02_Healthcare_and_Disease</x:v>
      </x:c>
      <x:c r="C45" s="257" t="str">
        <x:v>Neurological_Disorders</x:v>
      </x:c>
      <x:c r="D45" s="257" t="str">
        <x:v>CCEP ECoG Dataset across age 4-51</x:v>
      </x:c>
      <x:c r="E45" s="257"/>
      <x:c r="F45" s="257" t="str">
        <x:v>OpenNeuro:ds004080</x:v>
      </x:c>
      <x:c r="G45" s="257" t="str">
        <x:v>DOWNLOAD_PUBLIC</x:v>
      </x:c>
      <x:c r="H45" s="257" t="str">
        <x:v>[OpenNeuro ds004080](https://openneuro.org/datasets/ds004080/versions/1.2.4)</x:v>
      </x:c>
      <x:c r="I45" s="257" t="str">
        <x:v>cortico-cortical evoked potentials; SPESclin / developmental transmission speed</x:v>
      </x:c>
      <x:c r="J45" s="257" t="str">
        <x:v>74</x:v>
      </x:c>
      <x:c r="K45" s="257" t="str">
        <x:v>64-133</x:v>
      </x:c>
      <x:c r="L45" s="257" t="str">
        <x:v>2048Hz; some 512Hz</x:v>
      </x:c>
      <x:c r="M45" s="257" t="str">
        <x:v>BIDS / iEEG</x:v>
      </x:c>
      <x:c r="N45" s="257" t="str">
        <x:v>raw BIDS + derivatives</x:v>
      </x:c>
      <x:c r="O45" s="257" t="str">
        <x:v>OpenNeuro public; CC0; DataLad/OpenNeuro CLI/EEGDash.</x:v>
      </x:c>
      <x:c r="P45" s="257" t="str">
        <x:v>van Blooijs et al. (2023); BrainWave/Brant-2 dataset table</x:v>
      </x:c>
      <x:c r="Q45" s="257" t="str">
        <x:v>02_Biometrics_and_Disease/Neurological_Disorders/CCEP_ECoG_Dataset_across_age_4-51</x:v>
      </x:c>
      <x:c r="R45" s="257" t="str">
        <x:v>存在公开仓库、官方入口或稳定数据访问号</x:v>
      </x:c>
      <x:c r="S45" s="257"/>
      <x:c r="T45" s="257"/>
      <x:c r="U45" s="213"/>
    </x:row>
    <x:row r="46" ht="60" customHeight="1">
      <x:c r="A46" s="274" t="str">
        <x:v>EEG-0075</x:v>
      </x:c>
      <x:c r="B46" s="275" t="str">
        <x:v>02_Healthcare_and_Disease</x:v>
      </x:c>
      <x:c r="C46" s="275" t="str">
        <x:v>Neurological_Disorders</x:v>
      </x:c>
      <x:c r="D46" s="275" t="str">
        <x:v>Dataset of electrophysiological signals (EEG, ECG, EMG) during Music therapy with adult burn patients in the Intensive Care Unit.</x:v>
      </x:c>
      <x:c r="E46" s="275"/>
      <x:c r="F46" s="275" t="str">
        <x:v>OpenNeuro:ds004840 | DOI:10.18112/openneuro.ds004840.v1.0.1</x:v>
      </x:c>
      <x:c r="G46" s="275" t="str">
        <x:v>DOWNLOAD_PUBLIC</x:v>
      </x:c>
      <x:c r="H46" s="275" t="str">
        <x:v>[OpenNeuro ds004840](https://openneuro.org/datasets/ds004840/versions/1.0.1)</x:v>
      </x:c>
      <x:c r="I46" s="275" t="str">
        <x:v>task-musicTherapy; task-postMusicTherapy; task-preMusicTherapy</x:v>
      </x:c>
      <x:c r="J46" s="275" t="str">
        <x:v>9</x:v>
      </x:c>
      <x:c r="K46" s="275" t="str">
        <x:v>8</x:v>
      </x:c>
      <x:c r="L46" s="275" t="str">
        <x:v>1024Hz</x:v>
      </x:c>
      <x:c r="M46" s="275" t="str">
        <x:v>BIDS</x:v>
      </x:c>
      <x:c r="N46" s="275" t="str">
        <x:v>raw BIDS</x:v>
      </x:c>
      <x:c r="O46" s="275" t="str">
        <x:v>OpenNeuro public download; ds004840 v1.0.1; license CC0; use web / OpenNeuro CLI / DataLad.</x:v>
      </x:c>
      <x:c r="P46" s="275" t="str">
        <x:v>Jose Cordoba-Silva; Rafael Maya; Mario Valderrama; Luis Felipe Giraldo; William Betancourt-Zapata; doi:10.18112/openneuro.ds004840.v1.0.1</x:v>
      </x:c>
      <x:c r="Q46" s="275" t="str">
        <x:v>02_Biometrics_and_Disease/Neurological_Disorders/Dataset_of_electrophysiological_signals_EEG_ECG_EMG_during_Music_therapy_with_adult_burn_p</x:v>
      </x:c>
      <x:c r="R46" s="275" t="str">
        <x:v>存在公开仓库、官方入口或稳定数据访问号</x:v>
      </x:c>
      <x:c r="S46" s="275"/>
      <x:c r="T46" s="275"/>
      <x:c r="U46" s="276"/>
    </x:row>
    <x:row r="47" ht="60" customHeight="1">
      <x:c r="A47" s="264" t="str">
        <x:v>EEG-0076</x:v>
      </x:c>
      <x:c r="B47" s="257" t="str">
        <x:v>04_Cognition_and_Emotion</x:v>
      </x:c>
      <x:c r="C47" s="257" t="str">
        <x:v>Emotion_Recognition</x:v>
      </x:c>
      <x:c r="D47" s="257" t="str">
        <x:v>DEAP</x:v>
      </x:c>
      <x:c r="E47" s="257" t="str">
        <x:v>DEAP [EEG-0118]; DEAP-arousal [EEG-0119]</x:v>
      </x:c>
      <x:c r="F47" s="257" t="str">
        <x:v>DOI:10.1109/T-AFFC.2011.15</x:v>
      </x:c>
      <x:c r="G47" s="257" t="str">
        <x:v>DOWNLOAD_APPLICATION_REQUIRED</x:v>
      </x:c>
      <x:c r="H47" s="257" t="str">
        <x:v>https://www.eecs.qmul.ac.uk/mmv/datasets/deap/</x:v>
      </x:c>
      <x:c r="I47" s="257" t="str">
        <x:v>human affective states；Emotion: valence / arousal / dominance / liking；High/low arousal classification (2 classes)</x:v>
      </x:c>
      <x:c r="J47" s="257" t="str">
        <x:v>32</x:v>
      </x:c>
      <x:c r="K47" s="257" t="str">
        <x:v>32</x:v>
      </x:c>
      <x:c r="L47" s="257" t="str">
        <x:v>512 Hz</x:v>
      </x:c>
      <x:c r="M47" s="257" t="str">
        <x:v>.mat</x:v>
      </x:c>
      <x:c r="N47" s="257" t="str">
        <x:v>Both</x:v>
      </x:c>
      <x:c r="O47" s="257" t="str">
        <x:v>Free for academic research after signing the official DEAP EULA; the issued credentials are user-specific.</x:v>
      </x:c>
      <x:c r="P47" s="257" t="str">
        <x:v>DOI: 10.1109/T-AFFC.2011.15；DEAP: a database for emotion analysis using physiological signals. Koelstra et al., 2012, IEEE Transactions on Affective Computing 3(1):18-31.；Sander Koelstra, Christian Muhl, Mohammad Soleymani, Jong-Seok Lee, Ashkan Yazdani, Touradj Ebrahimi, Thierry Pun, Anton Nijholt, and Ioannis Patras. Deap: A database for emotion analysis; using physiological signals. IEEE transactions on affective computing, 3(1):18–31, 2011.</x:v>
      </x:c>
      <x:c r="Q47" s="257" t="str">
        <x:v>04_Cognition_and_Emotion/Emotion_Recognition/DEAP</x:v>
      </x:c>
      <x:c r="R47" s="257" t="str">
        <x:v>Official DEAP dataset; registration/application required; EEG-0118 and EEG-0119 merged as aliases on 2026-08-04</x:v>
      </x:c>
      <x:c r="S47" s="257"/>
      <x:c r="T47" s="257"/>
      <x:c r="U47" s="213"/>
    </x:row>
    <x:row r="48" ht="60" customHeight="1">
      <x:c r="A48" s="274" t="str">
        <x:v>EEG-0077</x:v>
      </x:c>
      <x:c r="B48" s="275" t="str">
        <x:v>04_Cognition_and_Emotion</x:v>
      </x:c>
      <x:c r="C48" s="275" t="str">
        <x:v>Attention_and_ERP</x:v>
      </x:c>
      <x:c r="D48" s="275" t="str">
        <x:v>EEG recordings comprising evoked potentials related to attention to colored laminar stimuli</x:v>
      </x:c>
      <x:c r="E48" s="275"/>
      <x:c r="F48" s="275" t="str">
        <x:v>Zenodo:8188857 | DOI:10.1109/COMPENG50184.2022.9905445</x:v>
      </x:c>
      <x:c r="G48" s="275" t="str">
        <x:v>DOWNLOAD_PUBLIC</x:v>
      </x:c>
      <x:c r="H48" s="275" t="str">
        <x:v>https://zenodo.org/records/8188857</x:v>
      </x:c>
      <x:c r="I48" s="275" t="str">
        <x:v>covert spatial-attention BCI binary</x:v>
      </x:c>
      <x:c r="J48" s="275" t="str">
        <x:v>14</x:v>
      </x:c>
      <x:c r="K48" s="275" t="str">
        <x:v>12</x:v>
      </x:c>
      <x:c r="L48" s="275" t="str">
        <x:v>250 Hz</x:v>
      </x:c>
      <x:c r="M48" s="275" t="str">
        <x:v>.mat</x:v>
      </x:c>
      <x:c r="N48" s="275" t="str">
        <x:v>preprocessed data</x:v>
      </x:c>
      <x:c r="O48" s="275" t="str">
        <x:v>Fully open</x:v>
      </x:c>
      <x:c r="P48" s="275" t="str">
        <x:v>DOI: 10.1109/COMPENG50184.2022.9905445</x:v>
      </x:c>
      <x:c r="Q48" s="275" t="str">
        <x:v>02_Biometrics_and_Disease/Neurological_Disorders/EEG_recordings_comprising_evoked_potentials_related_to_attention_to_colored_laminar_stimul</x:v>
      </x:c>
      <x:c r="R48" s="275" t="str">
        <x:v>存在公开仓库、官方入口或稳定数据访问号</x:v>
      </x:c>
      <x:c r="S48" s="275"/>
      <x:c r="T48" s="275"/>
      <x:c r="U48" s="276"/>
    </x:row>
    <x:row r="49" ht="60" customHeight="1">
      <x:c r="A49" s="264" t="str">
        <x:v>EEG-0078</x:v>
      </x:c>
      <x:c r="B49" s="257" t="str">
        <x:v>02_Healthcare_and_Disease</x:v>
      </x:c>
      <x:c r="C49" s="257" t="str">
        <x:v>Neurological_Disorders</x:v>
      </x:c>
      <x:c r="D49" s="257" t="str">
        <x:v>EEG: 3-Stim Auditory Oddball and Rest in Parkinson’s</x:v>
      </x:c>
      <x:c r="E49" s="257" t="str">
        <x:v>Parkinson's EEG (3-Stim Auditory Oddball + Rest, OpenNeuro ds003490)</x:v>
      </x:c>
      <x:c r="F49" s="257" t="str">
        <x:v>OpenNeuro:ds003490 | DOI:10.1016/j.clinph.2017.11.023</x:v>
      </x:c>
      <x:c r="G49" s="257" t="str">
        <x:v>DOWNLOAD_APPLICATION_REQUIRED</x:v>
      </x:c>
      <x:c r="H49" s="257" t="str">
        <x:v>https://huggingface.co/datasets/EEGDash/ds003490</x:v>
      </x:c>
      <x:c r="I49" s="257" t="str">
        <x:v>Parkinson’s disease</x:v>
      </x:c>
      <x:c r="J49" s="257" t="str">
        <x:v>50</x:v>
      </x:c>
      <x:c r="K49" s="257" t="str">
        <x:v>67</x:v>
      </x:c>
      <x:c r="L49" s="257" t="str">
        <x:v>500 Hz</x:v>
      </x:c>
      <x:c r="M49" s="257" t="str">
        <x:v>.set + .fdt</x:v>
      </x:c>
      <x:c r="N49" s="257" t="str">
        <x:v>Raw Data</x:v>
      </x:c>
      <x:c r="O49" s="257" t="str">
        <x:v>Agreement</x:v>
      </x:c>
      <x:c r="P49" s="257" t="str">
        <x:v>DOI：10.1016/j.clinph.2017.11.023</x:v>
      </x:c>
      <x:c r="Q49" s="257" t="str">
        <x:v>02_Biometrics_and_Disease/Neurological_Disorders/EEG_3-Stim_Auditory_Oddball_and_Rest_in_Parkinson_s</x:v>
      </x:c>
      <x:c r="R49" s="257" t="str">
        <x:v>官方数据存在，但需申请、签署协议或获得权限</x:v>
      </x:c>
      <x:c r="S49" s="257"/>
      <x:c r="T49" s="257"/>
      <x:c r="U49" s="213"/>
    </x:row>
    <x:row r="50" ht="60" customHeight="1">
      <x:c r="A50" s="274" t="str">
        <x:v>EEG-0079</x:v>
      </x:c>
      <x:c r="B50" s="275" t="str">
        <x:v>02_Healthcare_and_Disease</x:v>
      </x:c>
      <x:c r="C50" s="275" t="str">
        <x:v>Neurological_Disorders</x:v>
      </x:c>
      <x:c r="D50" s="275" t="str">
        <x:v>EEG: Reinforcement Learning in Parkinson’s</x:v>
      </x:c>
      <x:c r="E50" s="275"/>
      <x:c r="F50" s="275" t="str">
        <x:v>OpenNeuro:ds003506 | DOI:10.1016/j.brainres.2019.146541</x:v>
      </x:c>
      <x:c r="G50" s="275" t="str">
        <x:v>DOWNLOAD_APPLICATION_REQUIRED</x:v>
      </x:c>
      <x:c r="H50" s="275" t="str">
        <x:v>https://huggingface.co/datasets/EEGDash/ds003506</x:v>
      </x:c>
      <x:c r="I50" s="275" t="str">
        <x:v>Parkinson’s disease / reinforcement learning task</x:v>
      </x:c>
      <x:c r="J50" s="275" t="str">
        <x:v>56</x:v>
      </x:c>
      <x:c r="K50" s="275" t="str">
        <x:v>67</x:v>
      </x:c>
      <x:c r="L50" s="275" t="str">
        <x:v>500 Hz</x:v>
      </x:c>
      <x:c r="M50" s="275" t="str">
        <x:v>.set + .fdt</x:v>
      </x:c>
      <x:c r="N50" s="275" t="str">
        <x:v>Raw Data</x:v>
      </x:c>
      <x:c r="O50" s="275" t="str">
        <x:v>Agreement</x:v>
      </x:c>
      <x:c r="P50" s="275" t="str">
        <x:v>DOI: 10.1016/j.brainres.2019.146541</x:v>
      </x:c>
      <x:c r="Q50" s="275" t="str">
        <x:v>02_Biometrics_and_Disease/Neurological_Disorders/EEG_Reinforcement_Learning_in_Parkinson_s</x:v>
      </x:c>
      <x:c r="R50" s="275" t="str">
        <x:v>官方数据存在，但需申请、签署协议或获得权限</x:v>
      </x:c>
      <x:c r="S50" s="275"/>
      <x:c r="T50" s="275"/>
      <x:c r="U50" s="276"/>
    </x:row>
    <x:row r="51" ht="60" customHeight="1">
      <x:c r="A51" s="264" t="str">
        <x:v>EEG-0080</x:v>
      </x:c>
      <x:c r="B51" s="257" t="str">
        <x:v>02_Healthcare_and_Disease</x:v>
      </x:c>
      <x:c r="C51" s="257" t="str">
        <x:v>Neurological_Disorders</x:v>
      </x:c>
      <x:c r="D51" s="257" t="str">
        <x:v>EEG: Simon Conflict in Parkinson's</x:v>
      </x:c>
      <x:c r="E51" s="257"/>
      <x:c r="F51" s="257" t="str">
        <x:v>OpenNeuro:ds003509</x:v>
      </x:c>
      <x:c r="G51" s="257" t="str">
        <x:v>DOWNLOAD_PUBLIC</x:v>
      </x:c>
      <x:c r="H51" s="257" t="str">
        <x:v>https://huggingface.co/datasets/EEGDash/ds003509</x:v>
      </x:c>
      <x:c r="I51" s="257" t="str">
        <x:v>Simon conflict task；cognitive control；Parkinson medication/session effects</x:v>
      </x:c>
      <x:c r="J51" s="257" t="str">
        <x:v>56</x:v>
      </x:c>
      <x:c r="K51" s="257" t="str">
        <x:v>67</x:v>
      </x:c>
      <x:c r="L51" s="257" t="str">
        <x:v>500 Hz</x:v>
      </x:c>
      <x:c r="M51" s="257" t="str">
        <x:v>.set + .fdt</x:v>
      </x:c>
      <x:c r="N51" s="257" t="str">
        <x:v>Raw Data</x:v>
      </x:c>
      <x:c r="O51" s="257" t="str">
        <x:v>公开下载：OpenNeuro ds003509 v1.1.0；CC0，可网页、OpenNeuro CLI 或 DataLad 获取。</x:v>
      </x:c>
      <x:c r="P51" s="257" t="str">
        <x:v>James F. Cavanagh; Arun Singh; Kumar Narayanan</x:v>
      </x:c>
      <x:c r="Q51" s="257" t="str">
        <x:v>02_Biometrics_and_Disease/Neurological_Disorders/EEG_Simon_Conflict_in_Parkinson_s</x:v>
      </x:c>
      <x:c r="R51" s="257" t="str">
        <x:v>存在公开仓库、官方入口或稳定数据访问号</x:v>
      </x:c>
      <x:c r="S51" s="257"/>
      <x:c r="T51" s="257"/>
      <x:c r="U51" s="213"/>
    </x:row>
    <x:row r="52" ht="60" customHeight="1">
      <x:c r="A52" s="274" t="str">
        <x:v>EEG-0081</x:v>
      </x:c>
      <x:c r="B52" s="275" t="str">
        <x:v>02_Healthcare_and_Disease</x:v>
      </x:c>
      <x:c r="C52" s="275" t="str">
        <x:v>Neurological_Disorders</x:v>
      </x:c>
      <x:c r="D52" s="275" t="str">
        <x:v>EEG: Three-Stim Auditory Oddball and Rest in Acute and Chronic TBI</x:v>
      </x:c>
      <x:c r="E52" s="275"/>
      <x:c r="F52" s="275" t="str">
        <x:v>OpenNeuro:ds003522,ds003523 | DOI:10.18112/openneuro.ds003522.v1.1.0</x:v>
      </x:c>
      <x:c r="G52" s="275" t="str">
        <x:v>DOWNLOAD_PUBLIC</x:v>
      </x:c>
      <x:c r="H52" s="275" t="str">
        <x:v>https://huggingface.co/datasets/EEGDash/ds003522</x:v>
      </x:c>
      <x:c r="I52" s="275" t="str">
        <x:v>three-stim auditory oddball；rest；visual working memory in acute / chronic TBI</x:v>
      </x:c>
      <x:c r="J52" s="275" t="str">
        <x:v>96</x:v>
      </x:c>
      <x:c r="K52" s="275" t="str">
        <x:v>64</x:v>
      </x:c>
      <x:c r="L52" s="275" t="str">
        <x:v>500 Hz</x:v>
      </x:c>
      <x:c r="M52" s="275" t="str">
        <x:v>BIDS; BIDS (JSON, TSV, FDT, SET, MAT)</x:v>
      </x:c>
      <x:c r="N52" s="275" t="str">
        <x:v>Raw Data</x:v>
      </x:c>
      <x:c r="O52" s="275" t="str">
        <x:v>公开下载：OpenNeuro ds003522 与 ds003523；CC0，可网页、OpenNeuro CLI 或 DataLad 获取。</x:v>
      </x:c>
      <x:c r="P52" s="275" t="str">
        <x:v>DOI: 10.18112/openneuro.ds003522.v1.1.0</x:v>
      </x:c>
      <x:c r="Q52" s="275" t="str">
        <x:v>02_Biometrics_and_Disease/Neurological_Disorders/EEG_Three-Stim_Auditory_Oddball_and_Rest_in_Acute_and_Chronic_TBI</x:v>
      </x:c>
      <x:c r="R52" s="275" t="str">
        <x:v>存在公开仓库、官方入口或稳定数据访问号</x:v>
      </x:c>
      <x:c r="S52" s="275"/>
      <x:c r="T52" s="275"/>
      <x:c r="U52" s="276"/>
    </x:row>
    <x:row r="53" ht="60" customHeight="1">
      <x:c r="A53" s="264" t="str">
        <x:v>EEG-0082</x:v>
      </x:c>
      <x:c r="B53" s="257" t="str">
        <x:v>08_Health_and_Population</x:v>
      </x:c>
      <x:c r="C53" s="257" t="str">
        <x:v>Sensory_Physiology</x:v>
      </x:c>
      <x:c r="D53" s="257" t="str">
        <x:v>Human Spinal-cord Somatosensory Evoked Potentials EEG</x:v>
      </x:c>
      <x:c r="E53" s="257"/>
      <x:c r="F53" s="257" t="str">
        <x:v>OpenNeuro:ds004388</x:v>
      </x:c>
      <x:c r="G53" s="257" t="str">
        <x:v>DOWNLOAD_PUBLIC</x:v>
      </x:c>
      <x:c r="H53" s="257" t="str">
        <x:v>[OpenNeuro ds004388](https://openneuro.org/datasets/ds004388/versions/1.0.0)</x:v>
      </x:c>
      <x:c r="I53" s="257" t="str">
        <x:v>mixed nerve stimulation；spinal cord SEP；EEG/ESG/ENG physiology</x:v>
      </x:c>
      <x:c r="J53" s="257" t="str">
        <x:v>40</x:v>
      </x:c>
      <x:c r="K53" s="257" t="str">
        <x:v>64</x:v>
      </x:c>
      <x:c r="L53" s="257" t="str">
        <x:v>10000Hz</x:v>
      </x:c>
      <x:c r="M53" s="257" t="str">
        <x:v>BIDS</x:v>
      </x:c>
      <x:c r="N53" s="257" t="str">
        <x:v>raw BIDS</x:v>
      </x:c>
      <x:c r="O53" s="257" t="str">
        <x:v>公开下载：OpenNeuro ds004388 v1.0.0；CC0，可网页、OpenNeuro CLI 或 DataLad 获取。</x:v>
      </x:c>
      <x:c r="P53" s="257" t="str">
        <x:v>Birgit Nierula; Tilman Stephani; Merve Kaptan; André Moruaux; Burkhard Maess; Gabriel Curio; Vadim V. Nikulin; Falk Eippert</x:v>
      </x:c>
      <x:c r="Q53" s="257" t="str">
        <x:v>02_Biometrics_and_Disease/Neurological_Disorders/Human_Spinal-cord_Somatosensory_Evoked_Potentials_EEG</x:v>
      </x:c>
      <x:c r="R53" s="257" t="str">
        <x:v>存在公开仓库、官方入口或稳定数据访问号</x:v>
      </x:c>
      <x:c r="S53" s="257"/>
      <x:c r="T53" s="257"/>
      <x:c r="U53" s="213"/>
    </x:row>
    <x:row r="54" ht="60" customHeight="1">
      <x:c r="A54" s="274" t="str">
        <x:v>EEG-0083</x:v>
      </x:c>
      <x:c r="B54" s="275" t="str">
        <x:v>02_Healthcare_and_Disease</x:v>
      </x:c>
      <x:c r="C54" s="275" t="str">
        <x:v>Neurological_Disorders</x:v>
      </x:c>
      <x:c r="D54" s="275" t="str">
        <x:v>Intraoperative Medianus-tibialis Stimulation EEG</x:v>
      </x:c>
      <x:c r="E54" s="275"/>
      <x:c r="F54" s="275" t="str">
        <x:v>OpenNeuro:ds004381</x:v>
      </x:c>
      <x:c r="G54" s="275" t="str">
        <x:v>DOWNLOAD_PUBLIC</x:v>
      </x:c>
      <x:c r="H54" s="275" t="str">
        <x:v>[OpenNeuro ds004381](https://openneuro.org/datasets/ds004381/versions/1.0.2)</x:v>
      </x:c>
      <x:c r="I54" s="275" t="str">
        <x:v>intraoperative somatosensory evoked potentials；medianus/tibialis stimulation rates</x:v>
      </x:c>
      <x:c r="J54" s="275" t="str">
        <x:v>18</x:v>
      </x:c>
      <x:c r="K54" s="275" t="str">
        <x:v>5</x:v>
      </x:c>
      <x:c r="L54" s="275" t="str">
        <x:v>20000Hz</x:v>
      </x:c>
      <x:c r="M54" s="275" t="str">
        <x:v>BIDS</x:v>
      </x:c>
      <x:c r="N54" s="275" t="str">
        <x:v>raw BIDS</x:v>
      </x:c>
      <x:c r="O54" s="275" t="str">
        <x:v>公开下载：OpenNeuro ds004381 v1.0.2；CC0，可网页、OpenNeuro CLI 或 DataLad 获取。</x:v>
      </x:c>
      <x:c r="P54" s="275" t="str">
        <x:v>Giorgio Selmin; Vasileios Dimakopoulos; Niklaus Krayenbühl; Luca Regli; Johannes Sarnthein</x:v>
      </x:c>
      <x:c r="Q54" s="275" t="str">
        <x:v>02_Biometrics_and_Disease/Neurological_Disorders/Intraoperative_Medianus-tibialis_Stimulation_EEG</x:v>
      </x:c>
      <x:c r="R54" s="275" t="str">
        <x:v>存在公开仓库、官方入口或稳定数据访问号</x:v>
      </x:c>
      <x:c r="S54" s="275"/>
      <x:c r="T54" s="275"/>
      <x:c r="U54" s="276"/>
    </x:row>
    <x:row r="55" ht="60" customHeight="1">
      <x:c r="A55" s="264" t="str">
        <x:v>EEG-0084</x:v>
      </x:c>
      <x:c r="B55" s="257" t="str">
        <x:v>02_Healthcare_and_Disease</x:v>
      </x:c>
      <x:c r="C55" s="257" t="str">
        <x:v>Neurological_Disorders</x:v>
      </x:c>
      <x:c r="D55" s="257" t="str">
        <x:v>Liu2024</x:v>
      </x:c>
      <x:c r="E55" s="257" t="str">
        <x:v>Liu (2024)
MI-Acute-Stroke
SPMI (Stroke Patient Motor Imagery EEG dataset, Liu et al. 2024a)</x:v>
      </x:c>
      <x:c r="F55" s="257" t="str">
        <x:v>Figshare:21679035 | DOI:10.1038/s41597-023-02787-8,10.6084/m9.figshare.21679035,10.6084/m9.figshare.21679035.v5</x:v>
      </x:c>
      <x:c r="G55" s="257" t="str">
        <x:v>DOWNLOAD_APPLICATION_REQUIRED</x:v>
      </x:c>
      <x:c r="H55" s="257" t="str">
        <x:v>https://moabb.neurotechx.com/docs/generated/moabb.datasets.Liu2024.html</x:v>
      </x:c>
      <x:c r="I55" s="257" t="str">
        <x:v>acute-stroke motor imagery: left/right hand-grip imagination</x:v>
      </x:c>
      <x:c r="J55" s="257" t="str">
        <x:v>50</x:v>
      </x:c>
      <x:c r="K55" s="257" t="str">
        <x:v>29</x:v>
      </x:c>
      <x:c r="L55" s="257" t="str">
        <x:v>500 Hz</x:v>
      </x:c>
      <x:c r="M55" s="257" t="str">
        <x:v>Figshare / MOABB-supported</x:v>
      </x:c>
      <x:c r="N55" s="257" t="str">
        <x:v>preprocessed / MOABB-supported</x:v>
      </x:c>
      <x:c r="O55" s="257" t="str">
        <x:v>Figshare DOI 10.6084/m9.figshare.21679035.v5; REVE Appendix B MOABB source; CC BY 4.0.</x:v>
      </x:c>
      <x:c r="P55" s="257" t="str">
        <x:v>Liu et al. (2024); REVE Appendix B</x:v>
      </x:c>
      <x:c r="Q55" s="257" t="str">
        <x:v>02_Biometrics_and_Disease/Neurological_Disorders/Liu2024</x:v>
      </x:c>
      <x:c r="R55" s="257" t="str">
        <x:v>官方数据存在，但需申请、签署协议或获得权限</x:v>
      </x:c>
      <x:c r="S55" s="257"/>
      <x:c r="T55" s="257"/>
      <x:c r="U55" s="213"/>
    </x:row>
    <x:row r="56" ht="60" customHeight="1">
      <x:c r="A56" s="274" t="str">
        <x:v>EEG-0085</x:v>
      </x:c>
      <x:c r="B56" s="275" t="str">
        <x:v>02_Healthcare_and_Disease</x:v>
      </x:c>
      <x:c r="C56" s="275" t="str">
        <x:v>Neurological_Disorders</x:v>
      </x:c>
      <x:c r="D56" s="275" t="str">
        <x:v>Lower-Limb-MI (stroke)</x:v>
      </x:c>
      <x:c r="E56" s="275" t="str">
        <x:v>Liu (2019) [EEG-0396]</x:v>
      </x:c>
      <x:c r="F56" s="275" t="str">
        <x:v>Figshare:27130299 | DOI:10.6084/m9.figshare.27130299</x:v>
      </x:c>
      <x:c r="G56" s="275" t="str">
        <x:v>DOWNLOAD_PUBLIC</x:v>
      </x:c>
      <x:c r="H56" s="275" t="str">
        <x:v>https://springernature.figshare.com/articles/dataset/Lower_limb_motor_imagery_EEG.../27130299 | Figshare (Springer Nature), DOI:10.6084/m9.figshare.27130299</x:v>
      </x:c>
      <x:c r="I56" s="275" t="str">
        <x:v>Lower-limb motor imagery (stroke rehab)；MI</x:v>
      </x:c>
      <x:c r="J56" s="275" t="str">
        <x:v>27</x:v>
      </x:c>
      <x:c r="K56" s="275" t="str">
        <x:v>64</x:v>
      </x:c>
      <x:c r="L56" s="275" t="str">
        <x:v>1000 Hz</x:v>
      </x:c>
      <x:c r="M56" s="275" t="str">
        <x:v>EEGLAB</x:v>
      </x:c>
      <x:c r="N56" s="275" t="str">
        <x:v>Both (raw + preprocessed .set)</x:v>
      </x:c>
      <x:c r="O56" s="275" t="str">
        <x:v>Open (figshare 27130299); paper CC BY-NC-ND</x:v>
      </x:c>
      <x:c r="P56" s="275" t="str">
        <x:v>Lower limb motor imagery EEG dataset based on the multi-paradigm and longitudinal-training of stroke patients. Liu et al., 2025, Scientific Data 12:314.；Liu Y, Gui Z, Yan D, Wang Z, Gao R, Han N, Chen J, Wu J, Ming D. Sci Data 2025;12:314 (27 stroke patients, lower-limb MI)</x:v>
      </x:c>
      <x:c r="Q56" s="275" t="str">
        <x:v>02_Biometrics_and_Disease/Neurological_Disorders/Lower-Limb-MI_stroke</x:v>
      </x:c>
      <x:c r="R56" s="275" t="str">
        <x:v>存在公开仓库、官方入口或稳定数据访问号；2026-08-04去重：EEG-0396并入EEG-0085（Figshare article 27130299）</x:v>
      </x:c>
      <x:c r="S56" s="275"/>
      <x:c r="T56" s="275"/>
      <x:c r="U56" s="276"/>
    </x:row>
    <x:row r="57" ht="60" customHeight="1">
      <x:c r="A57" s="264" t="str">
        <x:v>EEG-0087</x:v>
      </x:c>
      <x:c r="B57" s="257" t="str">
        <x:v>02_Healthcare_and_Disease</x:v>
      </x:c>
      <x:c r="C57" s="257" t="str">
        <x:v>Neurological_Disorders</x:v>
      </x:c>
      <x:c r="D57" s="257" t="str">
        <x:v>Ultra High-Density EEG of Interictal Migraine and Controls</x:v>
      </x:c>
      <x:c r="E57" s="257" t="str">
        <x:v>Migrainedb; KiltHub 12636731</x:v>
      </x:c>
      <x:c r="F57" s="257" t="str">
        <x:v>DOI:10.1184/R1/12636731</x:v>
      </x:c>
      <x:c r="G57" s="257" t="str">
        <x:v>DOWNLOAD_PUBLIC</x:v>
      </x:c>
      <x:c r="H57" s="257" t="str">
        <x:v>https://kilthub.cmu.edu/articles/dataset/Ultra_high-density_EEG_recording_of_interictal_migraine_and_controls_sensory_and_rest/12636731</x:v>
      </x:c>
      <x:c r="I57" s="257" t="str">
        <x:v>Rest, 4/6 Hz visual SSVEP, and 4/6 Hz auditory SSAEP in interictal migraine versus controls</x:v>
      </x:c>
      <x:c r="J57" s="257" t="str">
        <x:v>35 (17 migraine + 18 controls)</x:v>
      </x:c>
      <x:c r="K57" s="257" t="str">
        <x:v>128 EEG</x:v>
      </x:c>
      <x:c r="L57" s="257" t="str">
        <x:v>2048 Hz</x:v>
      </x:c>
      <x:c r="M57" s="257" t="str">
        <x:v>ZIP containing BDF plus stimuli and demographics</x:v>
      </x:c>
      <x:c r="N57" s="257" t="str">
        <x:v>Raw EEG</x:v>
      </x:c>
      <x:c r="O57" s="257" t="str">
        <x:v>Public KiltHub release; CC BY 4.0.</x:v>
      </x:c>
      <x:c r="P57" s="257" t="str">
        <x:v>Chamanzar, Haigh, Grover, Behrmann (2020/2021)</x:v>
      </x:c>
      <x:c r="Q57" s="257" t="str">
        <x:v>02_Biometrics_and_Disease/Neurological_Disorders/Migrainedb</x:v>
      </x:c>
      <x:c r="R57" s="257" t="str">
        <x:v>存在公开仓库、官方入口或稳定数据访问号</x:v>
      </x:c>
      <x:c r="S57" s="257"/>
      <x:c r="T57" s="257"/>
      <x:c r="U57" s="213"/>
    </x:row>
    <x:row r="58" ht="60" customHeight="1">
      <x:c r="A58" s="274" t="str">
        <x:v>EEG-0089</x:v>
      </x:c>
      <x:c r="B58" s="275" t="str">
        <x:v>02_Healthcare_and_Disease</x:v>
      </x:c>
      <x:c r="C58" s="275" t="str">
        <x:v>Neurological_Disorders</x:v>
      </x:c>
      <x:c r="D58" s="275" t="str">
        <x:v>Mu and Beta Oscillatory Changes during a motor task following Rehabilitation in Chronic MCA Stroke: Insights from EEG</x:v>
      </x:c>
      <x:c r="E58" s="275"/>
      <x:c r="F58" s="275" t="str">
        <x:v>Zenodo:19599466 | DOI:10.31428/10317/13645</x:v>
      </x:c>
      <x:c r="G58" s="275" t="str">
        <x:v>DOWNLOAD_PUBLIC</x:v>
      </x:c>
      <x:c r="H58" s="275" t="str">
        <x:v>https://zenodo.org/records/19599466</x:v>
      </x:c>
      <x:c r="I58" s="275" t="str">
        <x:v>resting state eyes closed 5 minutes, motor imagery, active hand movements motor tasks</x:v>
      </x:c>
      <x:c r="J58" s="275" t="str">
        <x:v>17</x:v>
      </x:c>
      <x:c r="K58" s="275" t="str">
        <x:v>64</x:v>
      </x:c>
      <x:c r="L58" s="275" t="str">
        <x:v>1000 Hz</x:v>
      </x:c>
      <x:c r="M58" s="275" t="str">
        <x:v>.eeg、.vhdr、.vmrk</x:v>
      </x:c>
      <x:c r="N58" s="275" t="str">
        <x:v>Both</x:v>
      </x:c>
      <x:c r="O58" s="275" t="str">
        <x:v>Fully open</x:v>
      </x:c>
      <x:c r="P58" s="275" t="str">
        <x:v>DOI 10.31428/10317/13645</x:v>
      </x:c>
      <x:c r="Q58" s="275" t="str">
        <x:v>02_Biometrics_and_Disease/Neurological_Disorders/Mu_and_Beta_Oscillatory_Changes_during_a_motor_task_following_Rehabilitation_in_Chronic_MC</x:v>
      </x:c>
      <x:c r="R58" s="275" t="str">
        <x:v>存在公开仓库、官方入口或稳定数据访问号</x:v>
      </x:c>
      <x:c r="S58" s="275"/>
      <x:c r="T58" s="275"/>
      <x:c r="U58" s="276"/>
    </x:row>
    <x:row r="59" ht="60" customHeight="1">
      <x:c r="A59" s="264" t="str">
        <x:v>EEG-0091</x:v>
      </x:c>
      <x:c r="B59" s="257" t="str">
        <x:v>04_Cognition_and_Emotion</x:v>
      </x:c>
      <x:c r="C59" s="257" t="str">
        <x:v>Visual_Object_Decoding</x:v>
      </x:c>
      <x:c r="D59" s="257" t="str">
        <x:v>Object classification from randomized EEG trials</x:v>
      </x:c>
      <x:c r="E59" s="257"/>
      <x:c r="F59" s="257" t="str">
        <x:v>DOI:10.1109/CVPR46437.2021.00384</x:v>
      </x:c>
      <x:c r="G59" s="257" t="str">
        <x:v>DOWNLOAD_APPLICATION_REQUIRED</x:v>
      </x:c>
      <x:c r="H59" s="257" t="str">
        <x:v>https://ieee-dataport.org/open-access/dataset-object-classification-randomized-eeg-trials</x:v>
      </x:c>
      <x:c r="I59" s="257" t="str">
        <x:v>Object classification from EEG</x:v>
      </x:c>
      <x:c r="J59" s="257" t="str">
        <x:v>1</x:v>
      </x:c>
      <x:c r="K59" s="257" t="str">
        <x:v>96</x:v>
      </x:c>
      <x:c r="L59" s="257" t="str">
        <x:v>4096 Hz</x:v>
      </x:c>
      <x:c r="M59" s="257" t="str">
        <x:v>BDF</x:v>
      </x:c>
      <x:c r="N59" s="257" t="str">
        <x:v>Raw Data</x:v>
      </x:c>
      <x:c r="O59" s="257" t="str">
        <x:v>Need apply</x:v>
      </x:c>
      <x:c r="P59" s="257" t="str">
        <x:v>DOI:10.1109/CVPR46437.2021.00384</x:v>
      </x:c>
      <x:c r="Q59" s="257" t="str">
        <x:v>02_Biometrics_and_Disease/Neurological_Disorders/Object_classification_from_randomized_EEG_trials</x:v>
      </x:c>
      <x:c r="R59" s="257" t="str">
        <x:v>官方数据存在，但需申请、签署协议或获得权限</x:v>
      </x:c>
      <x:c r="S59" s="257"/>
      <x:c r="T59" s="257"/>
      <x:c r="U59" s="213"/>
    </x:row>
    <x:row r="60" ht="60" customHeight="1">
      <x:c r="A60" s="274" t="str">
        <x:v>EEG-0092</x:v>
      </x:c>
      <x:c r="B60" s="275" t="str">
        <x:v>02_Healthcare_and_Disease</x:v>
      </x:c>
      <x:c r="C60" s="275" t="str">
        <x:v>Neurological_Disorders</x:v>
      </x:c>
      <x:c r="D60" s="275" t="str">
        <x:v>PD-EEG Resting-State &amp; Walking EEG</x:v>
      </x:c>
      <x:c r="E60" s="275"/>
      <x:c r="F60" s="275" t="str">
        <x:v>OpenNeuro:ds007526</x:v>
      </x:c>
      <x:c r="G60" s="275" t="str">
        <x:v>DOWNLOAD_PUBLIC</x:v>
      </x:c>
      <x:c r="H60" s="275" t="str">
        <x:v>[OpenNeuro ds007526](https://openneuro.org/datasets/ds007526/versions/1.0.2)</x:v>
      </x:c>
      <x:c r="I60" s="275" t="str">
        <x:v>Parkinson disease resting EEG and walking EEG；gait / motor biomarkers</x:v>
      </x:c>
      <x:c r="J60" s="275" t="str">
        <x:v>144</x:v>
      </x:c>
      <x:c r="K60" s="275" t="str">
        <x:v>65</x:v>
      </x:c>
      <x:c r="L60" s="275" t="str">
        <x:v>250Hz</x:v>
      </x:c>
      <x:c r="M60" s="275" t="str">
        <x:v>BIDS</x:v>
      </x:c>
      <x:c r="N60" s="275" t="str">
        <x:v>raw BIDS</x:v>
      </x:c>
      <x:c r="O60" s="275" t="str">
        <x:v>公开下载：OpenNeuro ds007526 v1.0.2；CC0，可网页、OpenNeuro CLI 或 DataLad 获取。</x:v>
      </x:c>
      <x:c r="P60" s="275" t="str">
        <x:v>Zoya Katzir; Daniel Vered; Inbal Maidan</x:v>
      </x:c>
      <x:c r="Q60" s="275" t="str">
        <x:v>02_Biometrics_and_Disease/Neurological_Disorders/PD-EEG_Resting-State_Walking_EEG</x:v>
      </x:c>
      <x:c r="R60" s="275" t="str">
        <x:v>存在公开仓库、官方入口或稳定数据访问号</x:v>
      </x:c>
      <x:c r="S60" s="275"/>
      <x:c r="T60" s="275"/>
      <x:c r="U60" s="276"/>
    </x:row>
    <x:row r="61" ht="60" customHeight="1">
      <x:c r="A61" s="264" t="str">
        <x:v>EEG-0093</x:v>
      </x:c>
      <x:c r="B61" s="257" t="str">
        <x:v>02_Healthcare_and_Disease</x:v>
      </x:c>
      <x:c r="C61" s="257" t="str">
        <x:v>Neurological_Disorders</x:v>
      </x:c>
      <x:c r="D61" s="257" t="str">
        <x:v>PD-Mortality</x:v>
      </x:c>
      <x:c r="E61" s="257"/>
      <x:c r="F61" s="257" t="str">
        <x:v>DOI:10.1101/2025.07.07.25331047</x:v>
      </x:c>
      <x:c r="G61" s="257" t="str">
        <x:v>DOWNLOAD_APPLICATION_REQUIRED</x:v>
      </x:c>
      <x:c r="H61" s="257" t="str">
        <x:v>https://www.medrxiv.org/content/10.1101/2025.07.07.25331047 (data per authors)</x:v>
      </x:c>
      <x:c r="I61" s="257" t="str">
        <x:v>Parkinson 3-year mortality prognosis from resting EEG</x:v>
      </x:c>
      <x:c r="J61" s="257" t="str">
        <x:v>94 (22 deceased &lt;3 yr)</x:v>
      </x:c>
      <x:c r="K61" s="257" t="str">
        <x:v>64 recorded (59 retained)</x:v>
      </x:c>
      <x:c r="L61" s="257" t="str">
        <x:v>500</x:v>
      </x:c>
      <x:c r="M61" s="257" t="str">
        <x:v>N.A.</x:v>
      </x:c>
      <x:c r="N61" s="257" t="str">
        <x:v>Processed (resting, channels pruned)</x:v>
      </x:c>
      <x:c r="O61" s="257" t="str">
        <x:v>N.A. (availability per authors; likely request)</x:v>
      </x:c>
      <x:c r="P61" s="257" t="str">
        <x:v>EEG-based 3-year mortality prognosis in Parkinson's disease (LEAPD). 2025, medRxiv (full citation to confirm).</x:v>
      </x:c>
      <x:c r="Q61" s="257" t="str">
        <x:v>02_Biometrics_and_Disease/Neurological_Disorders/PD-Mortality</x:v>
      </x:c>
      <x:c r="R61" s="257" t="str">
        <x:v>官方数据存在，但需申请、签署协议或获得权限</x:v>
      </x:c>
      <x:c r="S61" s="257"/>
      <x:c r="T61" s="257"/>
      <x:c r="U61" s="213"/>
    </x:row>
    <x:row r="62" ht="60" customHeight="1">
      <x:c r="A62" s="274" t="str">
        <x:v>EEG-0094</x:v>
      </x:c>
      <x:c r="B62" s="275" t="str">
        <x:v>02_Healthcare_and_Disease</x:v>
      </x:c>
      <x:c r="C62" s="275" t="str">
        <x:v>Neurological_Disorders</x:v>
      </x:c>
      <x:c r="D62" s="275" t="str">
        <x:v>PD31 (Parkinson)</x:v>
      </x:c>
      <x:c r="E62" s="275"/>
      <x:c r="F62" s="275" t="str">
        <x:v>OpenNeuro:ds002778</x:v>
      </x:c>
      <x:c r="G62" s="275" t="str">
        <x:v>DOWNLOAD_PUBLIC</x:v>
      </x:c>
      <x:c r="H62" s="275" t="str">
        <x:v>https://openneuro.org/datasets/ds002778</x:v>
      </x:c>
      <x:c r="I62" s="275" t="str">
        <x:v>Parkinson vs control resting EEG (on/off medication)</x:v>
      </x:c>
      <x:c r="J62" s="275" t="str">
        <x:v>31 (15 PD/16 control)</x:v>
      </x:c>
      <x:c r="K62" s="275" t="str">
        <x:v>32 (BioSemi; OmniEEG mounts 64)</x:v>
      </x:c>
      <x:c r="L62" s="275" t="str">
        <x:v>512 Hz</x:v>
      </x:c>
      <x:c r="M62" s="275" t="str">
        <x:v>BDF / EEGLAB / BIDS</x:v>
      </x:c>
      <x:c r="N62" s="275" t="str">
        <x:v>Raw</x:v>
      </x:c>
      <x:c r="O62" s="275" t="str">
        <x:v>Open (OpenNeuro ds002778), CC0</x:v>
      </x:c>
      <x:c r="P62" s="275" t="str">
        <x:v>UC San Diego resting-state EEG data from patients with Parkinson's disease (OpenNeuro ds002778). Rockhill et al., 2020.</x:v>
      </x:c>
      <x:c r="Q62" s="275" t="str">
        <x:v>02_Biometrics_and_Disease/Neurological_Disorders/PD31_Parkinson</x:v>
      </x:c>
      <x:c r="R62" s="275" t="str">
        <x:v>存在公开仓库、官方入口或稳定数据访问号</x:v>
      </x:c>
      <x:c r="S62" s="275"/>
      <x:c r="T62" s="275"/>
      <x:c r="U62" s="276"/>
    </x:row>
    <x:row r="63" ht="60" customHeight="1">
      <x:c r="A63" s="264" t="str">
        <x:v>EEG-0095</x:v>
      </x:c>
      <x:c r="B63" s="257" t="str">
        <x:v>06_Motor_and_Interaction</x:v>
      </x:c>
      <x:c r="C63" s="257" t="str">
        <x:v>P300_BCI</x:v>
      </x:c>
      <x:c r="D63" s="257" t="str">
        <x:v>PhysioP300 (PhysioNet ERP</x:v>
      </x:c>
      <x:c r="E63" s="257" t="str">
        <x:v>Citi2010
Physio-ERP (P300
PhysioNet P300 (P300 Speller</x:v>
      </x:c>
      <x:c r="F63" s="257" t="str">
        <x:v>PhysioNet:erpbci</x:v>
      </x:c>
      <x:c r="G63" s="257" t="str">
        <x:v>DOWNLOAD_PUBLIC</x:v>
      </x:c>
      <x:c r="H63" s="257" t="str">
        <x:v>https://physionet.org/content/erpbci/1.0.0/</x:v>
      </x:c>
      <x:c r="I63" s="257" t="str">
        <x:v>P300 speller BCI (6x6 matrix; mental count of target character highlights)</x:v>
      </x:c>
      <x:c r="J63" s="257" t="str">
        <x:v>10</x:v>
      </x:c>
      <x:c r="K63" s="257" t="str">
        <x:v>64 EEG + 4 EOG + 2 earlobe reference</x:v>
      </x:c>
      <x:c r="L63" s="257" t="str">
        <x:v>2048 Hz</x:v>
      </x:c>
      <x:c r="M63" s="257" t="str">
        <x:v>EDF+ (with separate .event annotation files)</x:v>
      </x:c>
      <x:c r="N63" s="257" t="str">
        <x:v>Raw EEG with event annotations</x:v>
      </x:c>
      <x:c r="O63" s="257" t="str">
        <x:v>公开下载：PhysioNet ERP-based BCI recordings (https://physionet.org/content/erpbci/1.0.0/)；可网页或 PhysioNet 工具下载。</x:v>
      </x:c>
      <x:c r="P63" s="257" t="str">
        <x:v>Citi, Poli &amp; Cinel (2010). Documenting, modelling and exploiting P300 amplitude changes due to variable target delays in Donchin's speller. Journal of Neural Engineering, 7(5), 056006.</x:v>
      </x:c>
      <x:c r="Q63" s="257" t="str">
        <x:v>02_Biometrics_and_Disease/Neurological_Disorders/PhysioP300_PhysioNet_ERP</x:v>
      </x:c>
      <x:c r="R63" s="257" t="str">
        <x:v>存在公开仓库、官方入口或稳定数据访问号</x:v>
      </x:c>
      <x:c r="S63" s="257"/>
      <x:c r="T63" s="257"/>
      <x:c r="U63" s="213"/>
    </x:row>
    <x:row r="64" ht="60" customHeight="1">
      <x:c r="A64" s="274" t="str">
        <x:v>EEG-0097</x:v>
      </x:c>
      <x:c r="B64" s="275" t="str">
        <x:v>04_Cognition_and_Emotion</x:v>
      </x:c>
      <x:c r="C64" s="275" t="str">
        <x:v>Language_and_Semantics</x:v>
      </x:c>
      <x:c r="D64" s="275" t="str">
        <x:v>Semantic Animals/Tools (EEG-fNIRS)</x:v>
      </x:c>
      <x:c r="E64" s="275"/>
      <x:c r="F64" s="275" t="str">
        <x:v>OpenNeuro:ds004514</x:v>
      </x:c>
      <x:c r="G64" s="275" t="str">
        <x:v>DOWNLOAD_PUBLIC</x:v>
      </x:c>
      <x:c r="H64" s="275" t="str">
        <x:v>https://openneuro.org/datasets/ds004514</x:v>
      </x:c>
      <x:c r="I64" s="275" t="str">
        <x:v>Semantic decoding of imagined animals/tools (EEG-fNIRS)</x:v>
      </x:c>
      <x:c r="J64" s="275" t="str">
        <x:v>19 (D1:12 + D2:7)</x:v>
      </x:c>
      <x:c r="K64" s="275" t="str">
        <x:v>64</x:v>
      </x:c>
      <x:c r="L64" s="275" t="str">
        <x:v>2048 Hz</x:v>
      </x:c>
      <x:c r="M64" s="275" t="str">
        <x:v>Biosemi / BIDS</x:v>
      </x:c>
      <x:c r="N64" s="275" t="str">
        <x:v>Raw (BIDS)</x:v>
      </x:c>
      <x:c r="O64" s="275" t="str">
        <x:v>Open (OpenNeuro ds004514), CC0</x:v>
      </x:c>
      <x:c r="P64" s="275" t="str">
        <x:v>Simultaneous EEG and fNIRS recordings for semantic decoding of imagined animals and tools. Rybar et al., 2025, Scientific Data 12:613.</x:v>
      </x:c>
      <x:c r="Q64" s="275" t="str">
        <x:v>02_Biometrics_and_Disease/Neurological_Disorders/Semantic_Animals_Tools_EEG-fNIRS</x:v>
      </x:c>
      <x:c r="R64" s="275" t="str">
        <x:v>存在公开仓库、官方入口或稳定数据访问号</x:v>
      </x:c>
      <x:c r="S64" s="275"/>
      <x:c r="T64" s="275"/>
      <x:c r="U64" s="276"/>
    </x:row>
    <x:row r="65" ht="60" customHeight="1">
      <x:c r="A65" s="264" t="str">
        <x:v>EEG-0101</x:v>
      </x:c>
      <x:c r="B65" s="257" t="str">
        <x:v>04_Cognition_and_Emotion</x:v>
      </x:c>
      <x:c r="C65" s="257" t="str">
        <x:v>Visual_Perception</x:v>
      </x:c>
      <x:c r="D65" s="257" t="str">
        <x:v>VEPCON</x:v>
      </x:c>
      <x:c r="E65" s="257"/>
      <x:c r="F65" s="257" t="str">
        <x:v>OpenNeuro:ds003505</x:v>
      </x:c>
      <x:c r="G65" s="257" t="str">
        <x:v>DOWNLOAD_PUBLIC</x:v>
      </x:c>
      <x:c r="H65" s="257" t="str">
        <x:v>https://openneuro.org/datasets/ds003505</x:v>
      </x:c>
      <x:c r="I65" s="257" t="str">
        <x:v>Visual evoked potentials (face / motion ID)</x:v>
      </x:c>
      <x:c r="J65" s="257" t="str">
        <x:v>20</x:v>
      </x:c>
      <x:c r="K65" s="257" t="str">
        <x:v>128</x:v>
      </x:c>
      <x:c r="L65" s="257" t="str">
        <x:v>2048 Hz (down 250)</x:v>
      </x:c>
      <x:c r="M65" s="257" t="str">
        <x:v>Biosemi (.bdf) / BIDS</x:v>
      </x:c>
      <x:c r="N65" s="257" t="str">
        <x:v>Both (raw .bdf + preprocessed single-trial epochs)</x:v>
      </x:c>
      <x:c r="O65" s="257" t="str">
        <x:v>Open (OpenNeuro ds003505), BIDS</x:v>
      </x:c>
      <x:c r="P65" s="257" t="str">
        <x:v>Source imaging of high-density visual evoked potentials with multi-scale brain parcellations and connectomes. Pascucci et al., 2022, Scientific Data 9:9.</x:v>
      </x:c>
      <x:c r="Q65" s="257" t="str">
        <x:v>02_Biometrics_and_Disease/Neurological_Disorders/VEPCON</x:v>
      </x:c>
      <x:c r="R65" s="257" t="str">
        <x:v>视觉 ERP 项目；当前已下载树未发现 EEG 记录，且不属于疾病类</x:v>
      </x:c>
      <x:c r="S65" s="257"/>
      <x:c r="T65" s="257"/>
      <x:c r="U65" s="213"/>
    </x:row>
    <x:row r="66" ht="60" customHeight="1">
      <x:c r="A66" s="274" t="str">
        <x:v>EEG-0102</x:v>
      </x:c>
      <x:c r="B66" s="275" t="str">
        <x:v>02_Healthcare_and_Disease</x:v>
      </x:c>
      <x:c r="C66" s="275" t="str">
        <x:v>Clinical_Abnormalities</x:v>
      </x:c>
      <x:c r="D66" s="275" t="str">
        <x:v>BrainLat (Latin American EEG)</x:v>
      </x:c>
      <x:c r="E66" s="275"/>
      <x:c r="F66" s="275" t="str">
        <x:v>DOI:10.1038/s41597-023-02806-8,10.7303/syn51549340</x:v>
      </x:c>
      <x:c r="G66" s="275" t="str">
        <x:v>DOWNLOAD_APPLICATION_REQUIRED</x:v>
      </x:c>
      <x:c r="H66" s="275" t="str">
        <x:v>https://doi.org/10.7303/syn51549340</x:v>
      </x:c>
      <x:c r="I66" s="275" t="str">
        <x:v>Neurological Disorder Classification (AD / bvFTD / PD / MS / healthy; multi-class) + resting-state research</x:v>
      </x:c>
      <x:c r="J66" s="275" t="str">
        <x:v>780 (across 5 Latin American countries)</x:v>
      </x:c>
      <x:c r="K66" s="275" t="str">
        <x:v>128 EEG + EOG (BioSemi ActiveTwo)</x:v>
      </x:c>
      <x:c r="L66" s="275" t="str">
        <x:v>512 Hz</x:v>
      </x:c>
      <x:c r="M66" s="275" t="str">
        <x:v>EEG (BDF; BioSemi)</x:v>
      </x:c>
      <x:c r="N66" s="275" t="str">
        <x:v>Raw (annotated by clinical neurologists)</x:v>
      </x:c>
      <x:c r="O66" s="275" t="str">
        <x:v>Synapse BrainLat syn51549340; a Synapse account and project access acceptance/login are required before downloading EEG, MRI, and clinical files.</x:v>
      </x:c>
      <x:c r="P66" s="275" t="str">
        <x:v>Prado et al. 2023, Scientific Data (doi: 10.1038/s41597-023-02806-8)</x:v>
      </x:c>
      <x:c r="Q66" s="275" t="str">
        <x:v>02_Biometrics_and_Disease/Clinical_Abnormalities/BrainLat_Latin_American_EEG</x:v>
      </x:c>
      <x:c r="R66" s="275" t="str">
        <x:v>官方数据存在，但需申请、签署协议或获得权限</x:v>
      </x:c>
      <x:c r="S66" s="275"/>
      <x:c r="T66" s="275"/>
      <x:c r="U66" s="276"/>
    </x:row>
    <x:row r="67" ht="60" customHeight="1">
      <x:c r="A67" s="264" t="str">
        <x:v>EEG-0107</x:v>
      </x:c>
      <x:c r="B67" s="257" t="str">
        <x:v>02_Healthcare_and_Disease</x:v>
      </x:c>
      <x:c r="C67" s="257" t="str">
        <x:v>Clinical_Abnormalities</x:v>
      </x:c>
      <x:c r="D67" s="257" t="str">
        <x:v>TUAB (TUH Abnormal)</x:v>
      </x:c>
      <x:c r="E67" s="257"/>
      <x:c r="F67" s="257" t="str">
        <x:v>TUH:TUAB:v3.0.1</x:v>
      </x:c>
      <x:c r="G67" s="257" t="str">
        <x:v>DOWNLOAD_APPLICATION_REQUIRED</x:v>
      </x:c>
      <x:c r="H67" s="257" t="str">
        <x:v>https://isip.piconepress.com/projects/nedc/html/tuh_eeg/</x:v>
      </x:c>
      <x:c r="I67" s="257" t="str">
        <x:v>Abnormal vs normal clinical EEG</x:v>
      </x:c>
      <x:c r="J67" s="257" t="str">
        <x:v>2,383 (2,993 sessions)</x:v>
      </x:c>
      <x:c r="K67" s="257" t="str">
        <x:v>Varies (~19-21)</x:v>
      </x:c>
      <x:c r="L67" s="257" t="str">
        <x:v>250 Hz</x:v>
      </x:c>
      <x:c r="M67" s="257" t="str">
        <x:v>EDF</x:v>
      </x:c>
      <x:c r="N67" s="257" t="str">
        <x:v>Raw</x:v>
      </x:c>
      <x:c r="O67" s="257" t="str">
        <x:v>Free but restricted: signed TUH data-use agreement (help@nedcdata.org)</x:v>
      </x:c>
      <x:c r="P67" s="257" t="str">
        <x:v>Automated identification of abnormal adult EEGs (TUH Abnormal EEG Corpus, TUAB). Lopez et al., 2015, IEEE Signal Processing in Medicine and Biology Symposium (SPMB).</x:v>
      </x:c>
      <x:c r="Q67" s="257" t="str">
        <x:v>02_Biometrics_and_Disease/Clinical_Abnormalities/TUAB_TUH_Abnormal</x:v>
      </x:c>
      <x:c r="R67" s="257" t="str">
        <x:v>官方数据存在，但需申请、签署协议或获得权限；TUAB v3.0.1; subset of TUEG; do not add subjects or duration to TUEG totals</x:v>
      </x:c>
      <x:c r="S67" s="257"/>
      <x:c r="T67" s="257"/>
      <x:c r="U67" s="213"/>
    </x:row>
    <x:row r="68" ht="60" customHeight="1">
      <x:c r="A68" s="274" t="str">
        <x:v>EEG-0110</x:v>
      </x:c>
      <x:c r="B68" s="275" t="str">
        <x:v>03_Consciousness_and_State</x:v>
      </x:c>
      <x:c r="C68" s="275" t="str">
        <x:v>Sleep_Staging</x:v>
      </x:c>
      <x:c r="D68" s="275" t="str">
        <x:v>ANPHY-Sleep</x:v>
      </x:c>
      <x:c r="E68" s="275"/>
      <x:c r="F68" s="275" t="str">
        <x:v>DOI:10.17605/OSF.IO/R26FH</x:v>
      </x:c>
      <x:c r="G68" s="275" t="str">
        <x:v>DOWNLOAD_PUBLIC</x:v>
      </x:c>
      <x:c r="H68" s="275" t="str">
        <x:v>https://doi.org/10.17605/OSF.IO/R26FH</x:v>
      </x:c>
      <x:c r="I68" s="275" t="str">
        <x:v>Sleep staging (high-density PSG)</x:v>
      </x:c>
      <x:c r="J68" s="275" t="str">
        <x:v>29</x:v>
      </x:c>
      <x:c r="K68" s="275" t="str">
        <x:v>83 EEG (paper lists 19 core)</x:v>
      </x:c>
      <x:c r="L68" s="275" t="str">
        <x:v>1000 Hz</x:v>
      </x:c>
      <x:c r="M68" s="275" t="str">
        <x:v>EDF</x:v>
      </x:c>
      <x:c r="N68" s="275" t="str">
        <x:v>Both (raw PSG + annotations + artifact matrix)</x:v>
      </x:c>
      <x:c r="O68" s="275" t="str">
        <x:v>Open (OSF R26FH), CC-BY 4.0</x:v>
      </x:c>
      <x:c r="P68" s="275" t="str">
        <x:v>ANPHY-Sleep: an open sleep database from healthy adults using high-density scalp electroencephalogram. Wei et al., 2024, Scientific Data 11:896.</x:v>
      </x:c>
      <x:c r="Q68" s="275" t="str">
        <x:v>03_Consciousness_and_State/Sleep_Staging/ANPHY-Sleep</x:v>
      </x:c>
      <x:c r="R68" s="275" t="str">
        <x:v>存在公开仓库、官方入口或稳定数据访问号</x:v>
      </x:c>
      <x:c r="S68" s="275"/>
      <x:c r="T68" s="275"/>
      <x:c r="U68" s="276"/>
    </x:row>
    <x:row r="69" ht="60" customHeight="1">
      <x:c r="A69" s="264" t="str">
        <x:v>EEG-0113</x:v>
      </x:c>
      <x:c r="B69" s="257" t="str">
        <x:v>03_Consciousness_and_State</x:v>
      </x:c>
      <x:c r="C69" s="257" t="str">
        <x:v>Sleep_Staging</x:v>
      </x:c>
      <x:c r="D69" s="257" t="str">
        <x:v>BOAS</x:v>
      </x:c>
      <x:c r="E69" s="257" t="str">
        <x:v>Bitbrain Open Access Sleep Dataset</x:v>
      </x:c>
      <x:c r="F69" s="257" t="str">
        <x:v>OpenNeuro:ds005555</x:v>
      </x:c>
      <x:c r="G69" s="257" t="str">
        <x:v>DOWNLOAD_PUBLIC</x:v>
      </x:c>
      <x:c r="H69" s="257" t="str">
        <x:v>https://openneuro.org/datasets/ds005555</x:v>
      </x:c>
      <x:c r="I69" s="257" t="str">
        <x:v>Sleep staging (PSG + wearable headband)</x:v>
      </x:c>
      <x:c r="J69" s="257" t="str">
        <x:v>128 recordings (108 participants)</x:v>
      </x:c>
      <x:c r="K69" s="257" t="str">
        <x:v>2/6 (PSG 6 + headband 2)</x:v>
      </x:c>
      <x:c r="L69" s="257" t="str">
        <x:v>256 Hz</x:v>
      </x:c>
      <x:c r="M69" s="257" t="str">
        <x:v>EDF</x:v>
      </x:c>
      <x:c r="N69" s="257" t="str">
        <x:v>Raw (PSG + wearable, AASM labels)</x:v>
      </x:c>
      <x:c r="O69" s="257" t="str">
        <x:v>Open (OpenNeuro ds005555), CC0</x:v>
      </x:c>
      <x:c r="P69" s="257" t="str">
        <x:v>Bitbrain open access sleep dataset (BOAS). Lopez-Larraz et al., 2025.</x:v>
      </x:c>
      <x:c r="Q69" s="257" t="str">
        <x:v>03_Consciousness_and_State/Sleep_Staging/BOAS</x:v>
      </x:c>
      <x:c r="R69" s="257" t="str">
        <x:v>存在公开仓库、官方入口或稳定数据访问号</x:v>
      </x:c>
      <x:c r="S69" s="257"/>
      <x:c r="T69" s="257"/>
      <x:c r="U69" s="213"/>
    </x:row>
    <x:row r="70" ht="60" customHeight="1">
      <x:c r="A70" s="274" t="str">
        <x:v>EEG-0114</x:v>
      </x:c>
      <x:c r="B70" s="275" t="str">
        <x:v>03_Consciousness_and_State</x:v>
      </x:c>
      <x:c r="C70" s="275" t="str">
        <x:v>Sleep_Staging</x:v>
      </x:c>
      <x:c r="D70" s="275" t="str">
        <x:v>CAP Sleep Database</x:v>
      </x:c>
      <x:c r="E70" s="275"/>
      <x:c r="F70" s="275" t="str">
        <x:v>PhysioNet:capslpdb</x:v>
      </x:c>
      <x:c r="G70" s="275" t="str">
        <x:v>DOWNLOAD_PUBLIC</x:v>
      </x:c>
      <x:c r="H70" s="275" t="str">
        <x:v>https://physionet.org/content/capslpdb/1.0.0/</x:v>
      </x:c>
      <x:c r="I70" s="275" t="str">
        <x:v>EEG-based sleep staging (5-class: W, N1, N2, N3, REM; originally K&amp;M scoring, S3/S4 merged to N3); source-free UDA under inherent label shifts</x:v>
      </x:c>
      <x:c r="J70" s="275" t="str">
        <x:v>108 recordings (16 healthy + 92 patients)</x:v>
      </x:c>
      <x:c r="K70" s="275" t="str">
        <x:v>3 EEG + 2 EOG + 1 chin EMG (standard PSG)</x:v>
      </x:c>
      <x:c r="L70" s="275" t="str">
        <x:v>100 Hz to 512 Hz (varies by recording)</x:v>
      </x:c>
      <x:c r="M70" s="275" t="str">
        <x:v>EDF + annotations (PhysioNet)</x:v>
      </x:c>
      <x:c r="N70" s="275" t="str">
        <x:v>Raw polysomnography + expert annotations (CAP phases and sleep stages)</x:v>
      </x:c>
      <x:c r="O70" s="275" t="str">
        <x:v>公开下载：PhysioNet CAP Sleep Database (https://physionet.org/content/capslpdb/1.0.0/)；可网页或 PhysioNet 工具下载 EDF / annotations。</x:v>
      </x:c>
      <x:c r="P70" s="275" t="str">
        <x:v>Terzano et al. (2001). Atlas, Rules, and Recording Techniques for the Scoring of Cyclic Alternating Pattern (CAP) in Human Sleep. Sleep Medicine, 2(6):537-553.</x:v>
      </x:c>
      <x:c r="Q70" s="275" t="str">
        <x:v>03_Consciousness_and_State/Sleep_Staging/CAP_Sleep_Database</x:v>
      </x:c>
      <x:c r="R70" s="275" t="str">
        <x:v>存在公开仓库、官方入口或稳定数据访问号</x:v>
      </x:c>
      <x:c r="S70" s="275"/>
      <x:c r="T70" s="275"/>
      <x:c r="U70" s="276"/>
    </x:row>
    <x:row r="71" ht="60" customHeight="1">
      <x:c r="A71" s="264" t="str">
        <x:v>EEG-0120</x:v>
      </x:c>
      <x:c r="B71" s="257" t="str">
        <x:v>04_Cognition_and_Emotion</x:v>
      </x:c>
      <x:c r="C71" s="257" t="str">
        <x:v>Emotion</x:v>
      </x:c>
      <x:c r="D71" s="257" t="str">
        <x:v>DREAMER</x:v>
      </x:c>
      <x:c r="E71" s="257"/>
      <x:c r="F71" s="257" t="str">
        <x:v>Zenodo:546113</x:v>
      </x:c>
      <x:c r="G71" s="257" t="str">
        <x:v>DOWNLOAD_PUBLIC</x:v>
      </x:c>
      <x:c r="H71" s="257" t="str">
        <x:v>https://zenodo.org/records/546113</x:v>
      </x:c>
      <x:c r="I71" s="257" t="str">
        <x:v>Emotion recognition (cross-subject); binary valence and arousal classification (split by median score 3 on a 1-5 scale)</x:v>
      </x:c>
      <x:c r="J71" s="257" t="str">
        <x:v>23</x:v>
      </x:c>
      <x:c r="K71" s="257" t="str">
        <x:v>14 EEG + 2 ECG channels</x:v>
      </x:c>
      <x:c r="L71" s="257" t="str">
        <x:v>128 Hz (EEG), 256 Hz (ECG)</x:v>
      </x:c>
      <x:c r="M71" s="257" t="str">
        <x:v>Original DREAMER: single MATLAB .mat file containing a nested struct with EEG/ECG signals and self-assessment ratings</x:v>
      </x:c>
      <x:c r="N71" s="257" t="str">
        <x:v>Raw and preprocessed EEG + ECG + self-assessments</x:v>
      </x:c>
      <x:c r="O71" s="257" t="str">
        <x:v>公开下载：Zenodo DREAMER (https://zenodo.org/records/546113)；下载 `DREAMER.mat` 后可直接用 TorchEEG / 自定义脚本读取。</x:v>
      </x:c>
      <x:c r="P71" s="257" t="str">
        <x:v>Katsigiannis &amp; Ramzan (2018). DREAMER: A Database for Emotion Recognition Through EEG and ECG Signals From Wireless Low-Cost Off-the-Shelf Devices. IEEE Journal of Biomedical and Health Informatics, 22(1), 98-107.</x:v>
      </x:c>
      <x:c r="Q71" s="257" t="str">
        <x:v>03_Consciousness_and_State/Sleep_Staging/DREAMER</x:v>
      </x:c>
      <x:c r="R71" s="257" t="str">
        <x:v>存在公开仓库、官方入口或稳定数据访问号 分类复核：DREAMER is an affective EEG/ECG experiment, not a sleep-health dataset.</x:v>
      </x:c>
      <x:c r="S71" s="257"/>
      <x:c r="T71" s="257"/>
      <x:c r="U71" s="213"/>
    </x:row>
    <x:row r="72" ht="60" customHeight="1">
      <x:c r="A72" s="274" t="str">
        <x:v>EEG-0122</x:v>
      </x:c>
      <x:c r="B72" s="275" t="str">
        <x:v>03_Consciousness_and_State</x:v>
      </x:c>
      <x:c r="C72" s="275" t="str">
        <x:v>Sleep_Staging</x:v>
      </x:c>
      <x:c r="D72" s="275" t="str">
        <x:v>Dreem Open Datasets (DOD-H</x:v>
      </x:c>
      <x:c r="E72" s="275" t="str">
        <x:v>Dreem Open Datasets; DOD-H/DOD-O</x:v>
      </x:c>
      <x:c r="F72" s="275" t="str">
        <x:v>Zenodo:4498364</x:v>
      </x:c>
      <x:c r="G72" s="275" t="str">
        <x:v>DOWNLOAD_APPLICATION_REQUIRED</x:v>
      </x:c>
      <x:c r="H72" s="275" t="str">
        <x:v>https://zenodo.org/records/4498364</x:v>
      </x:c>
      <x:c r="I72" s="275" t="str">
        <x:v>Sleep staging with clinical PSG and wearable headband</x:v>
      </x:c>
      <x:c r="J72" s="275" t="str">
        <x:v>80</x:v>
      </x:c>
      <x:c r="K72" s="275" t="str">
        <x:v>DOD-H: 12 EEG channels; DOD-O: 8 EEG channels (both also have 5 headband EEG channels)</x:v>
      </x:c>
      <x:c r="L72" s="275" t="str">
        <x:v>250 Hz</x:v>
      </x:c>
      <x:c r="M72" s="275" t="str">
        <x:v>HDF5 / EDF</x:v>
      </x:c>
      <x:c r="N72" s="275" t="str">
        <x:v>Raw PSG + Dreem headband signals + expert consensus hypnograms (scored by 5 experts)</x:v>
      </x:c>
      <x:c r="O72" s="275" t="str">
        <x:v>Open Access (Zenodo; Creative Commons Attribution 4.0 International)</x:v>
      </x:c>
      <x:c r="P72" s="275" t="str">
        <x:v>Guillot et al. 2020</x:v>
      </x:c>
      <x:c r="Q72" s="275" t="str">
        <x:v>03_Consciousness_and_State/Sleep_Staging/Dreem_Open_Datasets_DOD-H</x:v>
      </x:c>
      <x:c r="R72" s="275" t="str">
        <x:v>官方数据存在，但需申请、签署协议或获得权限</x:v>
      </x:c>
      <x:c r="S72" s="275"/>
      <x:c r="T72" s="275"/>
      <x:c r="U72" s="276"/>
    </x:row>
    <x:row r="73" ht="60" customHeight="1">
      <x:c r="A73" s="264" t="str">
        <x:v>EEG-0123</x:v>
      </x:c>
      <x:c r="B73" s="257" t="str">
        <x:v>03_Consciousness_and_State</x:v>
      </x:c>
      <x:c r="C73" s="257" t="str">
        <x:v>Sleep_Staging</x:v>
      </x:c>
      <x:c r="D73" s="257" t="str">
        <x:v>Ear-EEG Sleep Monitoring 2017</x:v>
      </x:c>
      <x:c r="E73" s="257"/>
      <x:c r="F73" s="257" t="str">
        <x:v>OpenNeuro:ds004348</x:v>
      </x:c>
      <x:c r="G73" s="257" t="str">
        <x:v>DOWNLOAD_PUBLIC</x:v>
      </x:c>
      <x:c r="H73" s="257" t="str">
        <x:v>[OpenNeuro ds004348](https://openneuro.org/datasets/ds004348/versions/1.0.5)</x:v>
      </x:c>
      <x:c r="I73" s="257" t="str">
        <x:v>sleep monitoring；ear-EEG vs conventional sleep EEG</x:v>
      </x:c>
      <x:c r="J73" s="257" t="str">
        <x:v>9</x:v>
      </x:c>
      <x:c r="K73" s="257" t="str">
        <x:v>34</x:v>
      </x:c>
      <x:c r="L73" s="257" t="str">
        <x:v>200Hz</x:v>
      </x:c>
      <x:c r="M73" s="257" t="str">
        <x:v>BIDS</x:v>
      </x:c>
      <x:c r="N73" s="257" t="str">
        <x:v>raw BIDS</x:v>
      </x:c>
      <x:c r="O73" s="257" t="str">
        <x:v>公开下载：OpenNeuro ds004348 v1.0.5；CC0，可网页、OpenNeuro CLI 或 DataLad 获取。</x:v>
      </x:c>
      <x:c r="P73" s="257" t="str">
        <x:v>Kaare B. Mikkelsen; David B. Villadsen; Laura Birch; Marit Otto; Preben Kidmose</x:v>
      </x:c>
      <x:c r="Q73" s="257" t="str">
        <x:v>03_Consciousness_and_State/Sleep_Staging/Ear-EEG_Sleep_Monitoring_2017</x:v>
      </x:c>
      <x:c r="R73" s="257" t="str">
        <x:v>存在公开仓库、官方入口或稳定数据访问号</x:v>
      </x:c>
      <x:c r="S73" s="257"/>
      <x:c r="T73" s="257"/>
      <x:c r="U73" s="213"/>
    </x:row>
    <x:row r="74" ht="60" customHeight="1">
      <x:c r="A74" s="274" t="str">
        <x:v>EEG-0124</x:v>
      </x:c>
      <x:c r="B74" s="275" t="str">
        <x:v>03_Consciousness_and_State</x:v>
      </x:c>
      <x:c r="C74" s="275" t="str">
        <x:v>Sleep_Staging</x:v>
      </x:c>
      <x:c r="D74" s="275" t="str">
        <x:v>EESM23 (Ear-EEG Sleep Monitoring)</x:v>
      </x:c>
      <x:c r="E74" s="275"/>
      <x:c r="F74" s="275" t="str">
        <x:v>OpenNeuro:ds005178</x:v>
      </x:c>
      <x:c r="G74" s="275" t="str">
        <x:v>DOWNLOAD_PUBLIC</x:v>
      </x:c>
      <x:c r="H74" s="275" t="str">
        <x:v>[OpenNeuro ds005178](https://openneuro.org/datasets/ds005178/versions/1.0.0)</x:v>
      </x:c>
      <x:c r="I74" s="275" t="str">
        <x:v>Ear-EEG based sleep staging (out-of-distribution / scalability evaluation)</x:v>
      </x:c>
      <x:c r="J74" s="275" t="str">
        <x:v>10.0</x:v>
      </x:c>
      <x:c r="K74" s="275" t="str">
        <x:v>4.0</x:v>
      </x:c>
      <x:c r="L74" s="275" t="str">
        <x:v>200.0</x:v>
      </x:c>
      <x:c r="M74" s="275" t="str">
        <x:v>EEGLAB .set files (BIDS-formatted; scoring in .tsv, actigraphy in .tsv.gz)</x:v>
      </x:c>
      <x:c r="N74" s="275" t="str">
        <x:v>raw / release-dependent</x:v>
      </x:c>
      <x:c r="O74" s="275" t="str">
        <x:v>Reported by TFM; exact dataset release/access route needs confirmation.</x:v>
      </x:c>
      <x:c r="P74" s="275" t="str">
        <x:v>Kaare Bjarke Mikkelsen et al. (2025). Ear-EEG sleep monitoring data sets. Scientific Data 12, 301</x:v>
      </x:c>
      <x:c r="Q74" s="275" t="str">
        <x:v>03_Consciousness_and_State/Sleep_Staging/EESM23_Ear-EEG_Sleep_Monitoring</x:v>
      </x:c>
      <x:c r="R74" s="275" t="str">
        <x:v>存在公开仓库、官方入口或稳定数据访问号</x:v>
      </x:c>
      <x:c r="S74" s="275"/>
      <x:c r="T74" s="275"/>
      <x:c r="U74" s="276"/>
    </x:row>
    <x:row r="75" ht="60" customHeight="1">
      <x:c r="A75" s="264" t="str">
        <x:v>EEG-0125</x:v>
      </x:c>
      <x:c r="B75" s="257" t="str">
        <x:v>03_Consciousness_and_State</x:v>
      </x:c>
      <x:c r="C75" s="257" t="str">
        <x:v>Sleep_Staging</x:v>
      </x:c>
      <x:c r="D75" s="257" t="str">
        <x:v>HMC (Haaglanden)</x:v>
      </x:c>
      <x:c r="E75" s="257"/>
      <x:c r="F75" s="257" t="str">
        <x:v>PhysioNet:hmc-sleep-staging</x:v>
      </x:c>
      <x:c r="G75" s="257" t="str">
        <x:v>DOWNLOAD_PUBLIC</x:v>
      </x:c>
      <x:c r="H75" s="257" t="str">
        <x:v>https://physionet.org/content/hmc-sleep-staging/1.1/</x:v>
      </x:c>
      <x:c r="I75" s="257" t="str">
        <x:v>Sleep staging (5-class, AASM)</x:v>
      </x:c>
      <x:c r="J75" s="257" t="str">
        <x:v>151 (85M/66F)</x:v>
      </x:c>
      <x:c r="K75" s="257" t="str">
        <x:v>4 EEG (F4/M1, C4/M1, O2/M1, C3/M2)</x:v>
      </x:c>
      <x:c r="L75" s="257" t="str">
        <x:v>256 Hz</x:v>
      </x:c>
      <x:c r="M75" s="257" t="str">
        <x:v>EDF / EDF+</x:v>
      </x:c>
      <x:c r="N75" s="257" t="str">
        <x:v>Raw</x:v>
      </x:c>
      <x:c r="O75" s="257" t="str">
        <x:v>Open, CC BY 4.0</x:v>
      </x:c>
      <x:c r="P75" s="257" t="str">
        <x:v>Inter-database validation of a deep learning approach for automatic sleep scoring (Haaglanden Medisch Centrum sleep staging database). Alvarez-Estevez &amp; Rijsman, 2021, PLoS ONE 16(8):e0256111.</x:v>
      </x:c>
      <x:c r="Q75" s="257" t="str">
        <x:v>03_Consciousness_and_State/Sleep_Staging/HMC_Haaglanden</x:v>
      </x:c>
      <x:c r="R75" s="257" t="str">
        <x:v>存在公开仓库、官方入口或稳定数据访问号</x:v>
      </x:c>
      <x:c r="S75" s="257"/>
      <x:c r="T75" s="257"/>
      <x:c r="U75" s="213"/>
    </x:row>
    <x:row r="76" ht="60" customHeight="1">
      <x:c r="A76" s="274" t="str">
        <x:v>EEG-0127</x:v>
      </x:c>
      <x:c r="B76" s="275" t="str">
        <x:v>03_Consciousness_and_State</x:v>
      </x:c>
      <x:c r="C76" s="275" t="str">
        <x:v>Sleep_Staging</x:v>
      </x:c>
      <x:c r="D76" s="275" t="str">
        <x:v>Human Sleep Project (HSP)</x:v>
      </x:c>
      <x:c r="E76" s="275"/>
      <x:c r="F76" s="275" t="str">
        <x:v>DOI:10.60508/qjbv-hg78</x:v>
      </x:c>
      <x:c r="G76" s="275" t="str">
        <x:v>DOWNLOAD_APPLICATION_REQUIRED</x:v>
      </x:c>
      <x:c r="H76" s="275" t="str">
        <x:v>[Human Sleep Project](https://bdsp.io/content/hsp/)</x:v>
      </x:c>
      <x:c r="I76" s="275" t="str">
        <x:v>Pre-training (multimodal contrastive PSG foundation model)</x:v>
      </x:c>
      <x:c r="J76" s="275" t="str">
        <x:v>18973.0</x:v>
      </x:c>
      <x:c r="K76" s="275" t="str">
        <x:v>9.0</x:v>
      </x:c>
      <x:c r="L76" s="275" t="str">
        <x:v>128.0</x:v>
      </x:c>
      <x:c r="M76" s="275" t="str">
        <x:v>EDF (PSG signals) + CSV (annotations)</x:v>
      </x:c>
      <x:c r="N76" s="275" t="str">
        <x:v>processed</x:v>
      </x:c>
      <x:c r="O76" s="275" t="str">
        <x:v>BDSP access terms; may require application/account</x:v>
      </x:c>
      <x:c r="P76" s="275" t="str">
        <x:v>Sun, H., Ganglberger, W., Nasiri, S., et al. (2023). The Human Sleep Project (version 2.0). Brain Data Science Platform. https://doi.org/10.60508/qjbv-hg78</x:v>
      </x:c>
      <x:c r="Q76" s="275" t="str">
        <x:v>03_Consciousness_and_State/Sleep_Staging/Human_Sleep_Project_HSP</x:v>
      </x:c>
      <x:c r="R76" s="275" t="str">
        <x:v>官方数据存在，但需申请、签署协议或获得权限</x:v>
      </x:c>
      <x:c r="S76" s="275"/>
      <x:c r="T76" s="275"/>
      <x:c r="U76" s="276"/>
    </x:row>
    <x:row r="77" ht="60" customHeight="1">
      <x:c r="A77" s="264" t="str">
        <x:v>EEG-0129</x:v>
      </x:c>
      <x:c r="B77" s="257" t="str">
        <x:v>04_Cognition_and_Emotion</x:v>
      </x:c>
      <x:c r="C77" s="257" t="str">
        <x:v>Emotion</x:v>
      </x:c>
      <x:c r="D77" s="257" t="str">
        <x:v>MAHNOB-HCI</x:v>
      </x:c>
      <x:c r="E77" s="257" t="str">
        <x:v>MAHNOB-HCI: A Multimodal Database for Affect Recognition and Implicit Tagging [EEG-0184]</x:v>
      </x:c>
      <x:c r="F77" s="257" t="str">
        <x:v>DOI:10.1109/T-AFFC.2011.2</x:v>
      </x:c>
      <x:c r="G77" s="257" t="str">
        <x:v>DOWNLOAD_PUBLIC</x:v>
      </x:c>
      <x:c r="H77" s="257" t="str">
        <x:v>[MAHNOB-HCI tagging](https://mahnob-db.eu/hci-tagging/) | https://mahnob-db.eu/</x:v>
      </x:c>
      <x:c r="I77" s="257" t="str">
        <x:v>Multimodal emotion recognition (valence and arousal binary classification; threshold of 5 on 1-9 self-report scale)；Emotion recognition / affect recognition</x:v>
      </x:c>
      <x:c r="J77" s="257" t="str">
        <x:v>30</x:v>
      </x:c>
      <x:c r="K77" s="257" t="str">
        <x:v>32 EEG + 8 peripheral channels</x:v>
      </x:c>
      <x:c r="L77" s="257" t="str">
        <x:v>1024 Hz (raw), 256 Hz (preprocessed)</x:v>
      </x:c>
      <x:c r="M77" s="257" t="str">
        <x:v>BDF / MAT</x:v>
      </x:c>
      <x:c r="N77" s="257" t="str">
        <x:v>Raw EEG + face videos + eye gaze + peripheral signals</x:v>
      </x:c>
      <x:c r="O77" s="257" t="str">
        <x:v>申请 / 登录：MAHNOB-HCI tagging (https://mahnob-db.eu/hci-tagging/)；注册后按数据使用条款下载原始 / 预处理数据。</x:v>
      </x:c>
      <x:c r="P77" s="257" t="str">
        <x:v>Soleymani et al. (2012). A Multimodal Database for Affect Recognition and Implicit Tagging. IEEE Transactions on Affective Computing.；DOI: 10.1109/T-AFFC.2011.2</x:v>
      </x:c>
      <x:c r="Q77" s="257" t="str">
        <x:v>03_Consciousness_and_State/Sleep_Staging/MAHNOB-HCI</x:v>
      </x:c>
      <x:c r="R77" s="257" t="str">
        <x:v>存在公开仓库、官方入口或稳定数据访问号；2026-08-04去重：EEG-0184并入EEG-0129（MAHNOB-HCI official database identity） 分类复核：MAHNOB-HCI is multimodal affect recognition, not sleep staging.</x:v>
      </x:c>
      <x:c r="S77" s="257"/>
      <x:c r="T77" s="257"/>
      <x:c r="U77" s="213"/>
    </x:row>
    <x:row r="78" ht="60" customHeight="1">
      <x:c r="A78" s="274" t="str">
        <x:v>EEG-0136</x:v>
      </x:c>
      <x:c r="B78" s="275" t="str">
        <x:v>03_Consciousness_and_State</x:v>
      </x:c>
      <x:c r="C78" s="275" t="str">
        <x:v>Sleep_Staging</x:v>
      </x:c>
      <x:c r="D78" s="275" t="str">
        <x:v>NCHSDB</x:v>
      </x:c>
      <x:c r="E78" s="275"/>
      <x:c r="F78" s="275" t="str">
        <x:v>PhysioNet:nch-sleep</x:v>
      </x:c>
      <x:c r="G78" s="275" t="str">
        <x:v>DOWNLOAD_PUBLIC</x:v>
      </x:c>
      <x:c r="H78" s="275" t="str">
        <x:v>[PhysioNet NCH Sleep](https://physionet.org/content/nch-sleep/)</x:v>
      </x:c>
      <x:c r="I78" s="275" t="str">
        <x:v>pediatric sleep staging; sleep disorder PSG with clinical EHR covariates</x:v>
      </x:c>
      <x:c r="J78" s="275" t="str">
        <x:v>3960.0</x:v>
      </x:c>
      <x:c r="K78" s="275" t="str">
        <x:v>1.0</x:v>
      </x:c>
      <x:c r="L78" s="275" t="str">
        <x:v>64.0</x:v>
      </x:c>
      <x:c r="M78" s="275" t="str">
        <x:v>EEG spectrogram, VQGAN tokens</x:v>
      </x:c>
      <x:c r="N78" s="275" t="str">
        <x:v>raw PSG + annotations + EHR tables</x:v>
      </x:c>
      <x:c r="O78" s="275" t="str">
        <x:v>PhysioNet / NSRR access; credentialed PhysioNet account may be required for download.</x:v>
      </x:c>
      <x:c r="P78" s="275" t="str">
        <x:v>Lee et al. (2022). A large collection of real-world pediatric sleep studies. Scientific Data.</x:v>
      </x:c>
      <x:c r="Q78" s="275" t="str">
        <x:v>03_Consciousness_and_State/Sleep_Staging/NCHSDB</x:v>
      </x:c>
      <x:c r="R78" s="275" t="str">
        <x:v>存在公开仓库、官方入口或稳定数据访问号</x:v>
      </x:c>
      <x:c r="S78" s="275"/>
      <x:c r="T78" s="275"/>
      <x:c r="U78" s="276"/>
    </x:row>
    <x:row r="79" ht="60" customHeight="1">
      <x:c r="A79" s="264" t="str">
        <x:v>EEG-0138</x:v>
      </x:c>
      <x:c r="B79" s="257" t="str">
        <x:v>03_Consciousness_and_State</x:v>
      </x:c>
      <x:c r="C79" s="257" t="str">
        <x:v>Sleep_Staging</x:v>
      </x:c>
      <x:c r="D79" s="257" t="str">
        <x:v>OpenNeuro ds003768 simultaneous EEG-fMRI sleep</x:v>
      </x:c>
      <x:c r="E79" s="257"/>
      <x:c r="F79" s="257" t="str">
        <x:v>OpenNeuro:ds003768 | DOI:10.1016/j.dib.2023.109059</x:v>
      </x:c>
      <x:c r="G79" s="257" t="str">
        <x:v>DOWNLOAD_PUBLIC</x:v>
      </x:c>
      <x:c r="H79" s="257" t="str">
        <x:v>https://openneuro.org/datasets/ds003768</x:v>
      </x:c>
      <x:c r="I79" s="257" t="str">
        <x:v>rest / sleep states；sleep staging；EEG-fMRI coupling</x:v>
      </x:c>
      <x:c r="J79" s="257" t="str">
        <x:v>33</x:v>
      </x:c>
      <x:c r="K79" s="257" t="str">
        <x:v>32</x:v>
      </x:c>
      <x:c r="L79" s="257" t="str">
        <x:v>5000 Hz</x:v>
      </x:c>
      <x:c r="M79" s="257" t="str">
        <x:v>BIDS-organized</x:v>
      </x:c>
      <x:c r="N79" s="257" t="str">
        <x:v>Both</x:v>
      </x:c>
      <x:c r="O79" s="257" t="str">
        <x:v>公开下载：OpenNeuro ds003768 (https://openneuro.org/datasets/ds003768)；可网页、OpenNeuro CLI 或 DataLad 获取。</x:v>
      </x:c>
      <x:c r="P79" s="257" t="str">
        <x:v>DOI: 10.1016/j.dib.2023.109059</x:v>
      </x:c>
      <x:c r="Q79" s="257" t="str">
        <x:v>03_Consciousness_and_State/Sleep_Staging/OpenNeuro_ds003768_simultaneous_EEG-fMRI_sleep</x:v>
      </x:c>
      <x:c r="R79" s="257" t="str">
        <x:v>存在公开仓库、官方入口或稳定数据访问号</x:v>
      </x:c>
      <x:c r="S79" s="257" t="str">
        <x:v>2.1</x:v>
      </x:c>
      <x:c r="T79" s="257" t="str">
        <x:v>rest ~600/run; sleep ~900/run</x:v>
      </x:c>
      <x:c r="U79" s="213" t="str">
        <x:v>~5 BOLD runs/subject (2 rest + 3 sleep)</x:v>
      </x:c>
    </x:row>
    <x:row r="80" ht="60" customHeight="1">
      <x:c r="A80" s="274" t="str">
        <x:v>EEG-0139</x:v>
      </x:c>
      <x:c r="B80" s="275" t="str">
        <x:v>03_Consciousness_and_State</x:v>
      </x:c>
      <x:c r="C80" s="275" t="str">
        <x:v>Sleep_Staging</x:v>
      </x:c>
      <x:c r="D80" s="275" t="str">
        <x:v>Optimizing the detection of wakeful and sleep-like states for future electrocorticographic brain computer interface applications</x:v>
      </x:c>
      <x:c r="E80" s="275"/>
      <x:c r="F80" s="275" t="str">
        <x:v>Zenodo:5014606 | DOI:10.1371/journal.pone.0142947</x:v>
      </x:c>
      <x:c r="G80" s="275" t="str">
        <x:v>DOWNLOAD_PUBLIC</x:v>
      </x:c>
      <x:c r="H80" s="275" t="str">
        <x:v>https://zenodo.org/records/5014606</x:v>
      </x:c>
      <x:c r="I80" s="275" t="str">
        <x:v>Wakeful vs. Sleep-like state detection</x:v>
      </x:c>
      <x:c r="J80" s="275" t="str">
        <x:v>4</x:v>
      </x:c>
      <x:c r="K80" s="275" t="str">
        <x:v>64</x:v>
      </x:c>
      <x:c r="L80" s="275" t="str">
        <x:v>256 Hz</x:v>
      </x:c>
      <x:c r="M80" s="275" t="str">
        <x:v>.mat</x:v>
      </x:c>
      <x:c r="N80" s="275" t="str">
        <x:v>Processed data</x:v>
      </x:c>
      <x:c r="O80" s="275" t="str">
        <x:v>Fully open</x:v>
      </x:c>
      <x:c r="P80" s="275" t="str">
        <x:v>DOI: 10.1371/journal.pone.0142947</x:v>
      </x:c>
      <x:c r="Q80" s="275" t="str">
        <x:v>03_Consciousness_and_State/Sleep_Staging/Optimizing_the_detection_of_wakeful_and_sleep-like_states_for_future_electrocorticographic</x:v>
      </x:c>
      <x:c r="R80" s="275" t="str">
        <x:v>存在公开仓库、官方入口或稳定数据访问号</x:v>
      </x:c>
      <x:c r="S80" s="275"/>
      <x:c r="T80" s="275"/>
      <x:c r="U80" s="276"/>
    </x:row>
    <x:row r="81" ht="60" customHeight="1">
      <x:c r="A81" s="264" t="str">
        <x:v>EEG-0140</x:v>
      </x:c>
      <x:c r="B81" s="257" t="str">
        <x:v>03_Consciousness_and_State</x:v>
      </x:c>
      <x:c r="C81" s="257" t="str">
        <x:v>Sleep_Staging</x:v>
      </x:c>
      <x:c r="D81" s="257" t="str">
        <x:v>PhysioNet Challenge 2018 Sleep Arousal Database</x:v>
      </x:c>
      <x:c r="E81" s="257"/>
      <x:c r="F81" s="257" t="str">
        <x:v>PhysioNet:challenge-2018</x:v>
      </x:c>
      <x:c r="G81" s="257" t="str">
        <x:v>DOWNLOAD_PUBLIC</x:v>
      </x:c>
      <x:c r="H81" s="257" t="str">
        <x:v>https://physionet.org/content/challenge-2018/1.0.0/</x:v>
      </x:c>
      <x:c r="I81" s="257" t="str">
        <x:v>sleep staging / arousal detection from PSG</x:v>
      </x:c>
      <x:c r="J81" s="257" t="str">
        <x:v>1983</x:v>
      </x:c>
      <x:c r="K81" s="257" t="str">
        <x:v>6 EEG channels + EOG, EMG, ECG, respiratory effort, SaO2</x:v>
      </x:c>
      <x:c r="L81" s="257" t="str">
        <x:v>200 Hz</x:v>
      </x:c>
      <x:c r="M81" s="257" t="str">
        <x:v>EDF / annotations</x:v>
      </x:c>
      <x:c r="N81" s="257" t="str">
        <x:v>Raw physiological signals + expert annotations (sleep stages, arousals, respiratory events)</x:v>
      </x:c>
      <x:c r="O81" s="257" t="str">
        <x:v>PhysioNet challenge data; credentialing/licensing should be checked before redistribution.</x:v>
      </x:c>
      <x:c r="P81" s="257" t="str">
        <x:v>DeeperBrain; Liu et al. (2026), EEG Foundation Models Tables VIII-XIV</x:v>
      </x:c>
      <x:c r="Q81" s="257" t="str">
        <x:v>03_Consciousness_and_State/Sleep_Staging/PhysioNet_Challenge_2018_Sleep_Arousal_Database</x:v>
      </x:c>
      <x:c r="R81" s="257" t="str">
        <x:v>存在公开仓库、官方入口或稳定数据访问号</x:v>
      </x:c>
      <x:c r="S81" s="257"/>
      <x:c r="T81" s="257"/>
      <x:c r="U81" s="213"/>
    </x:row>
    <x:row r="82" ht="60" customHeight="1">
      <x:c r="A82" s="274" t="str">
        <x:v>EEG-0143</x:v>
      </x:c>
      <x:c r="B82" s="275" t="str">
        <x:v>03_Consciousness_and_State</x:v>
      </x:c>
      <x:c r="C82" s="275" t="str">
        <x:v>Sleep_Staging</x:v>
      </x:c>
      <x:c r="D82" s="275" t="str">
        <x:v>Sleep-Deprivation (resting)</x:v>
      </x:c>
      <x:c r="E82" s="275"/>
      <x:c r="F82" s="275" t="str">
        <x:v>OpenNeuro:ds004902</x:v>
      </x:c>
      <x:c r="G82" s="275" t="str">
        <x:v>DOWNLOAD_PUBLIC</x:v>
      </x:c>
      <x:c r="H82" s="275" t="str">
        <x:v>https://openneuro.org/datasets/ds004902</x:v>
      </x:c>
      <x:c r="I82" s="275" t="str">
        <x:v>Resting EEG, normal sleep vs sleep deprivation</x:v>
      </x:c>
      <x:c r="J82" s="275" t="str">
        <x:v>71</x:v>
      </x:c>
      <x:c r="K82" s="275" t="str">
        <x:v>61</x:v>
      </x:c>
      <x:c r="L82" s="275" t="str">
        <x:v>500 Hz</x:v>
      </x:c>
      <x:c r="M82" s="275" t="str">
        <x:v>EEGLAB</x:v>
      </x:c>
      <x:c r="N82" s="275" t="str">
        <x:v>Raw</x:v>
      </x:c>
      <x:c r="O82" s="275" t="str">
        <x:v>Open (OpenNeuro ds004902), CC0</x:v>
      </x:c>
      <x:c r="P82" s="275" t="str">
        <x:v>A resting-state EEG dataset for sleep deprivation. Xiang et al., 2024, Scientific Data 11:427.</x:v>
      </x:c>
      <x:c r="Q82" s="275" t="str">
        <x:v>03_Consciousness_and_State/Sleep_Staging/Sleep-Deprivation_resting</x:v>
      </x:c>
      <x:c r="R82" s="275" t="str">
        <x:v>存在公开仓库、官方入口或稳定数据访问号</x:v>
      </x:c>
      <x:c r="S82" s="275"/>
      <x:c r="T82" s="275"/>
      <x:c r="U82" s="276"/>
    </x:row>
    <x:row r="83" ht="60" customHeight="1">
      <x:c r="A83" s="264" t="str">
        <x:v>EEG-0144</x:v>
      </x:c>
      <x:c r="B83" s="257" t="str">
        <x:v>03_Consciousness_and_State</x:v>
      </x:c>
      <x:c r="C83" s="257" t="str">
        <x:v>Sleep_Staging</x:v>
      </x:c>
      <x:c r="D83" s="257" t="str">
        <x:v>Sleep-EDF (Expanded)</x:v>
      </x:c>
      <x:c r="E83" s="257"/>
      <x:c r="F83" s="257" t="str">
        <x:v>PhysioNet:sleep-edfx</x:v>
      </x:c>
      <x:c r="G83" s="257" t="str">
        <x:v>DOWNLOAD_PUBLIC</x:v>
      </x:c>
      <x:c r="H83" s="257" t="str">
        <x:v>https://physionet.org/content/sleep-edfx/1.0.0/</x:v>
      </x:c>
      <x:c r="I83" s="257" t="str">
        <x:v>Sleep stage classification (W/R/1/2/3/4/M)</x:v>
      </x:c>
      <x:c r="J83" s="257" t="str">
        <x:v>78 (SC subset; full Expanded=100 subj/197 recordings)</x:v>
      </x:c>
      <x:c r="K83" s="257" t="str">
        <x:v>2 EEG (+EOG/EMG)</x:v>
      </x:c>
      <x:c r="L83" s="257" t="str">
        <x:v>100 Hz</x:v>
      </x:c>
      <x:c r="M83" s="257" t="str">
        <x:v>EDF / EDF+</x:v>
      </x:c>
      <x:c r="N83" s="257" t="str">
        <x:v>Raw</x:v>
      </x:c>
      <x:c r="O83" s="257" t="str">
        <x:v>Open, ODC Attribution v1.0</x:v>
      </x:c>
      <x:c r="P83" s="257" t="str">
        <x:v>Analysis of a sleep-dependent neuronal feedback loop: the slow-wave microcontinuity of the EEG (Sleep-EDF Expanded). Kemp et al., 2000, IEEE TBME 47(9):1185-1194.</x:v>
      </x:c>
      <x:c r="Q83" s="257" t="str">
        <x:v>03_Consciousness_and_State/Sleep_Staging/Sleep-EDF_Expanded</x:v>
      </x:c>
      <x:c r="R83" s="257" t="str">
        <x:v>存在公开仓库、官方入口或稳定数据访问号</x:v>
      </x:c>
      <x:c r="S83" s="257"/>
      <x:c r="T83" s="257"/>
      <x:c r="U83" s="213"/>
    </x:row>
    <x:row r="84" ht="60" customHeight="1">
      <x:c r="A84" s="274" t="str">
        <x:v>EEG-0146</x:v>
      </x:c>
      <x:c r="B84" s="275" t="str">
        <x:v>07_General-purpose</x:v>
      </x:c>
      <x:c r="C84" s="275" t="str">
        <x:v>Rest_and_Cognitive_State</x:v>
      </x:c>
      <x:c r="D84" s="275" t="str">
        <x:v>Test-Retest / RestCog</x:v>
      </x:c>
      <x:c r="E84" s="275" t="str">
        <x:v>RestCog
RestCog (test-retest resting and cognitive state EEG)</x:v>
      </x:c>
      <x:c r="F84" s="275" t="str">
        <x:v>OpenNeuro:ds004148</x:v>
      </x:c>
      <x:c r="G84" s="275" t="str">
        <x:v>DOWNLOAD_PUBLIC</x:v>
      </x:c>
      <x:c r="H84" s="275" t="str">
        <x:v>https://openneuro.org/datasets/ds004148</x:v>
      </x:c>
      <x:c r="I84" s="275" t="str">
        <x:v>Rest + cognitive states; OmniEEG: test-retest subject-ID &amp; task-type (RestCog) classification</x:v>
      </x:c>
      <x:c r="J84" s="275" t="str">
        <x:v>60</x:v>
      </x:c>
      <x:c r="K84" s="275" t="str">
        <x:v>63/64</x:v>
      </x:c>
      <x:c r="L84" s="275" t="str">
        <x:v>500 Hz</x:v>
      </x:c>
      <x:c r="M84" s="275" t="str">
        <x:v>EEGLAB / BIDS</x:v>
      </x:c>
      <x:c r="N84" s="275" t="str">
        <x:v>Both (raw + preprocessed derivatives)</x:v>
      </x:c>
      <x:c r="O84" s="275" t="str">
        <x:v>Open (OpenNeuro ds004148), CC0</x:v>
      </x:c>
      <x:c r="P84" s="275" t="str">
        <x:v>A test-retest resting, and cognitive state EEG dataset during multiple subject-driven states. Wang et al., 2022, Scientific Data 9:566.</x:v>
      </x:c>
      <x:c r="Q84" s="275" t="str">
        <x:v>03_Consciousness_and_State/Sleep_Staging/Test-Retest_RestCog</x:v>
      </x:c>
      <x:c r="R84" s="275" t="str">
        <x:v>存在公开仓库、官方入口或稳定数据访问号 分类复核：RestCog is a healthy rest/cognitive-state benchmark, not a disease or population-health cohort.</x:v>
      </x:c>
      <x:c r="S84" s="275"/>
      <x:c r="T84" s="275"/>
      <x:c r="U84" s="276"/>
    </x:row>
    <x:row r="85" ht="60" customHeight="1">
      <x:c r="A85" s="264" t="str">
        <x:v>EEG-0149</x:v>
      </x:c>
      <x:c r="B85" s="257" t="str">
        <x:v>03_Consciousness_and_State</x:v>
      </x:c>
      <x:c r="C85" s="257" t="str">
        <x:v>Consciousness_Level</x:v>
      </x:c>
      <x:c r="D85" s="257" t="str">
        <x:v>Awakening (propofol)</x:v>
      </x:c>
      <x:c r="E85" s="257"/>
      <x:c r="F85" s="257" t="str">
        <x:v>OpenNeuro:ds005620</x:v>
      </x:c>
      <x:c r="G85" s="257" t="str">
        <x:v>DOWNLOAD_PUBLIC</x:v>
      </x:c>
      <x:c r="H85" s="257" t="str">
        <x:v>https://openneuro.org/datasets/ds005620</x:v>
      </x:c>
      <x:c r="I85" s="257" t="str">
        <x:v>Awake vs sedation/dreaming (consciousness; + TMS-EEG)</x:v>
      </x:c>
      <x:c r="J85" s="257" t="str">
        <x:v>21 (20 analyzed)</x:v>
      </x:c>
      <x:c r="K85" s="257" t="str">
        <x:v>65</x:v>
      </x:c>
      <x:c r="L85" s="257" t="str">
        <x:v>5000.0</x:v>
      </x:c>
      <x:c r="M85" s="257" t="str">
        <x:v>EEGLAB / EDF / BIDS</x:v>
      </x:c>
      <x:c r="N85" s="257" t="str">
        <x:v>Raw</x:v>
      </x:c>
      <x:c r="O85" s="257" t="str">
        <x:v>Open (OpenNeuro/NEMAR ds005620)</x:v>
      </x:c>
      <x:c r="P85" s="257" t="str">
        <x:v>A repeated awakening study exploring the capacity of complexity measures to capture dreaming during propofol sedation. Bajwa et al., 2025, Scientific Reports 15:32746.</x:v>
      </x:c>
      <x:c r="Q85" s="257" t="str">
        <x:v>03_Consciousness_and_State/Consciousness_Level/Awakening_propofol</x:v>
      </x:c>
      <x:c r="R85" s="257" t="str">
        <x:v>存在公开仓库、官方入口或稳定数据访问号</x:v>
      </x:c>
      <x:c r="S85" s="257"/>
      <x:c r="T85" s="257"/>
      <x:c r="U85" s="213"/>
    </x:row>
    <x:row r="86" ht="60" customHeight="1">
      <x:c r="A86" s="274" t="str">
        <x:v>EEG-0151</x:v>
      </x:c>
      <x:c r="B86" s="275" t="str">
        <x:v>03_Consciousness_and_State</x:v>
      </x:c>
      <x:c r="C86" s="275" t="str">
        <x:v>Consciousness_Level</x:v>
      </x:c>
      <x:c r="D86" s="275" t="str">
        <x:v>Visual-Evoked Potential (VEP) Event-Related Files from the General Anesthesia and Brain Activity (GABA) Study and Infant Sibling Project (ISP)</x:v>
      </x:c>
      <x:c r="E86" s="275"/>
      <x:c r="F86" s="275" t="str">
        <x:v>Zenodo:5931539 | DOI:10.1016/j.dcn.2022.101140</x:v>
      </x:c>
      <x:c r="G86" s="275" t="str">
        <x:v>DOWNLOAD_PUBLIC</x:v>
      </x:c>
      <x:c r="H86" s="275" t="str">
        <x:v>https://zenodo.org/records/5931539</x:v>
      </x:c>
      <x:c r="I86" s="275" t="str">
        <x:v>pattern-reversal Visual-Evoked Potential</x:v>
      </x:c>
      <x:c r="J86" s="275" t="str">
        <x:v>5</x:v>
      </x:c>
      <x:c r="K86" s="275" t="str">
        <x:v>128</x:v>
      </x:c>
      <x:c r="L86" s="275" t="str">
        <x:v>1000 Hz</x:v>
      </x:c>
      <x:c r="M86" s="275" t="str">
        <x:v>.raw</x:v>
      </x:c>
      <x:c r="N86" s="275" t="str">
        <x:v>Both</x:v>
      </x:c>
      <x:c r="O86" s="275" t="str">
        <x:v>Fully open</x:v>
      </x:c>
      <x:c r="P86" s="275" t="str">
        <x:v>DOI: 10.1016/j.dcn.2022.101140</x:v>
      </x:c>
      <x:c r="Q86" s="275" t="str">
        <x:v>03_Consciousness_and_State/Consciousness_Level/Visual-Evoked_Potential_VEP_Event-Related_Files_from_the_General_Anesthesia_and_Brain_Acti</x:v>
      </x:c>
      <x:c r="R86" s="275" t="str">
        <x:v>存在公开仓库、官方入口或稳定数据访问号</x:v>
      </x:c>
      <x:c r="S86" s="275"/>
      <x:c r="T86" s="275"/>
      <x:c r="U86" s="276"/>
    </x:row>
    <x:row r="87" ht="60" customHeight="1">
      <x:c r="A87" s="264" t="str">
        <x:v>EEG-0152</x:v>
      </x:c>
      <x:c r="B87" s="257" t="str">
        <x:v>04_Cognition_and_Emotion</x:v>
      </x:c>
      <x:c r="C87" s="257" t="str">
        <x:v>Vigilance_Detection</x:v>
      </x:c>
      <x:c r="D87" s="257" t="str">
        <x:v>Athletes-Alertness (EEG-ET)</x:v>
      </x:c>
      <x:c r="E87" s="257"/>
      <x:c r="F87" s="257" t="str">
        <x:v>DOI:10.6084/m9.figshare.c.5740424</x:v>
      </x:c>
      <x:c r="G87" s="257" t="str">
        <x:v>DOWNLOAD_PUBLIC</x:v>
      </x:c>
      <x:c r="H87" s="257" t="str">
        <x:v>https://doi.org/10.6084/m9.figshare.c.5740424</x:v>
      </x:c>
      <x:c r="I87" s="257" t="str">
        <x:v>Alertness/concentration (elite athletes; EEG + eye-tracking)</x:v>
      </x:c>
      <x:c r="J87" s="257" t="str">
        <x:v>74 (31 athletes + 43 controls)</x:v>
      </x:c>
      <x:c r="K87" s="257" t="str">
        <x:v>64</x:v>
      </x:c>
      <x:c r="L87" s="257" t="str">
        <x:v>1000 Hz</x:v>
      </x:c>
      <x:c r="M87" s="257" t="str">
        <x:v>Curry (.cdt)</x:v>
      </x:c>
      <x:c r="N87" s="257" t="str">
        <x:v>Raw (EEG .cdt + ET, BIDS-organized)</x:v>
      </x:c>
      <x:c r="O87" s="257" t="str">
        <x:v>Open (figshare c.5740424), CC BY 4.0</x:v>
      </x:c>
      <x:c r="P87" s="257" t="str">
        <x:v>A simultaneous electroencephalography and eye-tracking dataset in elite athletes during alertness and concentration tasks. Pei et al., 2022, Scientific Data 9:465.</x:v>
      </x:c>
      <x:c r="Q87" s="257" t="str">
        <x:v>04_Cognition_and_Emotion/Vigilance_Detection/Athletes-Alertness_EEG-ET</x:v>
      </x:c>
      <x:c r="R87" s="257" t="str">
        <x:v>存在公开仓库、官方入口或稳定数据访问号</x:v>
      </x:c>
      <x:c r="S87" s="257"/>
      <x:c r="T87" s="257"/>
      <x:c r="U87" s="213"/>
    </x:row>
    <x:row r="88" ht="60" customHeight="1">
      <x:c r="A88" s="274" t="str">
        <x:v>EEG-0153</x:v>
      </x:c>
      <x:c r="B88" s="275" t="str">
        <x:v>04_Cognition_and_Emotion</x:v>
      </x:c>
      <x:c r="C88" s="275" t="str">
        <x:v>Vigilance_Detection</x:v>
      </x:c>
      <x:c r="D88" s="275" t="str">
        <x:v>BCIT Driving</x:v>
      </x:c>
      <x:c r="E88" s="275"/>
      <x:c r="F88" s="275" t="str">
        <x:v>OpenNeuro:ds004118,ds004120,ds004121,ds004122</x:v>
      </x:c>
      <x:c r="G88" s="275" t="str">
        <x:v>DOWNLOAD_PUBLIC</x:v>
      </x:c>
      <x:c r="H88" s="275" t="str">
        <x:v>[Calibration ds004118](https://openneuro.org/datasets/ds004118) / [Baseline ds004120](https://openneuro.org/datasets/ds004120) / [Mind Wandering ds004121](https://openneuro.org/datasets/ds004121) / [Speed Control ds004122](https://openneuro.org/datasets/ds004122)</x:v>
      </x:c>
      <x:c r="I88" s="275" t="str">
        <x:v>driving calibration, baseline driving, mind wandering, speed control</x:v>
      </x:c>
      <x:c r="J88" s="275" t="str">
        <x:v>156</x:v>
      </x:c>
      <x:c r="K88" s="275" t="str">
        <x:v>256</x:v>
      </x:c>
      <x:c r="L88" s="275" t="str">
        <x:v>1024Hz</x:v>
      </x:c>
      <x:c r="M88" s="275" t="str">
        <x:v>BIDS</x:v>
      </x:c>
      <x:c r="N88" s="275" t="str">
        <x:v>raw BIDS</x:v>
      </x:c>
      <x:c r="O88" s="275" t="str">
        <x:v>公开下载：OpenNeuro BCIT datasets；CC0，可网页、OpenNeuro CLI 或 DataLad 获取。</x:v>
      </x:c>
      <x:c r="P88" s="275" t="str">
        <x:v>Jonathan Touryan; Greg Apker; Brent Lance; Scott Kerick; Anthony Ries; Kaleb McDowell; Kay Robbins</x:v>
      </x:c>
      <x:c r="Q88" s="275" t="str">
        <x:v>04_Cognition_and_Emotion/Vigilance_Detection/BCIT_Driving</x:v>
      </x:c>
      <x:c r="R88" s="275" t="str">
        <x:v>存在公开仓库、官方入口或稳定数据访问号</x:v>
      </x:c>
      <x:c r="S88" s="275"/>
      <x:c r="T88" s="275"/>
      <x:c r="U88" s="276"/>
    </x:row>
    <x:row r="89" ht="60" customHeight="1">
      <x:c r="A89" s="264" t="str">
        <x:v>EEG-0154</x:v>
      </x:c>
      <x:c r="B89" s="257" t="str">
        <x:v>04_Cognition_and_Emotion</x:v>
      </x:c>
      <x:c r="C89" s="257" t="str">
        <x:v>Vigilance_Detection</x:v>
      </x:c>
      <x:c r="D89" s="257" t="str">
        <x:v>BNCI 002-2016 (Emergency braking during simulated driving)</x:v>
      </x:c>
      <x:c r="E89" s="257" t="str">
        <x:v>BNCI2016_002 (Emergency Braking driving) [EEG-0155]</x:v>
      </x:c>
      <x:c r="F89" s="257" t="str">
        <x:v>BNCI:BNCI 002-2016</x:v>
      </x:c>
      <x:c r="G89" s="257" t="str">
        <x:v>DOWNLOAD_PUBLIC</x:v>
      </x:c>
      <x:c r="H89" s="257" t="str">
        <x:v>http://bnci-horizon-2020.eu/database/data-sets | https://moabb.neurotechx.com/docs/generated/moabb.datasets.BNCI2016_002.html</x:v>
      </x:c>
      <x:c r="I89" s="257" t="str">
        <x:v>Predicting emergency braking from EEG in driving simulator；ERP / Driving Cognitive State</x:v>
      </x:c>
      <x:c r="J89" s="257" t="str">
        <x:v>18</x:v>
      </x:c>
      <x:c r="K89" s="257" t="str">
        <x:v>59 EEG + 2 EOG + 2 EMG channels</x:v>
      </x:c>
      <x:c r="L89" s="257" t="str">
        <x:v>200 Hz</x:v>
      </x:c>
      <x:c r="M89" s="257" t="str">
        <x:v>MAT</x:v>
      </x:c>
      <x:c r="N89" s="257" t="str">
        <x:v>Raw EEG + EMG</x:v>
      </x:c>
      <x:c r="O89" s="257" t="str">
        <x:v>Open Access</x:v>
      </x:c>
      <x:c r="P89" s="257" t="str">
        <x:v>Haufe et al. 2011；Benjamin Blankertz, TU Berlin</x:v>
      </x:c>
      <x:c r="Q89" s="257" t="str">
        <x:v>04_Cognition_and_Emotion/Vigilance_Detection/BNCI_002-2016_Emergency_braking_during_simulated_driving</x:v>
      </x:c>
      <x:c r="R89" s="257" t="str">
        <x:v>存在公开仓库、官方入口或稳定数据访问号；2026-08-04去重：EEG-0155并入EEG-0154（BNCI 002-2016 / BNCI2016_002）</x:v>
      </x:c>
      <x:c r="S89" s="257"/>
      <x:c r="T89" s="257"/>
      <x:c r="U89" s="213"/>
    </x:row>
    <x:row r="90" ht="60" customHeight="1">
      <x:c r="A90" s="274" t="str">
        <x:v>EEG-0156</x:v>
      </x:c>
      <x:c r="B90" s="275" t="str">
        <x:v>04_Cognition_and_Emotion</x:v>
      </x:c>
      <x:c r="C90" s="275" t="str">
        <x:v>Vigilance_Detection</x:v>
      </x:c>
      <x:c r="D90" s="275" t="str">
        <x:v>Cao (2019)</x:v>
      </x:c>
      <x:c r="E90" s="275" t="str">
        <x:v>Cao (2024)
Sustained-Attention Driving</x:v>
      </x:c>
      <x:c r="F90" s="275" t="str">
        <x:v>Figshare:6427334,Figshare:7666055 | DOI:10.6084/m9.figshare.6427334,10.6084/m9.figshare.6427334.v5,10.6084/m9.figshare.7666055.v3</x:v>
      </x:c>
      <x:c r="G90" s="275" t="str">
        <x:v>DOWNLOAD_APPLICATION_REQUIRED</x:v>
      </x:c>
      <x:c r="H90" s="275" t="str">
        <x:v>https://doi.org/10.6084/m9.figshare.6427334.v5</x:v>
      </x:c>
      <x:c r="I90" s="275" t="str">
        <x:v>Cognitive: Sustained-attention driving</x:v>
      </x:c>
      <x:c r="J90" s="275" t="str">
        <x:v>27</x:v>
      </x:c>
      <x:c r="K90" s="275" t="str">
        <x:v>32</x:v>
      </x:c>
      <x:c r="L90" s="275" t="str">
        <x:v>500</x:v>
      </x:c>
      <x:c r="M90" s="275" t="str">
        <x:v>EEGLAB</x:v>
      </x:c>
      <x:c r="N90" s="275" t="str">
        <x:v>Both</x:v>
      </x:c>
      <x:c r="O90" s="275" t="str">
        <x:v>CC-BY 4.0</x:v>
      </x:c>
      <x:c r="P90" s="275" t="str">
        <x:v>Z. Cao et al., “Multi-channel EEG recordings during a sustained- attention driving task,” Sci. Data, vol. 6, no. 1, p. 19, 2019.</x:v>
      </x:c>
      <x:c r="Q90" s="275" t="str">
        <x:v>04_Cognition_and_Emotion/Vigilance_Detection/Cao_2019</x:v>
      </x:c>
      <x:c r="R90" s="275" t="str">
        <x:v>官方数据存在，但需申请、签署协议或获得权限</x:v>
      </x:c>
      <x:c r="S90" s="275"/>
      <x:c r="T90" s="275"/>
      <x:c r="U90" s="276"/>
    </x:row>
    <x:row r="91" ht="60" customHeight="1">
      <x:c r="A91" s="264" t="str">
        <x:v>EEG-0157</x:v>
      </x:c>
      <x:c r="B91" s="257" t="str">
        <x:v>04_Cognition_and_Emotion</x:v>
      </x:c>
      <x:c r="C91" s="257" t="str">
        <x:v>Vigilance_Detection</x:v>
      </x:c>
      <x:c r="D91" s="257" t="str">
        <x:v>COG-BCI</x:v>
      </x:c>
      <x:c r="E91" s="257"/>
      <x:c r="F91" s="257" t="str">
        <x:v>Zenodo:6874129</x:v>
      </x:c>
      <x:c r="G91" s="257" t="str">
        <x:v>DOWNLOAD_PUBLIC</x:v>
      </x:c>
      <x:c r="H91" s="257" t="str">
        <x:v>https://zenodo.org/records/6874129</x:v>
      </x:c>
      <x:c r="I91" s="257" t="str">
        <x:v>Cognitive: vigilance/workload (MATB, N-back, PVT, Flanker)</x:v>
      </x:c>
      <x:c r="J91" s="257" t="str">
        <x:v>29</x:v>
      </x:c>
      <x:c r="K91" s="257" t="str">
        <x:v>64 (+ECG)</x:v>
      </x:c>
      <x:c r="L91" s="257" t="str">
        <x:v>500 Hz</x:v>
      </x:c>
      <x:c r="M91" s="257" t="str">
        <x:v>EEGLAB / BIDS</x:v>
      </x:c>
      <x:c r="N91" s="257" t="str">
        <x:v>Raw (BIDS; EEG + ECG)</x:v>
      </x:c>
      <x:c r="O91" s="257" t="str">
        <x:v>Open (Zenodo 6874129), CC-BY 4.0</x:v>
      </x:c>
      <x:c r="P91" s="257" t="str">
        <x:v>Open multi-session and multi-task EEG cognitive dataset for passive brain-computer interface applications. Hinss et al., 2023, Scientific Data 10:85.</x:v>
      </x:c>
      <x:c r="Q91" s="257" t="str">
        <x:v>04_Cognition_and_Emotion/Vigilance_Detection/COG-BCI</x:v>
      </x:c>
      <x:c r="R91" s="257" t="str">
        <x:v>存在公开仓库、官方入口或稳定数据访问号</x:v>
      </x:c>
      <x:c r="S91" s="257"/>
      <x:c r="T91" s="257"/>
      <x:c r="U91" s="213"/>
    </x:row>
    <x:row r="92" ht="60" customHeight="1">
      <x:c r="A92" s="274" t="str">
        <x:v>EEG-0159</x:v>
      </x:c>
      <x:c r="B92" s="275" t="str">
        <x:v>04_Cognition_and_Emotion</x:v>
      </x:c>
      <x:c r="C92" s="275" t="str">
        <x:v>Vigilance_Detection</x:v>
      </x:c>
      <x:c r="D92" s="275" t="str">
        <x:v>Gebodh (2022)</x:v>
      </x:c>
      <x:c r="E92" s="275"/>
      <x:c r="F92" s="275" t="str">
        <x:v>Zenodo:3840615,Zenodo:3840617 | DOI:10.5281/zenodo.3840615,10.5281/zenodo.3840617</x:v>
      </x:c>
      <x:c r="G92" s="275" t="str">
        <x:v>DOWNLOAD_APPLICATION_REQUIRED</x:v>
      </x:c>
      <x:c r="H92" s="275" t="str">
        <x:v>Zenodo (GX Dataset): Exp1 DOI:10.5281/zenodo.3840615, Exp2 DOI:10.5281/zenodo.3840617; supporting figures also on Figshare</x:v>
      </x:c>
      <x:c r="I92" s="275" t="str">
        <x:v>Cognitive: Vigilance</x:v>
      </x:c>
      <x:c r="J92" s="275" t="str">
        <x:v>26</x:v>
      </x:c>
      <x:c r="K92" s="275" t="str">
        <x:v>32</x:v>
      </x:c>
      <x:c r="L92" s="275" t="str">
        <x:v>1000</x:v>
      </x:c>
      <x:c r="M92" s="275" t="str">
        <x:v>EEGLAB</x:v>
      </x:c>
      <x:c r="N92" s="275" t="str">
        <x:v>Raw + downsampled (1kHz, .mat) versions provided; code at github.com/ngebodh/GX_tES_EEG_Physio_Behavior</x:v>
      </x:c>
      <x:c r="O92" s="275" t="str">
        <x:v>Open access on Zenodo, no application needed</x:v>
      </x:c>
      <x:c r="P92" s="275" t="str">
        <x:v>Gebodh N, Esmaeilpour Z, Datta A, Bikson M. Sci Data 2021;8:274 (GX dataset)</x:v>
      </x:c>
      <x:c r="Q92" s="275" t="str">
        <x:v>04_Cognition_and_Emotion/Vigilance_Detection/Gebodh_2022</x:v>
      </x:c>
      <x:c r="R92" s="275" t="str">
        <x:v>官方数据存在，但需申请、签署协议或获得权限</x:v>
      </x:c>
      <x:c r="S92" s="275"/>
      <x:c r="T92" s="275"/>
      <x:c r="U92" s="276"/>
    </x:row>
    <x:row r="93" ht="60" customHeight="1">
      <x:c r="A93" s="264" t="str">
        <x:v>EEG-0160</x:v>
      </x:c>
      <x:c r="B93" s="257" t="str">
        <x:v>04_Cognition_and_Emotion</x:v>
      </x:c>
      <x:c r="C93" s="257" t="str">
        <x:v>Vigilance_Detection</x:v>
      </x:c>
      <x:c r="D93" s="257" t="str">
        <x:v>GX (EEG-ECG tES)</x:v>
      </x:c>
      <x:c r="E93" s="257"/>
      <x:c r="F93" s="257" t="str">
        <x:v>OpenNeuro:ds003670</x:v>
      </x:c>
      <x:c r="G93" s="257" t="str">
        <x:v>DOWNLOAD_PUBLIC</x:v>
      </x:c>
      <x:c r="H93" s="257" t="str">
        <x:v>https://openneuro.org/datasets/ds003670</x:v>
      </x:c>
      <x:c r="I93" s="257" t="str">
        <x:v>Concurrent EEG-ECG with transcranial electrical stimulation (vigilance)</x:v>
      </x:c>
      <x:c r="J93" s="257" t="str">
        <x:v>26 (20 in core)</x:v>
      </x:c>
      <x:c r="K93" s="257" t="str">
        <x:v>32</x:v>
      </x:c>
      <x:c r="L93" s="257" t="str">
        <x:v>1000 Hz (rec 2000)</x:v>
      </x:c>
      <x:c r="M93" s="257" t="str">
        <x:v>EEGLAB / BIDS</x:v>
      </x:c>
      <x:c r="N93" s="257" t="str">
        <x:v>Both (raw .cnt + downsampled .mat/BIDS)</x:v>
      </x:c>
      <x:c r="O93" s="257" t="str">
        <x:v>Open (OpenNeuro ds003670), CC-BY 4.0</x:v>
      </x:c>
      <x:c r="P93" s="257" t="str">
        <x:v>Dataset of concurrent EEG, ECG, and behavior with multiple doses of transcranial electrical stimulation. Gebodh et al., 2021, Scientific Data 8:274.</x:v>
      </x:c>
      <x:c r="Q93" s="257" t="str">
        <x:v>04_Cognition_and_Emotion/Vigilance_Detection/GX_EEG-ECG_tES</x:v>
      </x:c>
      <x:c r="R93" s="257" t="str">
        <x:v>存在公开仓库、官方入口或稳定数据访问号</x:v>
      </x:c>
      <x:c r="S93" s="257"/>
      <x:c r="T93" s="257"/>
      <x:c r="U93" s="213"/>
    </x:row>
    <x:row r="94" ht="60" customHeight="1">
      <x:c r="A94" s="274" t="str">
        <x:v>EEG-0162</x:v>
      </x:c>
      <x:c r="B94" s="275" t="str">
        <x:v>04_Cognition_and_Emotion</x:v>
      </x:c>
      <x:c r="C94" s="275" t="str">
        <x:v>Vigilance_Detection</x:v>
      </x:c>
      <x:c r="D94" s="275" t="str">
        <x:v>MPDB (driving)</x:v>
      </x:c>
      <x:c r="E94" s="275" t="str">
        <x:v>Tao (2024) [EEG-0168]</x:v>
      </x:c>
      <x:c r="F94" s="275" t="str">
        <x:v>DOI:10.1038/s41597-024-03222-2 | Figshare:22193119 | DOI:10.6084/m9.figshare.22193119.v3</x:v>
      </x:c>
      <x:c r="G94" s="275" t="str">
        <x:v>DOWNLOAD_PUBLIC</x:v>
      </x:c>
      <x:c r="H94" s="275" t="str">
        <x:v>https://doi.org/10.1038/s41597-024-03222-2 | https://doi.org/10.6084/m9.figshare.22193119.v3</x:v>
      </x:c>
      <x:c r="I94" s="275" t="str">
        <x:v>Driving behaviour analysis (multimodal)；Driving Task</x:v>
      </x:c>
      <x:c r="J94" s="275" t="str">
        <x:v>35</x:v>
      </x:c>
      <x:c r="K94" s="275" t="str">
        <x:v>59</x:v>
      </x:c>
      <x:c r="L94" s="275" t="str">
        <x:v>1000 Hz</x:v>
      </x:c>
      <x:c r="M94" s="275" t="str">
        <x:v>Biosemi</x:v>
      </x:c>
      <x:c r="N94" s="275" t="str">
        <x:v>Both (raw + preprocessed/segmented + eye-tracking)</x:v>
      </x:c>
      <x:c r="O94" s="275" t="str">
        <x:v>Open (figshare via article), CC-BY</x:v>
      </x:c>
      <x:c r="P94" s="275" t="str">
        <x:v>A multimodal physiological dataset for driving behaviour analysis. Tao et al., 2024, Scientific Data 11:378.；X. Tao et al., “A multimodal physiological dataset for driving behaviour analysis,” Sci. Data, vol. 11, no. 1, p. 378, 2024.</x:v>
      </x:c>
      <x:c r="Q94" s="275" t="str">
        <x:v>04_Cognition_and_Emotion/Vigilance_Detection/MPDB_driving</x:v>
      </x:c>
      <x:c r="R94" s="275" t="str">
        <x:v>存在公开仓库、官方入口或稳定数据访问号；2026-08-04去重：EEG-0168并入EEG-0162（MPDB paper DOI 10.1038/s41597-024-03222-2 and Figshare 22193119）</x:v>
      </x:c>
      <x:c r="S94" s="275"/>
      <x:c r="T94" s="275"/>
      <x:c r="U94" s="276"/>
    </x:row>
    <x:row r="95" ht="60" customHeight="1">
      <x:c r="A95" s="264" t="str">
        <x:v>EEG-0163</x:v>
      </x:c>
      <x:c r="B95" s="257" t="str">
        <x:v>04_Cognition_and_Emotion</x:v>
      </x:c>
      <x:c r="C95" s="257" t="str">
        <x:v>Vigilance_Detection</x:v>
      </x:c>
      <x:c r="D95" s="257" t="str">
        <x:v>Pei (2022)</x:v>
      </x:c>
      <x:c r="E95" s="257"/>
      <x:c r="F95" s="257" t="str">
        <x:v>DOI:10.6084/m9.figshare.c.5740424.v1</x:v>
      </x:c>
      <x:c r="G95" s="257" t="str">
        <x:v>DOWNLOAD_APPLICATION_REQUIRED</x:v>
      </x:c>
      <x:c r="H95" s="257" t="str">
        <x:v>https://doi.org/10.6084/m9.figshare.c.5740424.v1</x:v>
      </x:c>
      <x:c r="I95" s="257" t="str">
        <x:v>Cognitive: Alertness</x:v>
      </x:c>
      <x:c r="J95" s="257" t="str">
        <x:v>74</x:v>
      </x:c>
      <x:c r="K95" s="257" t="str">
        <x:v>64</x:v>
      </x:c>
      <x:c r="L95" s="257" t="str">
        <x:v>1000</x:v>
      </x:c>
      <x:c r="M95" s="257" t="str">
        <x:v>CDT（Neuroscan Curry）</x:v>
      </x:c>
      <x:c r="N95" s="257" t="str">
        <x:v>Raw EEG (.cdt) + eye-tracking (.edf) files, exportable via MATLAB/EEGLAB</x:v>
      </x:c>
      <x:c r="O95" s="257" t="str">
        <x:v>Open access on Figshare, no application needed</x:v>
      </x:c>
      <x:c r="P95" s="257" t="str">
        <x:v>X. Pei et al., “A simultaneous electroencephalography and eye-tracking dataset in elite athletes during alertness and concentration tasks,” Sci. Data, vol. 9, no. 1, p. 465, 2022.</x:v>
      </x:c>
      <x:c r="Q95" s="257" t="str">
        <x:v>04_Cognition_and_Emotion/Vigilance_Detection/Pei_2022</x:v>
      </x:c>
      <x:c r="R95" s="257" t="str">
        <x:v>官方数据存在，但需申请、签署协议或获得权限</x:v>
      </x:c>
      <x:c r="S95" s="257"/>
      <x:c r="T95" s="257"/>
      <x:c r="U95" s="213"/>
    </x:row>
    <x:row r="96" ht="60" customHeight="1">
      <x:c r="A96" s="274" t="str">
        <x:v>EEG-0165</x:v>
      </x:c>
      <x:c r="B96" s="275" t="str">
        <x:v>04_Cognition_and_Emotion</x:v>
      </x:c>
      <x:c r="C96" s="275" t="str">
        <x:v>Vigilance_Detection</x:v>
      </x:c>
      <x:c r="D96" s="275" t="str">
        <x:v>SEED-VLA</x:v>
      </x:c>
      <x:c r="E96" s="275"/>
      <x:c r="F96" s="275" t="str">
        <x:v>DOI:10.1088/1741-2552/ad546d</x:v>
      </x:c>
      <x:c r="G96" s="275" t="str">
        <x:v>DOWNLOAD_APPLICATION_REQUIRED</x:v>
      </x:c>
      <x:c r="H96" s="275" t="str">
        <x:v>https://bcmi.sjtu.edu.cn/home/seed/seed-VLA.html</x:v>
      </x:c>
      <x:c r="I96" s="275" t="str">
        <x:v>Driving fatigue / vigilance detection in laboratory simulated driving</x:v>
      </x:c>
      <x:c r="J96" s="275" t="str">
        <x:v>20 lab + 14 real-world</x:v>
      </x:c>
      <x:c r="K96" s="275" t="str">
        <x:v>18 EEG</x:v>
      </x:c>
      <x:c r="L96" s="275" t="str">
        <x:v>300 Hz</x:v>
      </x:c>
      <x:c r="M96" s="275" t="str">
        <x:v>EDF preprocessed raw EEG; PERCLOS labels</x:v>
      </x:c>
      <x:c r="N96" s="275" t="str">
        <x:v>Preprocessed raw EEG and continuous vigilance labels</x:v>
      </x:c>
      <x:c r="O96" s="275" t="str">
        <x:v>Apply/download via SJTU BCMI; EEG with PERCLOS labels</x:v>
      </x:c>
      <x:c r="P96" s="275" t="str">
        <x:v>DOI 10.1088/1741-2552/ad546d</x:v>
      </x:c>
      <x:c r="Q96" s="275" t="str">
        <x:v>04_Cognition_and_Emotion/Vigilance_Detection/SEED-VLA</x:v>
      </x:c>
      <x:c r="R96" s="275" t="str">
        <x:v>官方数据存在，但需申请、签署协议或获得权限</x:v>
      </x:c>
      <x:c r="S96" s="275"/>
      <x:c r="T96" s="275"/>
      <x:c r="U96" s="276"/>
    </x:row>
    <x:row r="97" ht="60" customHeight="1">
      <x:c r="A97" s="264" t="str">
        <x:v>EEG-0166</x:v>
      </x:c>
      <x:c r="B97" s="257" t="str">
        <x:v>04_Cognition_and_Emotion</x:v>
      </x:c>
      <x:c r="C97" s="257" t="str">
        <x:v>Vigilance_Detection</x:v>
      </x:c>
      <x:c r="D97" s="257" t="str">
        <x:v>SEED-VRW</x:v>
      </x:c>
      <x:c r="E97" s="257"/>
      <x:c r="F97" s="257" t="str">
        <x:v>DOI:10.1088/1741-2552/ad546d</x:v>
      </x:c>
      <x:c r="G97" s="257" t="str">
        <x:v>DOWNLOAD_APPLICATION_REQUIRED</x:v>
      </x:c>
      <x:c r="H97" s="257" t="str">
        <x:v>https://bcmi.sjtu.edu.cn/home/seed/index.html</x:v>
      </x:c>
      <x:c r="I97" s="257" t="str">
        <x:v>Fatigued driving detection / real-world vigilance</x:v>
      </x:c>
      <x:c r="J97" s="257" t="str">
        <x:v>14</x:v>
      </x:c>
      <x:c r="K97" s="257" t="str">
        <x:v>18</x:v>
      </x:c>
      <x:c r="L97" s="257" t="str">
        <x:v>300 Hz</x:v>
      </x:c>
      <x:c r="M97" s="257" t="str">
        <x:v>.edf</x:v>
      </x:c>
      <x:c r="N97" s="257" t="str">
        <x:v>Preprocessed raw EEG</x:v>
      </x:c>
      <x:c r="O97" s="257" t="str">
        <x:v>Apply/download via SJTU BCMI; EEG with PERCLOS labels</x:v>
      </x:c>
      <x:c r="P97" s="257" t="str">
        <x:v>DOI 10.1088/1741-2552/ad546d</x:v>
      </x:c>
      <x:c r="Q97" s="257" t="str">
        <x:v>04_Cognition_and_Emotion/Vigilance_Detection/SEED-VRW</x:v>
      </x:c>
      <x:c r="R97" s="257" t="str">
        <x:v>官方数据存在，但需申请、签署协议或获得权限</x:v>
      </x:c>
      <x:c r="S97" s="257"/>
      <x:c r="T97" s="257"/>
      <x:c r="U97" s="213"/>
    </x:row>
    <x:row r="98" ht="60" customHeight="1">
      <x:c r="A98" s="274" t="str">
        <x:v>EEG-0169</x:v>
      </x:c>
      <x:c r="B98" s="275" t="str">
        <x:v>04_Cognition_and_Emotion</x:v>
      </x:c>
      <x:c r="C98" s="275" t="str">
        <x:v>Emotion_Recognition</x:v>
      </x:c>
      <x:c r="D98" s="275" t="str">
        <x:v>A dataset recorded during development of an affective brain-computer music interface: calibration session</x:v>
      </x:c>
      <x:c r="E98" s="275"/>
      <x:c r="F98" s="275" t="str">
        <x:v>OpenNeuro:ds002722 | BNCI:020-0507 | DOI:10.1038/s41597-020-0507-6</x:v>
      </x:c>
      <x:c r="G98" s="275" t="str">
        <x:v>DOWNLOAD_PUBLIC</x:v>
      </x:c>
      <x:c r="H98" s="275" t="str">
        <x:v>https://openneuro.org/datasets/ds002722</x:v>
      </x:c>
      <x:c r="I98" s="275" t="str">
        <x:v>Affective Brain-Computer Music Interface</x:v>
      </x:c>
      <x:c r="J98" s="275" t="str">
        <x:v>19</x:v>
      </x:c>
      <x:c r="K98" s="275" t="str">
        <x:v>32</x:v>
      </x:c>
      <x:c r="L98" s="275" t="str">
        <x:v>1000 Hz</x:v>
      </x:c>
      <x:c r="M98" s="275" t="str">
        <x:v>BIDS</x:v>
      </x:c>
      <x:c r="N98" s="275" t="str">
        <x:v>RAW</x:v>
      </x:c>
      <x:c r="O98" s="275" t="str">
        <x:v>Fully open</x:v>
      </x:c>
      <x:c r="P98" s="275" t="str">
        <x:v>DOI: 10.1038/s41597-020-0507-6</x:v>
      </x:c>
      <x:c r="Q98" s="275" t="str">
        <x:v>04_Cognition_and_Emotion/Emotion_Recognition/A_dataset_recorded_during_development_of_an_affective_brain-computer_music_interface_calib</x:v>
      </x:c>
      <x:c r="R98" s="275" t="str">
        <x:v>存在公开仓库、官方入口或稳定数据访问号</x:v>
      </x:c>
      <x:c r="S98" s="275"/>
      <x:c r="T98" s="275"/>
      <x:c r="U98" s="276"/>
    </x:row>
    <x:row r="99" ht="60" customHeight="1">
      <x:c r="A99" s="264" t="str">
        <x:v>EEG-0170</x:v>
      </x:c>
      <x:c r="B99" s="257" t="str">
        <x:v>04_Cognition_and_Emotion</x:v>
      </x:c>
      <x:c r="C99" s="257" t="str">
        <x:v>Emotion_Recognition</x:v>
      </x:c>
      <x:c r="D99" s="257" t="str">
        <x:v>A dataset recorded during development of an affective brain-computer music interface: testing session</x:v>
      </x:c>
      <x:c r="E99" s="257"/>
      <x:c r="F99" s="257" t="str">
        <x:v>OpenNeuro:ds002723 | BNCI:020-0507 | DOI:10.1038/s41597-020-0507-6</x:v>
      </x:c>
      <x:c r="G99" s="257" t="str">
        <x:v>DOWNLOAD_PUBLIC</x:v>
      </x:c>
      <x:c r="H99" s="257" t="str">
        <x:v>https://openneuro.org/datasets/ds002723</x:v>
      </x:c>
      <x:c r="I99" s="257" t="str">
        <x:v>Affective Brain-Computer Music Interface</x:v>
      </x:c>
      <x:c r="J99" s="257" t="str">
        <x:v>8</x:v>
      </x:c>
      <x:c r="K99" s="257" t="str">
        <x:v>32</x:v>
      </x:c>
      <x:c r="L99" s="257" t="str">
        <x:v>1000 Hz</x:v>
      </x:c>
      <x:c r="M99" s="257" t="str">
        <x:v>BIDS</x:v>
      </x:c>
      <x:c r="N99" s="257" t="str">
        <x:v>RAW</x:v>
      </x:c>
      <x:c r="O99" s="257" t="str">
        <x:v>Fully open</x:v>
      </x:c>
      <x:c r="P99" s="257" t="str">
        <x:v>DOI: 10.1038/s41597-020-0507-6</x:v>
      </x:c>
      <x:c r="Q99" s="257" t="str">
        <x:v>04_Cognition_and_Emotion/Emotion_Recognition/A_dataset_recorded_during_development_of_an_affective_brain-computer_music_interface_testi</x:v>
      </x:c>
      <x:c r="R99" s="257" t="str">
        <x:v>存在公开仓库、官方入口或稳定数据访问号</x:v>
      </x:c>
      <x:c r="S99" s="257"/>
      <x:c r="T99" s="257"/>
      <x:c r="U99" s="213"/>
    </x:row>
    <x:row r="100" ht="60" customHeight="1">
      <x:c r="A100" s="274" t="str">
        <x:v>EEG-0171</x:v>
      </x:c>
      <x:c r="B100" s="275" t="str">
        <x:v>04_Cognition_and_Emotion</x:v>
      </x:c>
      <x:c r="C100" s="275" t="str">
        <x:v>Emotion_Recognition</x:v>
      </x:c>
      <x:c r="D100" s="275" t="str">
        <x:v>A dataset recorded during development of an affective brain-computer music interface: training sessions</x:v>
      </x:c>
      <x:c r="E100" s="275"/>
      <x:c r="F100" s="275" t="str">
        <x:v>OpenNeuro:ds002724 | BNCI:020-0507 | DOI:10.1038/s41597-020-0507-6</x:v>
      </x:c>
      <x:c r="G100" s="275" t="str">
        <x:v>DOWNLOAD_PUBLIC</x:v>
      </x:c>
      <x:c r="H100" s="275" t="str">
        <x:v>https://openneuro.org/datasets/ds002724</x:v>
      </x:c>
      <x:c r="I100" s="275" t="str">
        <x:v>Affective Brain-Computer Music Interface</x:v>
      </x:c>
      <x:c r="J100" s="275" t="str">
        <x:v>10</x:v>
      </x:c>
      <x:c r="K100" s="275" t="str">
        <x:v>32</x:v>
      </x:c>
      <x:c r="L100" s="275" t="str">
        <x:v>1000 Hz</x:v>
      </x:c>
      <x:c r="M100" s="275" t="str">
        <x:v>BIDS</x:v>
      </x:c>
      <x:c r="N100" s="275" t="str">
        <x:v>RAW</x:v>
      </x:c>
      <x:c r="O100" s="275" t="str">
        <x:v>Fully open</x:v>
      </x:c>
      <x:c r="P100" s="275" t="str">
        <x:v>DOI: 10.1038/s41597-020-0507-6</x:v>
      </x:c>
      <x:c r="Q100" s="275" t="str">
        <x:v>04_Cognition_and_Emotion/Emotion_Recognition/A_dataset_recorded_during_development_of_an_affective_brain-computer_music_interface_train</x:v>
      </x:c>
      <x:c r="R100" s="275" t="str">
        <x:v>存在公开仓库、官方入口或稳定数据访问号</x:v>
      </x:c>
      <x:c r="S100" s="275"/>
      <x:c r="T100" s="275"/>
      <x:c r="U100" s="276"/>
    </x:row>
    <x:row r="101" ht="60" customHeight="1">
      <x:c r="A101" s="264" t="str">
        <x:v>EEG-0172</x:v>
      </x:c>
      <x:c r="B101" s="257" t="str">
        <x:v>04_Cognition_and_Emotion</x:v>
      </x:c>
      <x:c r="C101" s="257" t="str">
        <x:v>Emotion_Recognition</x:v>
      </x:c>
      <x:c r="D101" s="257" t="str">
        <x:v>Affective Music Listening EEG-fMRI Dataset</x:v>
      </x:c>
      <x:c r="E101" s="257"/>
      <x:c r="F101" s="257" t="str">
        <x:v>OpenNeuro:ds002725</x:v>
      </x:c>
      <x:c r="G101" s="257" t="str">
        <x:v>DOWNLOAD_PUBLIC</x:v>
      </x:c>
      <x:c r="H101" s="257" t="str">
        <x:v>[OpenNeuro ds002725](https://openneuro.org/datasets/ds002725/versions/1.0.0)</x:v>
      </x:c>
      <x:c r="I101" s="257" t="str">
        <x:v>affective music listening；emotion / music cognition；joint EEG-fMRI</x:v>
      </x:c>
      <x:c r="J101" s="257" t="str">
        <x:v>21</x:v>
      </x:c>
      <x:c r="K101" s="257" t="str">
        <x:v>30</x:v>
      </x:c>
      <x:c r="L101" s="257" t="str">
        <x:v>1000Hz</x:v>
      </x:c>
      <x:c r="M101" s="257" t="str">
        <x:v>BIDS</x:v>
      </x:c>
      <x:c r="N101" s="257" t="str">
        <x:v>raw BIDS</x:v>
      </x:c>
      <x:c r="O101" s="257" t="str">
        <x:v>公开下载：OpenNeuro ds002725 v1.0.0；CC0，可网页、OpenNeuro CLI 或 DataLad 获取。</x:v>
      </x:c>
      <x:c r="P101" s="257" t="str">
        <x:v>Ian Daly; Nicoletta Nicolaou; Duncan Williams; Faustina Hwang; Alexis Kirke; Eduardo Miranda; Slawomir J. Nasuto</x:v>
      </x:c>
      <x:c r="Q101" s="257" t="str">
        <x:v>04_Cognition_and_Emotion/Emotion_Recognition/Affective_Music_Listening_EEG-fMRI_Dataset</x:v>
      </x:c>
      <x:c r="R101" s="257" t="str">
        <x:v>存在公开仓库、官方入口或稳定数据访问号</x:v>
      </x:c>
      <x:c r="S101" s="257" t="str">
        <x:v>2</x:v>
      </x:c>
      <x:c r="T101" s="257" t="str">
        <x:v>not reported</x:v>
      </x:c>
      <x:c r="U101" s="213" t="str">
        <x:v>5 runs/subject</x:v>
      </x:c>
    </x:row>
    <x:row r="102" ht="60" customHeight="1">
      <x:c r="A102" s="274" t="str">
        <x:v>EEG-0173</x:v>
      </x:c>
      <x:c r="B102" s="275" t="str">
        <x:v>04_Cognition_and_Emotion</x:v>
      </x:c>
      <x:c r="C102" s="275" t="str">
        <x:v>Emotion_Recognition</x:v>
      </x:c>
      <x:c r="D102" s="275" t="str">
        <x:v>CIRE</x:v>
      </x:c>
      <x:c r="E102" s="275"/>
      <x:c r="F102" s="275" t="str">
        <x:v>DOI:10.57760/sciencedb.23372</x:v>
      </x:c>
      <x:c r="G102" s="275" t="str">
        <x:v>DOWNLOAD_PUBLIC</x:v>
      </x:c>
      <x:c r="H102" s="275" t="str">
        <x:v>https://doi.org/10.57760/sciencedb.23372</x:v>
      </x:c>
      <x:c r="I102" s="275" t="str">
        <x:v>Speech intention (literal vs non-literal) x prosodic emotion (Chinese auditory)</x:v>
      </x:c>
      <x:c r="J102" s="275" t="str">
        <x:v>38 (20F/18M)</x:v>
      </x:c>
      <x:c r="K102" s="275" t="str">
        <x:v>128</x:v>
      </x:c>
      <x:c r="L102" s="275" t="str">
        <x:v>1000 Hz (preproc 256)</x:v>
      </x:c>
      <x:c r="M102" s="275" t="str">
        <x:v>EDF (BIDS) / .set</x:v>
      </x:c>
      <x:c r="N102" s="275" t="str">
        <x:v>Both (raw + preprocessed)</x:v>
      </x:c>
      <x:c r="O102" s="275" t="str">
        <x:v>Public on ScienceDB (BIDS); Tianjin Univ. ethics</x:v>
      </x:c>
      <x:c r="P102" s="275" t="str">
        <x:v>CIRE: a Chinese EEG dataset for decoding speech intention modulated by prosodic emotion. He et al., 2025, Scientific Data 12:1664.</x:v>
      </x:c>
      <x:c r="Q102" s="275" t="str">
        <x:v>04_Cognition_and_Emotion/Emotion_Recognition/CIRE</x:v>
      </x:c>
      <x:c r="R102" s="275" t="str">
        <x:v>存在公开仓库、官方入口或稳定数据访问号</x:v>
      </x:c>
      <x:c r="S102" s="275"/>
      <x:c r="T102" s="275"/>
      <x:c r="U102" s="276"/>
    </x:row>
    <x:row r="103" ht="60" customHeight="1">
      <x:c r="A103" s="264" t="str">
        <x:v>EEG-0178</x:v>
      </x:c>
      <x:c r="B103" s="257" t="str">
        <x:v>04_Cognition_and_Emotion</x:v>
      </x:c>
      <x:c r="C103" s="257" t="str">
        <x:v>Emotion_Recognition</x:v>
      </x:c>
      <x:c r="D103" s="257" t="str">
        <x:v>EmoEEG-MC</x:v>
      </x:c>
      <x:c r="E103" s="257"/>
      <x:c r="F103" s="257" t="str">
        <x:v>OpenNeuro:ds005540</x:v>
      </x:c>
      <x:c r="G103" s="257" t="str">
        <x:v>DOWNLOAD_PUBLIC</x:v>
      </x:c>
      <x:c r="H103" s="257" t="str">
        <x:v>https://openneuro.org/datasets/ds005540</x:v>
      </x:c>
      <x:c r="I103" s="257" t="str">
        <x:v>Multi-context emotion (video- &amp; imagery-induced, 7 emotions)</x:v>
      </x:c>
      <x:c r="J103" s="257" t="str">
        <x:v>60 (63 recruited)</x:v>
      </x:c>
      <x:c r="K103" s="257" t="str">
        <x:v>64 EEG (+GSR/PPG)</x:v>
      </x:c>
      <x:c r="L103" s="257" t="str">
        <x:v>600 Hz (1200 first 9; preproc 200)</x:v>
      </x:c>
      <x:c r="M103" s="257" t="str">
        <x:v>EDF / BIDS; derivatives .npy/.csv/.mat</x:v>
      </x:c>
      <x:c r="N103" s="257" t="str">
        <x:v>Both</x:v>
      </x:c>
      <x:c r="O103" s="257" t="str">
        <x:v>Open (OpenNeuro ds005540 / ScienceDB), CC0</x:v>
      </x:c>
      <x:c r="P103" s="257" t="str">
        <x:v>EmoEEG-MC: a multi-context emotional EEG dataset for cross-context emotion decoding. Xu et al., 2025, Scientific Data 12:1142.</x:v>
      </x:c>
      <x:c r="Q103" s="257" t="str">
        <x:v>04_Cognition_and_Emotion/Emotion_Recognition/EmoEEG-MC</x:v>
      </x:c>
      <x:c r="R103" s="257" t="str">
        <x:v>存在公开仓库、官方入口或稳定数据访问号</x:v>
      </x:c>
      <x:c r="S103" s="257"/>
      <x:c r="T103" s="257"/>
      <x:c r="U103" s="213"/>
    </x:row>
    <x:row r="104" ht="60" customHeight="1">
      <x:c r="A104" s="274" t="str">
        <x:v>EEG-0179</x:v>
      </x:c>
      <x:c r="B104" s="275" t="str">
        <x:v>04_Cognition_and_Emotion</x:v>
      </x:c>
      <x:c r="C104" s="275" t="str">
        <x:v>Emotion_Recognition</x:v>
      </x:c>
      <x:c r="D104" s="275" t="str">
        <x:v>Emotion (Voice-UI)</x:v>
      </x:c>
      <x:c r="E104" s="275" t="str">
        <x:v>Voice-User Interaction Emotion EEG Dataset [EEG-0198]</x:v>
      </x:c>
      <x:c r="F104" s="275" t="str">
        <x:v>DOI:10.6084/m9.figshare.c.7207839 | Figshare:7207839</x:v>
      </x:c>
      <x:c r="G104" s="275" t="str">
        <x:v>DOWNLOAD_PUBLIC</x:v>
      </x:c>
      <x:c r="H104" s="275" t="str">
        <x:v>https://doi.org/10.6084/m9.figshare.c.7207839 | [Springer Nature Figshare VUI Emotion EEG](https://springernature.figshare.com/collections/EEG_Dataset_for_the_Recognition_of_Different_Emotions_Naturally_Induced_in_Voice-User_Interaction/7207839)</x:v>
      </x:c>
      <x:c r="I104" s="275" t="str">
        <x:v>Emotion recognition in voice-user interaction；emotion recognition during natural voice-user interaction</x:v>
      </x:c>
      <x:c r="J104" s="275" t="str">
        <x:v>50 enrolled (44 retained in the reported analysis)</x:v>
      </x:c>
      <x:c r="K104" s="275" t="str">
        <x:v>63</x:v>
      </x:c>
      <x:c r="L104" s="275" t="str">
        <x:v>1000 Hz</x:v>
      </x:c>
      <x:c r="M104" s="275" t="str">
        <x:v>MAT</x:v>
      </x:c>
      <x:c r="N104" s="275" t="str">
        <x:v>Both (raw + EEGLAB-preprocessed + scripts)</x:v>
      </x:c>
      <x:c r="O104" s="275" t="str">
        <x:v>Open (figshare c.7207839), CC BY 4.0</x:v>
      </x:c>
      <x:c r="P104" s="275" t="str">
        <x:v>EEG dataset for the recognition of different emotions induced in voice-user interaction. Choi et al., 2024, Scientific Data 11:1084.；VUI emotion dataset authors, Scientific Data 2024</x:v>
      </x:c>
      <x:c r="Q104" s="275" t="str">
        <x:v>04_Cognition_and_Emotion/Emotion_Recognition/Emotion_Voice-UI</x:v>
      </x:c>
      <x:c r="R104" s="275" t="str">
        <x:v>存在公开仓库、官方入口或稳定数据访问号；2026-08-04去重：EEG-0198并入EEG-0179（Figshare collection 7207839; Voice-User Interaction Emotion EEG）</x:v>
      </x:c>
      <x:c r="S104" s="275"/>
      <x:c r="T104" s="275"/>
      <x:c r="U104" s="276"/>
    </x:row>
    <x:row r="105" ht="60" customHeight="1">
      <x:c r="A105" s="264" t="str">
        <x:v>EEG-0181</x:v>
      </x:c>
      <x:c r="B105" s="257" t="str">
        <x:v>04_Cognition_and_Emotion</x:v>
      </x:c>
      <x:c r="C105" s="257" t="str">
        <x:v>Emotion_Recognition</x:v>
      </x:c>
      <x:c r="D105" s="257" t="str">
        <x:v>FACED</x:v>
      </x:c>
      <x:c r="E105" s="257"/>
      <x:c r="F105" s="257" t="str">
        <x:v>DOI:10.7303/syn50614194</x:v>
      </x:c>
      <x:c r="G105" s="257" t="str">
        <x:v>DOWNLOAD_PUBLIC</x:v>
      </x:c>
      <x:c r="H105" s="257" t="str">
        <x:v>https://doi.org/10.7303/syn50614194</x:v>
      </x:c>
      <x:c r="I105" s="257" t="str">
        <x:v>Fine-grained emotion recognition (9 classes)</x:v>
      </x:c>
      <x:c r="J105" s="257" t="str">
        <x:v>123</x:v>
      </x:c>
      <x:c r="K105" s="257" t="str">
        <x:v>32</x:v>
      </x:c>
      <x:c r="L105" s="257" t="str">
        <x:v>250 Hz</x:v>
      </x:c>
      <x:c r="M105" s="257" t="str">
        <x:v>Biosemi (.bdf)</x:v>
      </x:c>
      <x:c r="N105" s="257" t="str">
        <x:v>Both (raw .bdf + preprocessed .pkl + DE/PSD)</x:v>
      </x:c>
      <x:c r="O105" s="257" t="str">
        <x:v>On Synapse (syn50614194); requires account registration</x:v>
      </x:c>
      <x:c r="P105" s="257" t="str">
        <x:v>A large finer-grained affective computing EEG dataset. Chen et al., 2023, Scientific Data 10:740.</x:v>
      </x:c>
      <x:c r="Q105" s="257" t="str">
        <x:v>04_Cognition_and_Emotion/Emotion_Recognition/FACED</x:v>
      </x:c>
      <x:c r="R105" s="257" t="str">
        <x:v>存在公开仓库、官方入口或稳定数据访问号</x:v>
      </x:c>
      <x:c r="S105" s="257"/>
      <x:c r="T105" s="257"/>
      <x:c r="U105" s="213"/>
    </x:row>
    <x:row r="106" ht="60" customHeight="1">
      <x:c r="A106" s="274" t="str">
        <x:v>EEG-0182</x:v>
      </x:c>
      <x:c r="B106" s="275" t="str">
        <x:v>04_Cognition_and_Emotion</x:v>
      </x:c>
      <x:c r="C106" s="275" t="str">
        <x:v>Emotion_Recognition</x:v>
      </x:c>
      <x:c r="D106" s="275" t="str">
        <x:v>Imagined Emotion Study</x:v>
      </x:c>
      <x:c r="E106" s="275"/>
      <x:c r="F106" s="275" t="str">
        <x:v>OpenNeuro:ds003004 | DOI:10.18112/openneuro.ds003004.v1.1.1</x:v>
      </x:c>
      <x:c r="G106" s="275" t="str">
        <x:v>DOWNLOAD_PUBLIC</x:v>
      </x:c>
      <x:c r="H106" s="275" t="str">
        <x:v>[OpenNeuro ds003004](https://openneuro.org/datasets/ds003004/versions/1.1.1)</x:v>
      </x:c>
      <x:c r="I106" s="275" t="str">
        <x:v>ImaginedEmotion</x:v>
      </x:c>
      <x:c r="J106" s="275" t="str">
        <x:v>34</x:v>
      </x:c>
      <x:c r="K106" s="275" t="str">
        <x:v>208</x:v>
      </x:c>
      <x:c r="L106" s="275" t="str">
        <x:v>256Hz</x:v>
      </x:c>
      <x:c r="M106" s="275" t="str">
        <x:v>BIDS</x:v>
      </x:c>
      <x:c r="N106" s="275" t="str">
        <x:v>raw BIDS</x:v>
      </x:c>
      <x:c r="O106" s="275" t="str">
        <x:v>OpenNeuro public download; ds003004 v1.1.1; license CC0; use web / OpenNeuro CLI / DataLad.</x:v>
      </x:c>
      <x:c r="P106" s="275" t="str">
        <x:v>Julie Onton; Scott Makeig; doi:10.18112/openneuro.ds003004.v1.1.1</x:v>
      </x:c>
      <x:c r="Q106" s="275" t="str">
        <x:v>04_Cognition_and_Emotion/Emotion_Recognition/Imagined_Emotion_Study</x:v>
      </x:c>
      <x:c r="R106" s="275" t="str">
        <x:v>存在公开仓库、官方入口或稳定数据访问号</x:v>
      </x:c>
      <x:c r="S106" s="275"/>
      <x:c r="T106" s="275"/>
      <x:c r="U106" s="276"/>
    </x:row>
    <x:row r="107" ht="60" customHeight="1">
      <x:c r="A107" s="264" t="str">
        <x:v>EEG-0185</x:v>
      </x:c>
      <x:c r="B107" s="257" t="str">
        <x:v>04_Cognition_and_Emotion</x:v>
      </x:c>
      <x:c r="C107" s="257" t="str">
        <x:v>Emotion_Recognition</x:v>
      </x:c>
      <x:c r="D107" s="257" t="str">
        <x:v>Mood Manipulation and PST, Experiment 1</x:v>
      </x:c>
      <x:c r="E107" s="257"/>
      <x:c r="F107" s="257" t="str">
        <x:v>OpenNeuro:ds004315 | DOI:10.18112/openneuro.ds004315.v1.0.0</x:v>
      </x:c>
      <x:c r="G107" s="257" t="str">
        <x:v>DOWNLOAD_PUBLIC</x:v>
      </x:c>
      <x:c r="H107" s="257" t="str">
        <x:v>[OpenNeuro ds004315](https://openneuro.org/datasets/ds004315/versions/1.0.0)</x:v>
      </x:c>
      <x:c r="I107" s="257" t="str">
        <x:v>PST</x:v>
      </x:c>
      <x:c r="J107" s="257" t="str">
        <x:v>50</x:v>
      </x:c>
      <x:c r="K107" s="257" t="str">
        <x:v>60</x:v>
      </x:c>
      <x:c r="L107" s="257" t="str">
        <x:v>500Hz</x:v>
      </x:c>
      <x:c r="M107" s="257" t="str">
        <x:v>BIDS</x:v>
      </x:c>
      <x:c r="N107" s="257" t="str">
        <x:v>raw BIDS</x:v>
      </x:c>
      <x:c r="O107" s="257" t="str">
        <x:v>OpenNeuro public download; ds004315 v1.0.0; license CC0; use web / OpenNeuro CLI / DataLad.</x:v>
      </x:c>
      <x:c r="P107" s="257" t="str">
        <x:v>James F Cavanagh; Trevor C J Jackson; doi:10.18112/openneuro.ds004315.v1.0.0</x:v>
      </x:c>
      <x:c r="Q107" s="257" t="str">
        <x:v>04_Cognition_and_Emotion/Emotion_Recognition/Mood_Manipulation_and_PST_Experiment_1</x:v>
      </x:c>
      <x:c r="R107" s="257" t="str">
        <x:v>存在公开仓库、官方入口或稳定数据访问号</x:v>
      </x:c>
      <x:c r="S107" s="257"/>
      <x:c r="T107" s="257"/>
      <x:c r="U107" s="213"/>
    </x:row>
    <x:row r="108" ht="60" customHeight="1">
      <x:c r="A108" s="274" t="str">
        <x:v>EEG-0187</x:v>
      </x:c>
      <x:c r="B108" s="275" t="str">
        <x:v>04_Cognition_and_Emotion</x:v>
      </x:c>
      <x:c r="C108" s="275" t="str">
        <x:v>Emotion_Recognition</x:v>
      </x:c>
      <x:c r="D108" s="275" t="str">
        <x:v>MusicEEG</x:v>
      </x:c>
      <x:c r="E108" s="275"/>
      <x:c r="F108" s="275" t="str">
        <x:v>OpenNeuro:ds002721 | DOI:10.18112/openneuro.ds002721.v1.0.1</x:v>
      </x:c>
      <x:c r="G108" s="275" t="str">
        <x:v>DOWNLOAD_PUBLIC</x:v>
      </x:c>
      <x:c r="H108" s="275" t="str">
        <x:v>https://doi.org/10.18112/openneuro.ds002721.v1.0.1</x:v>
      </x:c>
      <x:c r="I108" s="275" t="str">
        <x:v>Music-evoked emotion (film-music clips)</x:v>
      </x:c>
      <x:c r="J108" s="275" t="str">
        <x:v>31 (18F/13M)</x:v>
      </x:c>
      <x:c r="K108" s="275" t="str">
        <x:v>19</x:v>
      </x:c>
      <x:c r="L108" s="275" t="str">
        <x:v>1000 Hz</x:v>
      </x:c>
      <x:c r="M108" s="275" t="str">
        <x:v>BrainVision / BIDS</x:v>
      </x:c>
      <x:c r="N108" s="275" t="str">
        <x:v>Raw</x:v>
      </x:c>
      <x:c r="O108" s="275" t="str">
        <x:v>Open (OpenNeuro ds002721), CC0</x:v>
      </x:c>
      <x:c r="P108" s="275" t="str">
        <x:v>Neural and physiological data from participants listening to affective music (MusicEEG). Daly et al., 2020, Scientific Data 7:177.</x:v>
      </x:c>
      <x:c r="Q108" s="275" t="str">
        <x:v>04_Cognition_and_Emotion/Emotion_Recognition/MusicEEG</x:v>
      </x:c>
      <x:c r="R108" s="275" t="str">
        <x:v>存在公开仓库、官方入口或稳定数据访问号</x:v>
      </x:c>
      <x:c r="S108" s="275"/>
      <x:c r="T108" s="275"/>
      <x:c r="U108" s="276"/>
    </x:row>
    <x:row r="109" ht="60" customHeight="1">
      <x:c r="A109" s="264" t="str">
        <x:v>EEG-0188</x:v>
      </x:c>
      <x:c r="B109" s="257" t="str">
        <x:v>04_Cognition_and_Emotion</x:v>
      </x:c>
      <x:c r="C109" s="257" t="str">
        <x:v>Emotion_Recognition</x:v>
      </x:c>
      <x:c r="D109" s="257" t="str">
        <x:v>Poetry Assessment EEG Dataset 1</x:v>
      </x:c>
      <x:c r="E109" s="257"/>
      <x:c r="F109" s="257" t="str">
        <x:v>OpenNeuro:ds006648</x:v>
      </x:c>
      <x:c r="G109" s="257" t="str">
        <x:v>DOWNLOAD_PUBLIC</x:v>
      </x:c>
      <x:c r="H109" s="257" t="str">
        <x:v>[OpenNeuro ds006648](https://openneuro.org/datasets/ds006648/versions/1.0.0)</x:v>
      </x:c>
      <x:c r="I109" s="257" t="str">
        <x:v>poetry reading / aesthetic assessment；language-emotion EEG</x:v>
      </x:c>
      <x:c r="J109" s="257" t="str">
        <x:v>47</x:v>
      </x:c>
      <x:c r="K109" s="257" t="str">
        <x:v>64</x:v>
      </x:c>
      <x:c r="L109" s="257" t="str">
        <x:v>512Hz</x:v>
      </x:c>
      <x:c r="M109" s="257" t="str">
        <x:v>BIDS</x:v>
      </x:c>
      <x:c r="N109" s="257" t="str">
        <x:v>raw BIDS</x:v>
      </x:c>
      <x:c r="O109" s="257" t="str">
        <x:v>公开下载：OpenNeuro ds006648 v1.0.0；可网页、OpenNeuro CLI 或 DataLad 获取。</x:v>
      </x:c>
      <x:c r="P109" s="257" t="str">
        <x:v>Soma Chaudhuri; Joydeep Bhattacharya</x:v>
      </x:c>
      <x:c r="Q109" s="257" t="str">
        <x:v>04_Cognition_and_Emotion/Emotion_Recognition/Poetry_Assessment_EEG_Dataset_1</x:v>
      </x:c>
      <x:c r="R109" s="257" t="str">
        <x:v>存在公开仓库、官方入口或稳定数据访问号</x:v>
      </x:c>
      <x:c r="S109" s="257"/>
      <x:c r="T109" s="257"/>
      <x:c r="U109" s="213"/>
    </x:row>
    <x:row r="110" ht="60" customHeight="1">
      <x:c r="A110" s="274" t="str">
        <x:v>EEG-0189</x:v>
      </x:c>
      <x:c r="B110" s="275" t="str">
        <x:v>04_Cognition_and_Emotion</x:v>
      </x:c>
      <x:c r="C110" s="275" t="str">
        <x:v>Emotion_Recognition</x:v>
      </x:c>
      <x:c r="D110" s="275" t="str">
        <x:v>SAM 40</x:v>
      </x:c>
      <x:c r="E110" s="275" t="str">
        <x:v>Ghosh (2019) [EEG-0233]</x:v>
      </x:c>
      <x:c r="F110" s="275" t="str">
        <x:v>Figshare:14562090 | DOI:10.6084/m9.figshare.14562090</x:v>
      </x:c>
      <x:c r="G110" s="275" t="str">
        <x:v>DOWNLOAD_PUBLIC</x:v>
      </x:c>
      <x:c r="H110" s="275" t="str">
        <x:v>https://figshare.com/articles/dataset/SAM_40_Dataset.../14562090 | Figshare, DOI:10.6084/m9.figshare.14562090</x:v>
      </x:c>
      <x:c r="I110" s="275" t="str">
        <x:v>Induced stress (Stroop / arithmetic / mirror image)；Cognitive: Stroop</x:v>
      </x:c>
      <x:c r="J110" s="275" t="str">
        <x:v>40</x:v>
      </x:c>
      <x:c r="K110" s="275" t="str">
        <x:v>32</x:v>
      </x:c>
      <x:c r="L110" s="275" t="str">
        <x:v>128 Hz</x:v>
      </x:c>
      <x:c r="M110" s="275" t="str">
        <x:v>MAT</x:v>
      </x:c>
      <x:c r="N110" s="275" t="str">
        <x:v>Both (raw + filtered/cleaned)</x:v>
      </x:c>
      <x:c r="O110" s="275" t="str">
        <x:v>Open (figshare 14562090), CC BY 4.0</x:v>
      </x:c>
      <x:c r="P110" s="275" t="str">
        <x:v>SAM 40: Dataset of 40 subject EEG recordings to monitor the induced-stress while performing Stroop color-word test, arithmetic task, and mirror image recognition task. Ghosh et al., 2022, Data in Brief 40:107772.；Ghosh R, Deb N, Sengupta K, Phukan A, Choudhury N, Kashyap S, Phadikar S, Saha R, Das P, Sinha N, Dutta P. Data in Brief 2022;40:107772 (SAM 40 dataset)</x:v>
      </x:c>
      <x:c r="Q110" s="275" t="str">
        <x:v>04_Cognition_and_Emotion/Emotion_Recognition/SAM_40</x:v>
      </x:c>
      <x:c r="R110" s="275" t="str">
        <x:v>存在公开仓库、官方入口或稳定数据访问号；2026-08-04去重：EEG-0233并入EEG-0189（Figshare article 14562090）</x:v>
      </x:c>
      <x:c r="S110" s="275"/>
      <x:c r="T110" s="275"/>
      <x:c r="U110" s="276"/>
    </x:row>
    <x:row r="111" ht="60" customHeight="1">
      <x:c r="A111" s="264" t="str">
        <x:v>EEG-0195</x:v>
      </x:c>
      <x:c r="B111" s="257" t="str">
        <x:v>04_Cognition_and_Emotion</x:v>
      </x:c>
      <x:c r="C111" s="257" t="str">
        <x:v>Emotion_Recognition</x:v>
      </x:c>
      <x:c r="D111" s="257" t="str">
        <x:v>SEED-MYA</x:v>
      </x:c>
      <x:c r="E111" s="257"/>
      <x:c r="F111" s="257" t="str">
        <x:v>DOI:10.1109/TAFFC.2025.3586444</x:v>
      </x:c>
      <x:c r="G111" s="257" t="str">
        <x:v>DOWNLOAD_APPLICATION_REQUIRED</x:v>
      </x:c>
      <x:c r="H111" s="257" t="str">
        <x:v>https://bcmi.sjtu.edu.cn/home/seed/seed-MYA.html</x:v>
      </x:c>
      <x:c r="I111" s="257" t="str">
        <x:v>3-class emotion recognition with Burmese stimuli</x:v>
      </x:c>
      <x:c r="J111" s="257" t="str">
        <x:v>20</x:v>
      </x:c>
      <x:c r="K111" s="257" t="str">
        <x:v>62 EEG</x:v>
      </x:c>
      <x:c r="L111" s="257" t="str">
        <x:v>Raw CNT 1000 Hz</x:v>
      </x:c>
      <x:c r="M111" s="257" t="str">
        <x:v>CNT raw; DE features; eye-tracking Excel/features</x:v>
      </x:c>
      <x:c r="N111" s="257" t="str">
        <x:v>Raw EEG, EEG DE features, eye movement raw/features</x:v>
      </x:c>
      <x:c r="O111" s="257" t="str">
        <x:v>Apply/download via SJTU BCMI; multimodal with eye tracking</x:v>
      </x:c>
      <x:c r="P111" s="257" t="str">
        <x:v>DOI: 10.1109/TAFFC.2025.3586444</x:v>
      </x:c>
      <x:c r="Q111" s="257" t="str">
        <x:v>04_Cognition_and_Emotion/Emotion_Recognition/SEED-MYA</x:v>
      </x:c>
      <x:c r="R111" s="257" t="str">
        <x:v>官方数据存在，但需申请、签署协议或获得权限</x:v>
      </x:c>
      <x:c r="S111" s="257"/>
      <x:c r="T111" s="257"/>
      <x:c r="U111" s="213"/>
    </x:row>
    <x:row r="112" ht="60" customHeight="1">
      <x:c r="A112" s="274" t="str">
        <x:v>EEG-0199</x:v>
      </x:c>
      <x:c r="B112" s="275" t="str">
        <x:v>04_Cognition_and_Emotion</x:v>
      </x:c>
      <x:c r="C112" s="275" t="str">
        <x:v>Mental_State_Recognition</x:v>
      </x:c>
      <x:c r="D112" s="275" t="str">
        <x:v>EEG meditation study</x:v>
      </x:c>
      <x:c r="E112" s="275"/>
      <x:c r="F112" s="275" t="str">
        <x:v>OpenNeuro:ds001787</x:v>
      </x:c>
      <x:c r="G112" s="275" t="str">
        <x:v>DOWNLOAD_PUBLIC</x:v>
      </x:c>
      <x:c r="H112" s="275" t="str">
        <x:v>https://openneuro.org/datasets/ds001787</x:v>
      </x:c>
      <x:c r="I112" s="275" t="str">
        <x:v>meditation vs control/experience group；long continuous EEG</x:v>
      </x:c>
      <x:c r="J112" s="275" t="str">
        <x:v>24</x:v>
      </x:c>
      <x:c r="K112" s="275" t="str">
        <x:v>64</x:v>
      </x:c>
      <x:c r="L112" s="275" t="str">
        <x:v>256 Hz</x:v>
      </x:c>
      <x:c r="M112" s="275" t="str">
        <x:v>BIDS</x:v>
      </x:c>
      <x:c r="N112" s="275" t="str">
        <x:v>raw BIDS</x:v>
      </x:c>
      <x:c r="O112" s="275" t="str">
        <x:v>公开下载：OpenNeuro ds001787 v1.1.1；CC0，可网页、OpenNeuro CLI 或 DataLad 获取。</x:v>
      </x:c>
      <x:c r="P112" s="275" t="str">
        <x:v>Arnaud Delorme; Tracy Brandmeyer</x:v>
      </x:c>
      <x:c r="Q112" s="275" t="str">
        <x:v>04_Cognition_and_Emotion/Mental_State_Recognition/EEG_meditation_study</x:v>
      </x:c>
      <x:c r="R112" s="275" t="str">
        <x:v>存在公开仓库、官方入口或稳定数据访问号</x:v>
      </x:c>
      <x:c r="S112" s="275"/>
      <x:c r="T112" s="275"/>
      <x:c r="U112" s="276"/>
    </x:row>
    <x:row r="113" ht="60" customHeight="1">
      <x:c r="A113" s="264" t="str">
        <x:v>EEG-0200</x:v>
      </x:c>
      <x:c r="B113" s="257" t="str">
        <x:v>04_Cognition_and_Emotion</x:v>
      </x:c>
      <x:c r="C113" s="257" t="str">
        <x:v>Mental_State_Recognition</x:v>
      </x:c>
      <x:c r="D113" s="257" t="str">
        <x:v>Meditation vs thinking task</x:v>
      </x:c>
      <x:c r="E113" s="257"/>
      <x:c r="F113" s="257" t="str">
        <x:v>OpenNeuro:ds003969 | DOI:10.1371/journal.pone.0170647</x:v>
      </x:c>
      <x:c r="G113" s="257" t="str">
        <x:v>DOWNLOAD_PUBLIC</x:v>
      </x:c>
      <x:c r="H113" s="257" t="str">
        <x:v>[OpenNeuro ds003969](https://openneuro.org/datasets/ds003969/versions/1.0.0)</x:v>
      </x:c>
      <x:c r="I113" s="257" t="str">
        <x:v>mixed</x:v>
      </x:c>
      <x:c r="J113" s="257" t="str">
        <x:v>98</x:v>
      </x:c>
      <x:c r="K113" s="257" t="str">
        <x:v>64</x:v>
      </x:c>
      <x:c r="L113" s="257" t="str">
        <x:v>1024Hz</x:v>
      </x:c>
      <x:c r="M113" s="257" t="str">
        <x:v>BIDS</x:v>
      </x:c>
      <x:c r="N113" s="257" t="str">
        <x:v>raw BIDS</x:v>
      </x:c>
      <x:c r="O113" s="257" t="str">
        <x:v>OpenNeuro public download; ds003969 v1.0.0; license CC0; use web / OpenNeuro CLI / DataLad.</x:v>
      </x:c>
      <x:c r="P113" s="257" t="str">
        <x:v>Arnaud Delorme; Claire Braboszcz; 10.1371/journal.pone.0170647</x:v>
      </x:c>
      <x:c r="Q113" s="257" t="str">
        <x:v>04_Cognition_and_Emotion/Mental_State_Recognition/Meditation_vs_thinking_task</x:v>
      </x:c>
      <x:c r="R113" s="257" t="str">
        <x:v>存在公开仓库、官方入口或稳定数据访问号</x:v>
      </x:c>
      <x:c r="S113" s="257"/>
      <x:c r="T113" s="257"/>
      <x:c r="U113" s="213"/>
    </x:row>
    <x:row r="114" ht="60" customHeight="1">
      <x:c r="A114" s="274" t="str">
        <x:v>EEG-0201</x:v>
      </x:c>
      <x:c r="B114" s="275" t="str">
        <x:v>04_Cognition_and_Emotion</x:v>
      </x:c>
      <x:c r="C114" s="275" t="str">
        <x:v>Mental_State_Recognition</x:v>
      </x:c>
      <x:c r="D114" s="275" t="str">
        <x:v>PsiConnect</x:v>
      </x:c>
      <x:c r="E114" s="275"/>
      <x:c r="F114" s="275" t="str">
        <x:v>OpenNeuro:ds006110</x:v>
      </x:c>
      <x:c r="G114" s="275" t="str">
        <x:v>DOWNLOAD_PUBLIC</x:v>
      </x:c>
      <x:c r="H114" s="275" t="str">
        <x:v>[OpenNeuro ds006110](https://openneuro.org/datasets/ds006110/versions/1.2.0)</x:v>
      </x:c>
      <x:c r="I114" s="275" t="str">
        <x:v>rest；movie；series；meditation；music；simultaneous multimodal protocol</x:v>
      </x:c>
      <x:c r="J114" s="275" t="str">
        <x:v>65</x:v>
      </x:c>
      <x:c r="K114" s="275" t="str">
        <x:v>64</x:v>
      </x:c>
      <x:c r="L114" s="275" t="str">
        <x:v>500Hz</x:v>
      </x:c>
      <x:c r="M114" s="275" t="str">
        <x:v>BIDS</x:v>
      </x:c>
      <x:c r="N114" s="275" t="str">
        <x:v>raw BIDS</x:v>
      </x:c>
      <x:c r="O114" s="275" t="str">
        <x:v>公开下载：OpenNeuro ds006110 v1.2.0；CC0，可网页、OpenNeuro CLI 或 DataLad 获取。</x:v>
      </x:c>
      <x:c r="P114" s="275" t="str">
        <x:v>Adeel Razi</x:v>
      </x:c>
      <x:c r="Q114" s="275" t="str">
        <x:v>04_Cognition_and_Emotion/Mental_State_Recognition/PsiConnect</x:v>
      </x:c>
      <x:c r="R114" s="275" t="str">
        <x:v>存在公开仓库、官方入口或稳定数据访问号</x:v>
      </x:c>
      <x:c r="S114" s="275"/>
      <x:c r="T114" s="275"/>
      <x:c r="U114" s="276"/>
    </x:row>
    <x:row r="115" ht="60" customHeight="1">
      <x:c r="A115" s="264" t="str">
        <x:v>EEG-0202</x:v>
      </x:c>
      <x:c r="B115" s="257" t="str">
        <x:v>04_Cognition_and_Emotion</x:v>
      </x:c>
      <x:c r="C115" s="257" t="str">
        <x:v>Cognitive_Task_Recognition</x:v>
      </x:c>
      <x:c r="D115" s="257" t="str">
        <x:v>64-channel human scalp EEG from 14 unilateral PFC patients and 20 healthy controls</x:v>
      </x:c>
      <x:c r="E115" s="257"/>
      <x:c r="F115" s="257" t="str">
        <x:v>DOI:10.1016/j.cub.2017.05.046</x:v>
      </x:c>
      <x:c r="G115" s="257" t="str">
        <x:v>DOWNLOAD_PUBLIC</x:v>
      </x:c>
      <x:c r="H115" s="257" t="str">
        <x:v>https://crcns.org/data-sets/pfc/pfc-5/about-pfc-5</x:v>
      </x:c>
      <x:c r="I115" s="257" t="str">
        <x:v>lateralized visuospatial working memory task</x:v>
      </x:c>
      <x:c r="J115" s="257" t="str">
        <x:v>34</x:v>
      </x:c>
      <x:c r="K115" s="257" t="str">
        <x:v>64</x:v>
      </x:c>
      <x:c r="L115" s="257" t="str">
        <x:v>256 Hz</x:v>
      </x:c>
      <x:c r="M115" s="257" t="str">
        <x:v>.mat</x:v>
      </x:c>
      <x:c r="N115" s="257" t="str">
        <x:v>both</x:v>
      </x:c>
      <x:c r="O115" s="257" t="str">
        <x:v>Fully open</x:v>
      </x:c>
      <x:c r="P115" s="257" t="str">
        <x:v>DOI: 10.1016/j.cub.2017.05.046</x:v>
      </x:c>
      <x:c r="Q115" s="257" t="str">
        <x:v>04_Cognition_and_Emotion/Cognitive_Task_Recognition/64-channel_human_scalp_EEG_from_14_unilateral_PFC_patients_and_20_healthy_controls</x:v>
      </x:c>
      <x:c r="R115" s="257" t="str">
        <x:v>存在公开仓库、官方入口或稳定数据访问号</x:v>
      </x:c>
      <x:c r="S115" s="257"/>
      <x:c r="T115" s="257"/>
      <x:c r="U115" s="213"/>
    </x:row>
    <x:row r="116" ht="60" customHeight="1">
      <x:c r="A116" s="274" t="str">
        <x:v>EEG-0203</x:v>
      </x:c>
      <x:c r="B116" s="275" t="str">
        <x:v>04_Cognition_and_Emotion</x:v>
      </x:c>
      <x:c r="C116" s="275" t="str">
        <x:v>Cognitive_Task_Recognition</x:v>
      </x:c>
      <x:c r="D116" s="275" t="str">
        <x:v>Alphabetic Decision Task (Arial Light Font)</x:v>
      </x:c>
      <x:c r="E116" s="275"/>
      <x:c r="F116" s="275" t="str">
        <x:v>OpenNeuro:ds005594 | DOI:10.1101/2024.11.11.622929</x:v>
      </x:c>
      <x:c r="G116" s="275" t="str">
        <x:v>DOWNLOAD_PUBLIC</x:v>
      </x:c>
      <x:c r="H116" s="275" t="str">
        <x:v>[OpenNeuro ds005594](https://openneuro.org/datasets/ds005594/versions/1.0.3)</x:v>
      </x:c>
      <x:c r="I116" s="275" t="str">
        <x:v>Alphabetic Decision</x:v>
      </x:c>
      <x:c r="J116" s="275" t="str">
        <x:v>16</x:v>
      </x:c>
      <x:c r="K116" s="275" t="str">
        <x:v>64</x:v>
      </x:c>
      <x:c r="L116" s="275" t="str">
        <x:v>1000Hz</x:v>
      </x:c>
      <x:c r="M116" s="275" t="str">
        <x:v>BIDS</x:v>
      </x:c>
      <x:c r="N116" s="275" t="str">
        <x:v>raw BIDS</x:v>
      </x:c>
      <x:c r="O116" s="275" t="str">
        <x:v>OpenNeuro public download; ds005594 v1.0.3; license CC0; use web / OpenNeuro CLI / DataLad.</x:v>
      </x:c>
      <x:c r="P116" s="275" t="str">
        <x:v>Jack E. Taylor; Rasmus Sinn; Cosimo Iaia; Christian J. Fiebach; 10.1101/2024.11.11.622929</x:v>
      </x:c>
      <x:c r="Q116" s="275" t="str">
        <x:v>04_Cognition_and_Emotion/Cognitive_Task_Recognition/Alphabetic_Decision_Task_Arial_Light_Font</x:v>
      </x:c>
      <x:c r="R116" s="275" t="str">
        <x:v>存在公开仓库、官方入口或稳定数据访问号</x:v>
      </x:c>
      <x:c r="S116" s="275"/>
      <x:c r="T116" s="275"/>
      <x:c r="U116" s="276"/>
    </x:row>
    <x:row r="117" ht="60" customHeight="1">
      <x:c r="A117" s="264" t="str">
        <x:v>EEG-0204</x:v>
      </x:c>
      <x:c r="B117" s="257" t="str">
        <x:v>04_Cognition_and_Emotion</x:v>
      </x:c>
      <x:c r="C117" s="257" t="str">
        <x:v>Cognitive_Task_Recognition</x:v>
      </x:c>
      <x:c r="D117" s="257" t="str">
        <x:v>Audiovisual, Gaze-controlled Auditory Attention Decoding Dataset KU Leuven (AV-GC-AAD)</x:v>
      </x:c>
      <x:c r="E117" s="257"/>
      <x:c r="F117" s="257" t="str">
        <x:v>Zenodo:11058711 | DOI:10.1088/1741-2552/ad2214</x:v>
      </x:c>
      <x:c r="G117" s="257" t="str">
        <x:v>DOWNLOAD_PUBLIC</x:v>
      </x:c>
      <x:c r="H117" s="257" t="str">
        <x:v>https://zenodo.org/records/11058711</x:v>
      </x:c>
      <x:c r="I117" s="257" t="str">
        <x:v>Spatial Auditory Attention Decoding</x:v>
      </x:c>
      <x:c r="J117" s="257" t="str">
        <x:v>16</x:v>
      </x:c>
      <x:c r="K117" s="257" t="str">
        <x:v>64</x:v>
      </x:c>
      <x:c r="L117" s="257" t="str">
        <x:v>8192 Hz</x:v>
      </x:c>
      <x:c r="M117" s="257" t="str">
        <x:v>.mat</x:v>
      </x:c>
      <x:c r="N117" s="257" t="str">
        <x:v>Processed data</x:v>
      </x:c>
      <x:c r="O117" s="257" t="str">
        <x:v>Fully open</x:v>
      </x:c>
      <x:c r="P117" s="257" t="str">
        <x:v>DOI: 10.1088/1741-2552/ad2214</x:v>
      </x:c>
      <x:c r="Q117" s="257" t="str">
        <x:v>04_Cognition_and_Emotion/Cognitive_Task_Recognition/Audiovisual_Gaze-controlled_Auditory_Attention_Decoding_Dataset_KU_Leuven_AV-GC-AAD</x:v>
      </x:c>
      <x:c r="R117" s="257" t="str">
        <x:v>存在公开仓库、官方入口或稳定数据访问号</x:v>
      </x:c>
      <x:c r="S117" s="257"/>
      <x:c r="T117" s="257"/>
      <x:c r="U117" s="213"/>
    </x:row>
    <x:row r="118" ht="60" customHeight="1">
      <x:c r="A118" s="274" t="str">
        <x:v>EEG-0205</x:v>
      </x:c>
      <x:c r="B118" s="275" t="str">
        <x:v>04_Cognition_and_Emotion</x:v>
      </x:c>
      <x:c r="C118" s="275" t="str">
        <x:v>Cognitive_Task_Recognition</x:v>
      </x:c>
      <x:c r="D118" s="275" t="str">
        <x:v>BNCI 002-2020 (Spatial attention to colored items)</x:v>
      </x:c>
      <x:c r="E118" s="275"/>
      <x:c r="F118" s="275" t="str">
        <x:v>BNCI:BNCI 002-2020</x:v>
      </x:c>
      <x:c r="G118" s="275" t="str">
        <x:v>DOWNLOAD_APPLICATION_REQUIRED</x:v>
      </x:c>
      <x:c r="H118" s="275" t="str">
        <x:v>http://bnci-horizon-2020.eu/database/data-sets</x:v>
      </x:c>
      <x:c r="I118" s="275" t="str">
        <x:v>Covert spatial attention shifts to centrally presented cross targets</x:v>
      </x:c>
      <x:c r="J118" s="275" t="str">
        <x:v>18</x:v>
      </x:c>
      <x:c r="K118" s="275" t="str">
        <x:v>30 EEG + EOG channels</x:v>
      </x:c>
      <x:c r="L118" s="275" t="str">
        <x:v>250 Hz</x:v>
      </x:c>
      <x:c r="M118" s="275" t="str">
        <x:v>MAT</x:v>
      </x:c>
      <x:c r="N118" s="275" t="str">
        <x:v>Raw EEG</x:v>
      </x:c>
      <x:c r="O118" s="275" t="str">
        <x:v>Open, CC BY 4.0, no application</x:v>
      </x:c>
      <x:c r="P118" s="275" t="str">
        <x:v>Leibniz Inst. Neurobiology Magdeburg</x:v>
      </x:c>
      <x:c r="Q118" s="275" t="str">
        <x:v>04_Cognition_and_Emotion/Cognitive_Task_Recognition/BNCI_002-2020_Spatial_attention_to_colored_items</x:v>
      </x:c>
      <x:c r="R118" s="275" t="str">
        <x:v>官方数据存在，但需申请、签署协议或获得权限</x:v>
      </x:c>
      <x:c r="S118" s="275"/>
      <x:c r="T118" s="275"/>
      <x:c r="U118" s="276"/>
    </x:row>
    <x:row r="119" ht="60" customHeight="1">
      <x:c r="A119" s="264" t="str">
        <x:v>EEG-0206</x:v>
      </x:c>
      <x:c r="B119" s="257" t="str">
        <x:v>04_Cognition_and_Emotion</x:v>
      </x:c>
      <x:c r="C119" s="257" t="str">
        <x:v>Workload_Detection</x:v>
      </x:c>
      <x:c r="D119" s="257" t="str">
        <x:v>BNCI 003-2014 (Mental arithmetic)</x:v>
      </x:c>
      <x:c r="E119" s="257"/>
      <x:c r="F119" s="257" t="str">
        <x:v>BNCI:BNCI 003-2014</x:v>
      </x:c>
      <x:c r="G119" s="257" t="str">
        <x:v>DOWNLOAD_PUBLIC</x:v>
      </x:c>
      <x:c r="H119" s="257" t="str">
        <x:v>http://bnci-horizon-2020.eu/database/data-sets</x:v>
      </x:c>
      <x:c r="I119" s="257" t="str">
        <x:v>Mental subtraction vs rest</x:v>
      </x:c>
      <x:c r="J119" s="257" t="str">
        <x:v>8</x:v>
      </x:c>
      <x:c r="K119" s="257" t="str">
        <x:v>52 fNIRS channels</x:v>
      </x:c>
      <x:c r="L119" s="257" t="str">
        <x:v>10 Hz</x:v>
      </x:c>
      <x:c r="M119" s="257" t="str">
        <x:v>MAT</x:v>
      </x:c>
      <x:c r="N119" s="257" t="str">
        <x:v>Raw fNIRS</x:v>
      </x:c>
      <x:c r="O119" s="257" t="str">
        <x:v>Open Access</x:v>
      </x:c>
      <x:c r="P119" s="257" t="str">
        <x:v>Bauernfeind et al. 2011</x:v>
      </x:c>
      <x:c r="Q119" s="257" t="str">
        <x:v>04_Cognition_and_Emotion/Workload_Detection/BNCI_003-2014_Mental_arithmetic</x:v>
      </x:c>
      <x:c r="R119" s="257" t="str">
        <x:v>存在公开仓库、官方入口或稳定数据访问号</x:v>
      </x:c>
      <x:c r="S119" s="257"/>
      <x:c r="T119" s="257"/>
      <x:c r="U119" s="213"/>
    </x:row>
    <x:row r="120" ht="60" customHeight="1">
      <x:c r="A120" s="274" t="str">
        <x:v>EEG-0207</x:v>
      </x:c>
      <x:c r="B120" s="275" t="str">
        <x:v>04_Cognition_and_Emotion</x:v>
      </x:c>
      <x:c r="C120" s="275" t="str">
        <x:v>Cognitive_Task_Recognition</x:v>
      </x:c>
      <x:c r="D120" s="275" t="str">
        <x:v>BNCI 005-2015 (Covert shifts of attention)</x:v>
      </x:c>
      <x:c r="E120" s="275"/>
      <x:c r="F120" s="275" t="str">
        <x:v>BNCI:BNCI 005-2015</x:v>
      </x:c>
      <x:c r="G120" s="275" t="str">
        <x:v>DOWNLOAD_APPLICATION_REQUIRED</x:v>
      </x:c>
      <x:c r="H120" s="275" t="str">
        <x:v>http://bnci-horizon-2020.eu/database/data-sets</x:v>
      </x:c>
      <x:c r="I120" s="275" t="str">
        <x:v>Covert spatial shifts of attention tracking</x:v>
      </x:c>
      <x:c r="J120" s="275" t="str">
        <x:v>8</x:v>
      </x:c>
      <x:c r="K120" s="275" t="str">
        <x:v>37 EEG + EOG channels</x:v>
      </x:c>
      <x:c r="L120" s="275" t="str">
        <x:v>1000 Hz</x:v>
      </x:c>
      <x:c r="M120" s="275" t="str">
        <x:v>MAT</x:v>
      </x:c>
      <x:c r="N120" s="275" t="str">
        <x:v>Raw EEG + triggers</x:v>
      </x:c>
      <x:c r="O120" s="275" t="str">
        <x:v>Open, CC BY-NC-ND 4.0, no application</x:v>
      </x:c>
      <x:c r="P120" s="275" t="str">
        <x:v>Treder/Blankertz, TU Berlin</x:v>
      </x:c>
      <x:c r="Q120" s="275" t="str">
        <x:v>04_Cognition_and_Emotion/Cognitive_Task_Recognition/BNCI_005-2015_Covert_shifts_of_attention</x:v>
      </x:c>
      <x:c r="R120" s="275" t="str">
        <x:v>官方数据存在，但需申请、签署协议或获得权限</x:v>
      </x:c>
      <x:c r="S120" s="275"/>
      <x:c r="T120" s="275"/>
      <x:c r="U120" s="276"/>
    </x:row>
    <x:row r="121" ht="60" customHeight="1">
      <x:c r="A121" s="264" t="str">
        <x:v>EEG-0208</x:v>
      </x:c>
      <x:c r="B121" s="257" t="str">
        <x:v>06_Motor_and_Interaction</x:v>
      </x:c>
      <x:c r="C121" s="257" t="str">
        <x:v>Motor_Imagery_and_Execution</x:v>
      </x:c>
      <x:c r="D121" s="257" t="str">
        <x:v>BNCI 004-2015 (Individual imagery)</x:v>
      </x:c>
      <x:c r="E121" s="257" t="str">
        <x:v>BNCI 004-2015 (Individual imagery) [EEG-0365]</x:v>
      </x:c>
      <x:c r="F121" s="257" t="str">
        <x:v>BNCI:BNCI 004-2015</x:v>
      </x:c>
      <x:c r="G121" s="257" t="str">
        <x:v>DOWNLOAD_PUBLIC</x:v>
      </x:c>
      <x:c r="H121" s="257" t="str">
        <x:v>https://moabb.neurotechx.com/docs/generated/moabb.datasets.BNCI2015_004.html | http://bnci-horizon-2020.eu/database/data-sets</x:v>
      </x:c>
      <x:c r="I121" s="257" t="str">
        <x:v>mental tasks: multiplication, letter composing, rotation, counting, baseline；Mental multiplication vs word association vs hand motor imagery</x:v>
      </x:c>
      <x:c r="J121" s="257" t="str">
        <x:v>9</x:v>
      </x:c>
      <x:c r="K121" s="257" t="str">
        <x:v>30</x:v>
      </x:c>
      <x:c r="L121" s="257" t="str">
        <x:v>256 Hz</x:v>
      </x:c>
      <x:c r="M121" s="257" t="str">
        <x:v>MOABB-supported / original BNCI</x:v>
      </x:c>
      <x:c r="N121" s="257" t="str">
        <x:v>raw / MOABB-prepared</x:v>
      </x:c>
      <x:c r="O121" s="257" t="str">
        <x:v>MOABB auto-download; REVE Appendix B MOABB source; original license CC BY-NC-ND 4.0.</x:v>
      </x:c>
      <x:c r="P121" s="257" t="str">
        <x:v>Scherer et al. (2015); REVE Appendix B；Scherer et al., TU Graz</x:v>
      </x:c>
      <x:c r="Q121" s="257" t="str">
        <x:v>06_Motor_and_Interaction/Motor_Imagery_and_Execution/BNCI_004-2015_Individual_Imagery</x:v>
      </x:c>
      <x:c r="R121" s="257" t="str">
        <x:v>存在公开仓库、官方入口或稳定数据访问号；2026-08-04去重：EEG-0365并入EEG-0208（BNCI 004-2015 / BNCI2015_004）</x:v>
      </x:c>
      <x:c r="S121" s="257"/>
      <x:c r="T121" s="257"/>
      <x:c r="U121" s="213"/>
    </x:row>
    <x:row r="122" ht="60" customHeight="1">
      <x:c r="A122" s="274" t="str">
        <x:v>EEG-0209</x:v>
      </x:c>
      <x:c r="B122" s="275" t="str">
        <x:v>04_Cognition_and_Emotion</x:v>
      </x:c>
      <x:c r="C122" s="275" t="str">
        <x:v>Cognitive_Task_Recognition</x:v>
      </x:c>
      <x:c r="D122" s="275" t="str">
        <x:v>Broderick (Cocktail party)</x:v>
      </x:c>
      <x:c r="E122" s="275" t="str">
        <x:v>Broderick (Reverse/Natural speech) [EEG-0294]</x:v>
      </x:c>
      <x:c r="F122" s="275" t="str">
        <x:v>DOI:10.5061/dryad.070jc</x:v>
      </x:c>
      <x:c r="G122" s="275" t="str">
        <x:v>DOWNLOAD_PUBLIC</x:v>
      </x:c>
      <x:c r="H122" s="275" t="str">
        <x:v>https://doi.org/10.5061/dryad.070jc</x:v>
      </x:c>
      <x:c r="I122" s="275" t="str">
        <x:v>Selective auditory attention (two competing speakers)；Natural vs time-reversed speech discrimination</x:v>
      </x:c>
      <x:c r="J122" s="275" t="str">
        <x:v>33</x:v>
      </x:c>
      <x:c r="K122" s="275" t="str">
        <x:v>128 (BioSemi ActiveTwo, +2 mastoids)</x:v>
      </x:c>
      <x:c r="L122" s="275" t="str">
        <x:v>512 Hz</x:v>
      </x:c>
      <x:c r="M122" s="275" t="str">
        <x:v>MAT (preprocessed)</x:v>
      </x:c>
      <x:c r="N122" s="275" t="str">
        <x:v>Processed</x:v>
      </x:c>
      <x:c r="O122" s="275" t="str">
        <x:v>Open, Dryad CC0 1.0 ('Cocktail Party.zip')</x:v>
      </x:c>
      <x:c r="P122" s="275" t="str">
        <x:v>Electrophysiological correlates of semantic dissimilarity reflect the comprehension of natural, narrative speech (Broderick - cocktail party). Broderick et al., 2018, Current Biology 28(5):803-809.；Electrophysiological correlates of semantic dissimilarity reflect the comprehension of natural, narrative speech (Broderick - reverse). Broderick et al., 2018, Current Biology 28(5):803-809.</x:v>
      </x:c>
      <x:c r="Q122" s="275" t="str">
        <x:v>04_Cognition_and_Emotion/Cognitive_Task_Recognition/Broderick_Cocktail_party</x:v>
      </x:c>
      <x:c r="R122" s="275" t="str">
        <x:v>存在公开仓库、官方入口或稳定数据访问号；2026-08-04去重：EEG-0294并入EEG-0209（Dryad DOI 10.5061/dryad.070jc）</x:v>
      </x:c>
      <x:c r="S122" s="275"/>
      <x:c r="T122" s="275"/>
      <x:c r="U122" s="276"/>
    </x:row>
    <x:row r="123" ht="60" customHeight="1">
      <x:c r="A123" s="264" t="str">
        <x:v>EEG-0212</x:v>
      </x:c>
      <x:c r="B123" s="257" t="str">
        <x:v>04_Cognition_and_Emotion</x:v>
      </x:c>
      <x:c r="C123" s="257" t="str">
        <x:v>Cognitive_Task_Recognition</x:v>
      </x:c>
      <x:c r="D123" s="257" t="str">
        <x:v>Chen (2024)</x:v>
      </x:c>
      <x:c r="E123" s="257" t="str">
        <x:v>Deception-Game [EEG-0218]</x:v>
      </x:c>
      <x:c r="F123" s="257" t="str">
        <x:v>Figshare:24760827 | DOI:10.6084/m9.figshare.24760827.v3</x:v>
      </x:c>
      <x:c r="G123" s="257" t="str">
        <x:v>DOWNLOAD_PUBLIC</x:v>
      </x:c>
      <x:c r="H123" s="257" t="str">
        <x:v>https://doi.org/10.6084/m9.figshare.24760827.v3 | https://figshare.com/articles/dataset/An_EEG_Dataset_of_Neural_Signatures.../24760827</x:v>
      </x:c>
      <x:c r="I123" s="257" t="str">
        <x:v>Cognitive: Deception (competitive two-player card game)；Two-player game encouraging deception</x:v>
      </x:c>
      <x:c r="J123" s="257" t="str">
        <x:v>24</x:v>
      </x:c>
      <x:c r="K123" s="257" t="str">
        <x:v>30</x:v>
      </x:c>
      <x:c r="L123" s="257" t="str">
        <x:v>500</x:v>
      </x:c>
      <x:c r="M123" s="257" t="str">
        <x:v>Raw: BrainVision (.eeg/.vhdr/.vmrk); preprocessed &amp; CNN-ready: .mat; behavioral/timestamps: .txt</x:v>
      </x:c>
      <x:c r="N123" s="257" t="str">
        <x:v>Both raw and fully preprocessed/synchronized/labeled data, plus 1D-CNN-ready formatted data</x:v>
      </x:c>
      <x:c r="O123" s="257" t="str">
        <x:v>Open access on Figshare, no application needed</x:v>
      </x:c>
      <x:c r="P123" s="257" t="str">
        <x:v>Y. Chen et al., “An EEG dataset of neural signatures in a competitive two-player game encouraging deceptive behavior,” Sci. Data, vol. 11, no. 1, p. 389, 2024.；An EEG dataset of neural signatures in a competitive two-player game encouraging deceptive behavior. Chen et al., 2024, Scientific Data 11:389.</x:v>
      </x:c>
      <x:c r="Q123" s="257" t="str">
        <x:v>04_Cognition_and_Emotion/Cognitive_Task_Recognition/Chen_2024</x:v>
      </x:c>
      <x:c r="R123" s="257" t="str">
        <x:v>官方数据存在，但需申请、签署协议或获得权限；2026-08-04去重：EEG-0218并入EEG-0212（Figshare article 24760827）</x:v>
      </x:c>
      <x:c r="S123" s="257"/>
      <x:c r="T123" s="257"/>
      <x:c r="U123" s="213"/>
    </x:row>
    <x:row r="124" ht="60" customHeight="1">
      <x:c r="A124" s="274" t="str">
        <x:v>EEG-0213</x:v>
      </x:c>
      <x:c r="B124" s="275" t="str">
        <x:v>04_Cognition_and_Emotion</x:v>
      </x:c>
      <x:c r="C124" s="275" t="str">
        <x:v>Cognitive_Task_Recognition</x:v>
      </x:c>
      <x:c r="D124" s="275" t="str">
        <x:v>CMx7-MM Experiment</x:v>
      </x:c>
      <x:c r="E124" s="275"/>
      <x:c r="F124" s="275" t="str">
        <x:v>OpenNeuro:ds007554</x:v>
      </x:c>
      <x:c r="G124" s="275" t="str">
        <x:v>DOWNLOAD_PUBLIC</x:v>
      </x:c>
      <x:c r="H124" s="275" t="str">
        <x:v>[OpenNeuro ds007554](https://openneuro.org/datasets/ds007554/versions/1.0.0)</x:v>
      </x:c>
      <x:c r="I124" s="275" t="str">
        <x:v>active motor / multimodal cognitive-motor experiment</x:v>
      </x:c>
      <x:c r="J124" s="275" t="str">
        <x:v>30</x:v>
      </x:c>
      <x:c r="K124" s="275" t="str">
        <x:v>32</x:v>
      </x:c>
      <x:c r="L124" s="275" t="str">
        <x:v>250Hz</x:v>
      </x:c>
      <x:c r="M124" s="275" t="str">
        <x:v>BIDS</x:v>
      </x:c>
      <x:c r="N124" s="275" t="str">
        <x:v>raw BIDS</x:v>
      </x:c>
      <x:c r="O124" s="275" t="str">
        <x:v>公开下载：OpenNeuro ds007554 v1.0.0；可网页、OpenNeuro CLI 或 DataLad 获取。</x:v>
      </x:c>
      <x:c r="P124" s="275" t="str">
        <x:v>Zaineb Ajra; Grégoire Vergotte; Stéphane Perrey; Lilian Evra; Simon Pla; Gérard Dray</x:v>
      </x:c>
      <x:c r="Q124" s="275" t="str">
        <x:v>04_Cognition_and_Emotion/Cognitive_Task_Recognition/CMx7-MM_Experiment</x:v>
      </x:c>
      <x:c r="R124" s="275" t="str">
        <x:v>存在公开仓库、官方入口或稳定数据访问号</x:v>
      </x:c>
      <x:c r="S124" s="275"/>
      <x:c r="T124" s="275"/>
      <x:c r="U124" s="276"/>
    </x:row>
    <x:row r="125" ht="60" customHeight="1">
      <x:c r="A125" s="264" t="str">
        <x:v>EEG-0214</x:v>
      </x:c>
      <x:c r="B125" s="257" t="str">
        <x:v>04_Cognition_and_Emotion</x:v>
      </x:c>
      <x:c r="C125" s="257" t="str">
        <x:v>Cognitive_Task_Recognition</x:v>
      </x:c>
      <x:c r="D125" s="257" t="str">
        <x:v>COCOHA auditory attention decoding dataset</x:v>
      </x:c>
      <x:c r="E125" s="257"/>
      <x:c r="F125" s="257" t="str">
        <x:v>Zenodo:1199011 | DOI:10.3389/fnins.2018.00531</x:v>
      </x:c>
      <x:c r="G125" s="257" t="str">
        <x:v>DOWNLOAD_PUBLIC</x:v>
      </x:c>
      <x:c r="H125" s="257" t="str">
        <x:v>https://zenodo.org/records/1199011</x:v>
      </x:c>
      <x:c r="I125" s="257" t="str">
        <x:v>Auditory Attention Decoding / attended-speaker decoding</x:v>
      </x:c>
      <x:c r="J125" s="257" t="str">
        <x:v>18</x:v>
      </x:c>
      <x:c r="K125" s="257" t="str">
        <x:v>64</x:v>
      </x:c>
      <x:c r="L125" s="257" t="str">
        <x:v>512 Hz</x:v>
      </x:c>
      <x:c r="M125" s="257" t="str">
        <x:v>.mat</x:v>
      </x:c>
      <x:c r="N125" s="257" t="str">
        <x:v>Both</x:v>
      </x:c>
      <x:c r="O125" s="257" t="str">
        <x:v>Fully open</x:v>
      </x:c>
      <x:c r="P125" s="257" t="str">
        <x:v>DOI: 10.3389/fnins.2018.00531</x:v>
      </x:c>
      <x:c r="Q125" s="257" t="str">
        <x:v>04_Cognition_and_Emotion/Cognitive_Task_Recognition/COCOHA_auditory_attention_decoding_dataset</x:v>
      </x:c>
      <x:c r="R125" s="257" t="str">
        <x:v>存在公开仓库、官方入口或稳定数据访问号</x:v>
      </x:c>
      <x:c r="S125" s="257"/>
      <x:c r="T125" s="257"/>
      <x:c r="U125" s="213"/>
    </x:row>
    <x:row r="126" ht="60" customHeight="1">
      <x:c r="A126" s="274" t="str">
        <x:v>EEG-0215</x:v>
      </x:c>
      <x:c r="B126" s="275" t="str">
        <x:v>04_Cognition_and_Emotion</x:v>
      </x:c>
      <x:c r="C126" s="275" t="str">
        <x:v>Cognitive_Task_Recognition</x:v>
      </x:c>
      <x:c r="D126" s="275" t="str">
        <x:v>Cognitive Electrophysiology in Socioeconomic Context in Adulthood</x:v>
      </x:c>
      <x:c r="E126" s="275"/>
      <x:c r="F126" s="275" t="str">
        <x:v>OpenNeuro:ds006018</x:v>
      </x:c>
      <x:c r="G126" s="275" t="str">
        <x:v>DOWNLOAD_PUBLIC</x:v>
      </x:c>
      <x:c r="H126" s="275" t="str">
        <x:v>[OpenNeuro ds006018](https://openneuro.org/datasets/ds006018/versions/1.2.2)</x:v>
      </x:c>
      <x:c r="I126" s="275" t="str">
        <x:v>passive auditory oddball；visual oddball；socioeconomic context and adult cognition</x:v>
      </x:c>
      <x:c r="J126" s="275" t="str">
        <x:v>127</x:v>
      </x:c>
      <x:c r="K126" s="275" t="str">
        <x:v>27</x:v>
      </x:c>
      <x:c r="L126" s="275" t="str">
        <x:v>500Hz</x:v>
      </x:c>
      <x:c r="M126" s="275" t="str">
        <x:v>BIDS</x:v>
      </x:c>
      <x:c r="N126" s="275" t="str">
        <x:v>raw BIDS</x:v>
      </x:c>
      <x:c r="O126" s="275" t="str">
        <x:v>公开下载：OpenNeuro ds006018 v1.2.2；CC0，可网页、OpenNeuro CLI 或 DataLad 获取。</x:v>
      </x:c>
      <x:c r="P126" s="275" t="str">
        <x:v>Elif Isbell; Amanda N. Peters; Dylan M. Richardson; Nancy E. R. De León</x:v>
      </x:c>
      <x:c r="Q126" s="275" t="str">
        <x:v>04_Cognition_and_Emotion/Cognitive_Task_Recognition/Cognitive_Electrophysiology_in_Socioeconomic_Context_in_Adulthood</x:v>
      </x:c>
      <x:c r="R126" s="275" t="str">
        <x:v>存在公开仓库、官方入口或稳定数据访问号</x:v>
      </x:c>
      <x:c r="S126" s="275"/>
      <x:c r="T126" s="275"/>
      <x:c r="U126" s="276"/>
    </x:row>
    <x:row r="127" ht="60" customHeight="1">
      <x:c r="A127" s="264" t="str">
        <x:v>EEG-0216</x:v>
      </x:c>
      <x:c r="B127" s="257" t="str">
        <x:v>04_Cognition_and_Emotion</x:v>
      </x:c>
      <x:c r="C127" s="257" t="str">
        <x:v>Cognitive_Task_Recognition</x:v>
      </x:c>
      <x:c r="D127" s="257" t="str">
        <x:v>Cross-species Behavioral Dimensions EEG</x:v>
      </x:c>
      <x:c r="E127" s="257"/>
      <x:c r="F127" s="257" t="str">
        <x:v>OpenNeuro:ds003638</x:v>
      </x:c>
      <x:c r="G127" s="257" t="str">
        <x:v>DOWNLOAD_PUBLIC</x:v>
      </x:c>
      <x:c r="H127" s="257" t="str">
        <x:v>[OpenNeuro ds003638](https://openneuro.org/datasets/ds003638/versions/1.0.0)</x:v>
      </x:c>
      <x:c r="I127" s="257" t="str">
        <x:v>5-choice CPT / probabilistic selection / PRBP；behavioral dimensions and biomarkers</x:v>
      </x:c>
      <x:c r="J127" s="257" t="str">
        <x:v>57</x:v>
      </x:c>
      <x:c r="K127" s="257" t="str">
        <x:v>64</x:v>
      </x:c>
      <x:c r="L127" s="257" t="str">
        <x:v>512Hz</x:v>
      </x:c>
      <x:c r="M127" s="257" t="str">
        <x:v>BIDS</x:v>
      </x:c>
      <x:c r="N127" s="257" t="str">
        <x:v>raw BIDS</x:v>
      </x:c>
      <x:c r="O127" s="257" t="str">
        <x:v>公开下载：OpenNeuro ds003638 v1.0.0；CC0，可网页、OpenNeuro CLI 或 DataLad 获取。</x:v>
      </x:c>
      <x:c r="P127" s="257" t="str">
        <x:v>James F. Cavanagh; Greg Light; Neal Swerdlow; Jonathan Brigman; Jared Young</x:v>
      </x:c>
      <x:c r="Q127" s="257" t="str">
        <x:v>04_Cognition_and_Emotion/Cognitive_Task_Recognition/Cross-species_Behavioral_Dimensions_EEG</x:v>
      </x:c>
      <x:c r="R127" s="257" t="str">
        <x:v>存在公开仓库、官方入口或稳定数据访问号</x:v>
      </x:c>
      <x:c r="S127" s="257"/>
      <x:c r="T127" s="257"/>
      <x:c r="U127" s="213"/>
    </x:row>
    <x:row r="128" ht="60" customHeight="1">
      <x:c r="A128" s="274" t="str">
        <x:v>EEG-0219</x:v>
      </x:c>
      <x:c r="B128" s="275" t="str">
        <x:v>04_Cognition_and_Emotion</x:v>
      </x:c>
      <x:c r="C128" s="275" t="str">
        <x:v>Cognitive_Task_Recognition</x:v>
      </x:c>
      <x:c r="D128" s="275" t="str">
        <x:v>Decision and response monitoring during working memory are sequentially represented in the human insula</x:v>
      </x:c>
      <x:c r="E128" s="275"/>
      <x:c r="F128" s="275" t="str">
        <x:v>Zenodo:7995632 | DOI:10.1016/j.isci.2024.110173</x:v>
      </x:c>
      <x:c r="G128" s="275" t="str">
        <x:v>DOWNLOAD_PUBLIC</x:v>
      </x:c>
      <x:c r="H128" s="275" t="str">
        <x:v>https://zenodo.org/records/7995632</x:v>
      </x:c>
      <x:c r="I128" s="275" t="str">
        <x:v>Verbal working memory / Recent-Probes task</x:v>
      </x:c>
      <x:c r="J128" s="275" t="str">
        <x:v>12</x:v>
      </x:c>
      <x:c r="K128" s="275" t="str">
        <x:v>128</x:v>
      </x:c>
      <x:c r="L128" s="275" t="str">
        <x:v>500 Hz</x:v>
      </x:c>
      <x:c r="M128" s="275" t="str">
        <x:v>.mat</x:v>
      </x:c>
      <x:c r="N128" s="275" t="str">
        <x:v>preprocessed data</x:v>
      </x:c>
      <x:c r="O128" s="275" t="str">
        <x:v>Fully open</x:v>
      </x:c>
      <x:c r="P128" s="275" t="str">
        <x:v>DOI: 10.1016/j.isci.2024.110173</x:v>
      </x:c>
      <x:c r="Q128" s="275" t="str">
        <x:v>04_Cognition_and_Emotion/Cognitive_Task_Recognition/Decision_and_response_monitoring_during_working_memory_are_sequentially_represented_in_the</x:v>
      </x:c>
      <x:c r="R128" s="275" t="str">
        <x:v>存在公开仓库、官方入口或稳定数据访问号</x:v>
      </x:c>
      <x:c r="S128" s="275"/>
      <x:c r="T128" s="275"/>
      <x:c r="U128" s="276"/>
    </x:row>
    <x:row r="129" ht="60" customHeight="1">
      <x:c r="A129" s="264" t="str">
        <x:v>EEG-0220</x:v>
      </x:c>
      <x:c r="B129" s="257" t="str">
        <x:v>04_Cognition_and_Emotion</x:v>
      </x:c>
      <x:c r="C129" s="257" t="str">
        <x:v>Cognitive_Task_Recognition</x:v>
      </x:c>
      <x:c r="D129" s="257" t="str">
        <x:v>Digit-Span (pupillometry)</x:v>
      </x:c>
      <x:c r="E129" s="257" t="str">
        <x:v>Digit Span EEG + Pupillometry Dataset</x:v>
      </x:c>
      <x:c r="F129" s="257" t="str">
        <x:v>OpenNeuro:ds003838 | DOI:10.12751/g-node.1ecsf4</x:v>
      </x:c>
      <x:c r="G129" s="257" t="str">
        <x:v>DOWNLOAD_PUBLIC</x:v>
      </x:c>
      <x:c r="H129" s="257" t="str">
        <x:v>https://doi.org/10.12751/g-node.1ecsf4</x:v>
      </x:c>
      <x:c r="I129" s="257" t="str">
        <x:v>Memory: digit span + pupillometry (EEG)</x:v>
      </x:c>
      <x:c r="J129" s="257" t="str">
        <x:v>65 (86 in full set)</x:v>
      </x:c>
      <x:c r="K129" s="257" t="str">
        <x:v>64</x:v>
      </x:c>
      <x:c r="L129" s="257" t="str">
        <x:v>1000 Hz</x:v>
      </x:c>
      <x:c r="M129" s="257" t="str">
        <x:v>BrainVision / EEGLAB</x:v>
      </x:c>
      <x:c r="N129" s="257" t="str">
        <x:v>Raw (BIDS, no online filters)</x:v>
      </x:c>
      <x:c r="O129" s="257" t="str">
        <x:v>Open (GIN g-node 1ecsf4 / OpenNeuro ds003838), CC0</x:v>
      </x:c>
      <x:c r="P129" s="257" t="str">
        <x:v>Pupillometry and electroencephalography in the digit span task. Pavlov et al., 2022, Scientific Data 9:325.</x:v>
      </x:c>
      <x:c r="Q129" s="257" t="str">
        <x:v>04_Cognition_and_Emotion/Cognitive_Task_Recognition/Digit-Span_pupillometry</x:v>
      </x:c>
      <x:c r="R129" s="257" t="str">
        <x:v>存在公开仓库、官方入口或稳定数据访问号</x:v>
      </x:c>
      <x:c r="S129" s="257"/>
      <x:c r="T129" s="257"/>
      <x:c r="U129" s="213"/>
    </x:row>
    <x:row r="130" ht="60" customHeight="1">
      <x:c r="A130" s="274" t="str">
        <x:v>EEG-0221</x:v>
      </x:c>
      <x:c r="B130" s="275" t="str">
        <x:v>04_Cognition_and_Emotion</x:v>
      </x:c>
      <x:c r="C130" s="275" t="str">
        <x:v>Cognitive_Task_Recognition</x:v>
      </x:c>
      <x:c r="D130" s="275" t="str">
        <x:v>Dortmund Vital (resting)</x:v>
      </x:c>
      <x:c r="E130" s="275"/>
      <x:c r="F130" s="275" t="str">
        <x:v>OpenNeuro:ds005385</x:v>
      </x:c>
      <x:c r="G130" s="275" t="str">
        <x:v>DOWNLOAD_PUBLIC</x:v>
      </x:c>
      <x:c r="H130" s="275" t="str">
        <x:v>https://openneuro.org/datasets/ds005385</x:v>
      </x:c>
      <x:c r="I130" s="275" t="str">
        <x:v>Resting-state before/after cognitive block (lifespan)</x:v>
      </x:c>
      <x:c r="J130" s="275" t="str">
        <x:v>608</x:v>
      </x:c>
      <x:c r="K130" s="275" t="str">
        <x:v>64.0</x:v>
      </x:c>
      <x:c r="L130" s="275" t="str">
        <x:v>1000 Hz</x:v>
      </x:c>
      <x:c r="M130" s="275" t="str">
        <x:v>BrainVision / BIDS</x:v>
      </x:c>
      <x:c r="N130" s="275" t="str">
        <x:v>Raw (BIDS)</x:v>
      </x:c>
      <x:c r="O130" s="275" t="str">
        <x:v>Open (OpenNeuro ds005385), CC0</x:v>
      </x:c>
      <x:c r="P130" s="275" t="str">
        <x:v>Resting-state EEG data before and after cognitive activity across the adult lifespan and a 5-year follow-up. Getzmann et al., 2024, Scientific Data 11:988.</x:v>
      </x:c>
      <x:c r="Q130" s="275" t="str">
        <x:v>04_Cognition_and_Emotion/Cognitive_Task_Recognition/Dortmund_Vital_resting</x:v>
      </x:c>
      <x:c r="R130" s="275" t="str">
        <x:v>存在公开仓库、官方入口或稳定数据访问号</x:v>
      </x:c>
      <x:c r="S130" s="275"/>
      <x:c r="T130" s="275"/>
      <x:c r="U130" s="276"/>
    </x:row>
    <x:row r="131" ht="60" customHeight="1">
      <x:c r="A131" s="264" t="str">
        <x:v>EEG-0222</x:v>
      </x:c>
      <x:c r="B131" s="257" t="str">
        <x:v>04_Cognition_and_Emotion</x:v>
      </x:c>
      <x:c r="C131" s="257" t="str">
        <x:v>Cognitive_Task_Recognition</x:v>
      </x:c>
      <x:c r="D131" s="257" t="str">
        <x:v>Dynamic-Binary-Choice</x:v>
      </x:c>
      <x:c r="E131" s="257"/>
      <x:c r="F131" s="257" t="str">
        <x:v>OpenNeuro:ds003766</x:v>
      </x:c>
      <x:c r="G131" s="257" t="str">
        <x:v>DOWNLOAD_PUBLIC</x:v>
      </x:c>
      <x:c r="H131" s="257" t="str">
        <x:v>https://openneuro.org/datasets/ds003766</x:v>
      </x:c>
      <x:c r="I131" s="257" t="str">
        <x:v>Binary choice (food/image/word) + rest; EEG + mouse-tracking</x:v>
      </x:c>
      <x:c r="J131" s="257" t="str">
        <x:v>31</x:v>
      </x:c>
      <x:c r="K131" s="257" t="str">
        <x:v>128</x:v>
      </x:c>
      <x:c r="L131" s="257" t="str">
        <x:v>1000 Hz</x:v>
      </x:c>
      <x:c r="M131" s="257" t="str">
        <x:v>EEGLAB / BIDS</x:v>
      </x:c>
      <x:c r="N131" s="257" t="str">
        <x:v>Both (raw .set + derivatives)</x:v>
      </x:c>
      <x:c r="O131" s="257" t="str">
        <x:v>Open (OpenNeuro ds003766), CC0</x:v>
      </x:c>
      <x:c r="P131" s="257" t="str">
        <x:v>A resource for assessing dynamic binary choices in the adult brain using EEG and mouse-tracking. Chen et al., 2022, Scientific Data 9:416.</x:v>
      </x:c>
      <x:c r="Q131" s="257" t="str">
        <x:v>04_Cognition_and_Emotion/Cognitive_Task_Recognition/Dynamic-Binary-Choice</x:v>
      </x:c>
      <x:c r="R131" s="257" t="str">
        <x:v>存在公开仓库、官方入口或稳定数据访问号</x:v>
      </x:c>
      <x:c r="S131" s="257"/>
      <x:c r="T131" s="257"/>
      <x:c r="U131" s="213"/>
    </x:row>
    <x:row r="132" ht="60" customHeight="1">
      <x:c r="A132" s="274" t="str">
        <x:v>EEG-0224</x:v>
      </x:c>
      <x:c r="B132" s="275" t="str">
        <x:v>04_Cognition_and_Emotion</x:v>
      </x:c>
      <x:c r="C132" s="275" t="str">
        <x:v>Cognitive_Task_Recognition</x:v>
      </x:c>
      <x:c r="D132" s="275" t="str">
        <x:v>EEG-attention-rsvp-exp1</x:v>
      </x:c>
      <x:c r="E132" s="275"/>
      <x:c r="F132" s="275" t="str">
        <x:v>OpenNeuro:ds004816 | DOI:10.51628/001c.21174</x:v>
      </x:c>
      <x:c r="G132" s="275" t="str">
        <x:v>DOWNLOAD_PUBLIC</x:v>
      </x:c>
      <x:c r="H132" s="275" t="str">
        <x:v>[OpenNeuro ds004816](https://openneuro.org/datasets/ds004816/versions/1.0.1)</x:v>
      </x:c>
      <x:c r="I132" s="275" t="str">
        <x:v>rsvp</x:v>
      </x:c>
      <x:c r="J132" s="275" t="str">
        <x:v>20</x:v>
      </x:c>
      <x:c r="K132" s="275" t="str">
        <x:v>63</x:v>
      </x:c>
      <x:c r="L132" s="275" t="str">
        <x:v>1000Hz</x:v>
      </x:c>
      <x:c r="M132" s="275" t="str">
        <x:v>BIDS</x:v>
      </x:c>
      <x:c r="N132" s="275" t="str">
        <x:v>raw BIDS</x:v>
      </x:c>
      <x:c r="O132" s="275" t="str">
        <x:v>OpenNeuro public download; ds004816 v1.0.1; license CC0; use web / OpenNeuro CLI / DataLad.</x:v>
      </x:c>
      <x:c r="P132" s="275" t="str">
        <x:v>Grootswagers, Tijl; Robinson, Amanda; Shatek, Sofia; Carlson, Thomas; https://doi.org/10.51628/001c.21174</x:v>
      </x:c>
      <x:c r="Q132" s="275" t="str">
        <x:v>04_Cognition_and_Emotion/Cognitive_Task_Recognition/EEG-attention-rsvp-exp1</x:v>
      </x:c>
      <x:c r="R132" s="275" t="str">
        <x:v>存在公开仓库、官方入口或稳定数据访问号</x:v>
      </x:c>
      <x:c r="S132" s="275"/>
      <x:c r="T132" s="275"/>
      <x:c r="U132" s="276"/>
    </x:row>
    <x:row r="133" ht="60" customHeight="1">
      <x:c r="A133" s="264" t="str">
        <x:v>EEG-0225</x:v>
      </x:c>
      <x:c r="B133" s="257" t="str">
        <x:v>04_Cognition_and_Emotion</x:v>
      </x:c>
      <x:c r="C133" s="257" t="str">
        <x:v>Cognitive_Task_Recognition</x:v>
      </x:c>
      <x:c r="D133" s="257" t="str">
        <x:v>EEG-attention-rsvp-exp2</x:v>
      </x:c>
      <x:c r="E133" s="257"/>
      <x:c r="F133" s="257" t="str">
        <x:v>OpenNeuro:ds004817 | DOI:10.51628/001c.21174</x:v>
      </x:c>
      <x:c r="G133" s="257" t="str">
        <x:v>DOWNLOAD_PUBLIC</x:v>
      </x:c>
      <x:c r="H133" s="257" t="str">
        <x:v>[OpenNeuro ds004817](https://openneuro.org/datasets/ds004817/versions/1.0.1)</x:v>
      </x:c>
      <x:c r="I133" s="257" t="str">
        <x:v>rsvp</x:v>
      </x:c>
      <x:c r="J133" s="257" t="str">
        <x:v>20</x:v>
      </x:c>
      <x:c r="K133" s="257" t="str">
        <x:v>63</x:v>
      </x:c>
      <x:c r="L133" s="257" t="str">
        <x:v>1000Hz</x:v>
      </x:c>
      <x:c r="M133" s="257" t="str">
        <x:v>BIDS</x:v>
      </x:c>
      <x:c r="N133" s="257" t="str">
        <x:v>raw BIDS</x:v>
      </x:c>
      <x:c r="O133" s="257" t="str">
        <x:v>OpenNeuro public download; ds004817 v1.0.1; license CC0; use web / OpenNeuro CLI / DataLad.</x:v>
      </x:c>
      <x:c r="P133" s="257" t="str">
        <x:v>Grootswagers, Tijl; Robinson, Amanda; Shatek, Sofia; Carlson, Thomas; https://doi.org/10.51628/001c.21174</x:v>
      </x:c>
      <x:c r="Q133" s="257" t="str">
        <x:v>04_Cognition_and_Emotion/Cognitive_Task_Recognition/EEG-attention-rsvp-exp2</x:v>
      </x:c>
      <x:c r="R133" s="257" t="str">
        <x:v>存在公开仓库、官方入口或稳定数据访问号</x:v>
      </x:c>
      <x:c r="S133" s="257"/>
      <x:c r="T133" s="257"/>
      <x:c r="U133" s="213"/>
    </x:row>
    <x:row r="134" ht="60" customHeight="1">
      <x:c r="A134" s="274" t="str">
        <x:v>EEG-0226</x:v>
      </x:c>
      <x:c r="B134" s="275" t="str">
        <x:v>04_Cognition_and_Emotion</x:v>
      </x:c>
      <x:c r="C134" s="275" t="str">
        <x:v>Cognitive_Task_Recognition</x:v>
      </x:c>
      <x:c r="D134" s="275" t="str">
        <x:v>EEG-fNIRS Stroop</x:v>
      </x:c>
      <x:c r="E134" s="275"/>
      <x:c r="F134" s="275" t="str">
        <x:v>Figshare:6623431</x:v>
      </x:c>
      <x:c r="G134" s="275" t="str">
        <x:v>DOWNLOAD_PUBLIC</x:v>
      </x:c>
      <x:c r="H134" s="275" t="str">
        <x:v>https://springernature.figshare.com/collections/Open_access_dataset_integrating_EEG_and_fNIRS_during_Stroop_tasks/6623431</x:v>
      </x:c>
      <x:c r="I134" s="275" t="str">
        <x:v>Color-word Stroop (hybrid EEG-fNIRS)</x:v>
      </x:c>
      <x:c r="J134" s="275" t="str">
        <x:v>21</x:v>
      </x:c>
      <x:c r="K134" s="275" t="str">
        <x:v>34</x:v>
      </x:c>
      <x:c r="L134" s="275" t="str">
        <x:v>1000 Hz</x:v>
      </x:c>
      <x:c r="M134" s="275" t="str">
        <x:v>Neuroscan (.cnt) / .set</x:v>
      </x:c>
      <x:c r="N134" s="275" t="str">
        <x:v>Both (raw + preprocessed .set + behavior)</x:v>
      </x:c>
      <x:c r="O134" s="275" t="str">
        <x:v>Open (figshare c.6623431), CC-BY</x:v>
      </x:c>
      <x:c r="P134" s="275" t="str">
        <x:v>Open access dataset integrating EEG and fNIRS during Stroop tasks. Chen et al., 2023, Scientific Data 10:618.</x:v>
      </x:c>
      <x:c r="Q134" s="275" t="str">
        <x:v>04_Cognition_and_Emotion/Cognitive_Task_Recognition/EEG-fNIRS_Stroop</x:v>
      </x:c>
      <x:c r="R134" s="275" t="str">
        <x:v>存在公开仓库、官方入口或稳定数据访问号</x:v>
      </x:c>
      <x:c r="S134" s="275"/>
      <x:c r="T134" s="275"/>
      <x:c r="U134" s="276"/>
    </x:row>
    <x:row r="135" ht="60" customHeight="1">
      <x:c r="A135" s="264" t="str">
        <x:v>EEG-0228</x:v>
      </x:c>
      <x:c r="B135" s="257" t="str">
        <x:v>04_Cognition_and_Emotion</x:v>
      </x:c>
      <x:c r="C135" s="257" t="str">
        <x:v>Workload_Detection</x:v>
      </x:c>
      <x:c r="D135" s="257" t="str">
        <x:v>EEGMAT</x:v>
      </x:c>
      <x:c r="E135" s="257"/>
      <x:c r="F135" s="257" t="str">
        <x:v>PhysioNet:eegmat</x:v>
      </x:c>
      <x:c r="G135" s="257" t="str">
        <x:v>DOWNLOAD_PUBLIC</x:v>
      </x:c>
      <x:c r="H135" s="257" t="str">
        <x:v>https://physionet.org/content/eegmat/1.0.0/</x:v>
      </x:c>
      <x:c r="I135" s="257" t="str">
        <x:v>Mental arithmetic (serial subtraction) vs rest</x:v>
      </x:c>
      <x:c r="J135" s="257" t="str">
        <x:v>36</x:v>
      </x:c>
      <x:c r="K135" s="257" t="str">
        <x:v>23 (~19-21 usable)</x:v>
      </x:c>
      <x:c r="L135" s="257" t="str">
        <x:v>500 Hz</x:v>
      </x:c>
      <x:c r="M135" s="257" t="str">
        <x:v>EDF+</x:v>
      </x:c>
      <x:c r="N135" s="257" t="str">
        <x:v>Raw</x:v>
      </x:c>
      <x:c r="O135" s="257" t="str">
        <x:v>Open, PhysioNet ODC-By</x:v>
      </x:c>
      <x:c r="P135" s="257" t="str">
        <x:v>Electroencephalograms during mental arithmetic task performance (EEGMAT). Zyma et al., 2019, Data 4(1):14.</x:v>
      </x:c>
      <x:c r="Q135" s="257" t="str">
        <x:v>04_Cognition_and_Emotion/Workload_Detection/EEGMAT</x:v>
      </x:c>
      <x:c r="R135" s="257" t="str">
        <x:v>存在公开仓库、官方入口或稳定数据访问号</x:v>
      </x:c>
      <x:c r="S135" s="257"/>
      <x:c r="T135" s="257"/>
      <x:c r="U135" s="213"/>
    </x:row>
    <x:row r="136" ht="60" customHeight="1">
      <x:c r="A136" s="274" t="str">
        <x:v>EEG-0230</x:v>
      </x:c>
      <x:c r="B136" s="275" t="str">
        <x:v>04_Cognition_and_Emotion</x:v>
      </x:c>
      <x:c r="C136" s="275" t="str">
        <x:v>Cognitive_Task_Recognition</x:v>
      </x:c>
      <x:c r="D136" s="275" t="str">
        <x:v>ERN</x:v>
      </x:c>
      <x:c r="E136" s="275"/>
      <x:c r="F136" s="275" t="str">
        <x:v>OpenNeuro:ds004602,ds004883</x:v>
      </x:c>
      <x:c r="G136" s="275" t="str">
        <x:v>DOWNLOAD_PUBLIC</x:v>
      </x:c>
      <x:c r="H136" s="275" t="str">
        <x:v>[OpenNeuro ds004602](https://openneuro.org/datasets/ds004602/versions/1.0.3) / [ds004883](https://openneuro.org/datasets/ds004883/versions/1.0.1)</x:v>
      </x:c>
      <x:c r="I136" s="275" t="str">
        <x:v>ERN/Pe psychometrics；go/no-go, flanker, Stroop；flanker variants</x:v>
      </x:c>
      <x:c r="J136" s="275" t="str">
        <x:v>182 + 172</x:v>
      </x:c>
      <x:c r="K136" s="275" t="str">
        <x:v>129</x:v>
      </x:c>
      <x:c r="L136" s="275" t="str">
        <x:v>500Hz</x:v>
      </x:c>
      <x:c r="M136" s="275" t="str">
        <x:v>BIDS</x:v>
      </x:c>
      <x:c r="N136" s="275" t="str">
        <x:v>raw BIDS</x:v>
      </x:c>
      <x:c r="O136" s="275" t="str">
        <x:v>公开下载：OpenNeuro ds004602 与 ds004883；CC0，可网页、OpenNeuro CLI 或 DataLad 获取。</x:v>
      </x:c>
      <x:c r="P136" s="275" t="str">
        <x:v>Peter E. Clayson; Michael J. Larson</x:v>
      </x:c>
      <x:c r="Q136" s="275" t="str">
        <x:v>04_Cognition_and_Emotion/Cognitive_Task_Recognition/ERN</x:v>
      </x:c>
      <x:c r="R136" s="275" t="str">
        <x:v>存在公开仓库、官方入口或稳定数据访问号</x:v>
      </x:c>
      <x:c r="S136" s="275"/>
      <x:c r="T136" s="275"/>
      <x:c r="U136" s="276"/>
    </x:row>
    <x:row r="137" ht="60" customHeight="1">
      <x:c r="A137" s="264" t="str">
        <x:v>EEG-0231</x:v>
      </x:c>
      <x:c r="B137" s="257" t="str">
        <x:v>04_Cognition_and_Emotion</x:v>
      </x:c>
      <x:c r="C137" s="257" t="str">
        <x:v>Workload_Detection</x:v>
      </x:c>
      <x:c r="D137" s="257" t="str">
        <x:v>Executive Functioning Data</x:v>
      </x:c>
      <x:c r="E137" s="257"/>
      <x:c r="F137" s="257" t="str">
        <x:v>OpenNeuro:ds004350</x:v>
      </x:c>
      <x:c r="G137" s="257" t="str">
        <x:v>DOWNLOAD_PUBLIC</x:v>
      </x:c>
      <x:c r="H137" s="257" t="str">
        <x:v>[OpenNeuro ds004350](https://openneuro.org/datasets/ds004350/versions/2.0.0)</x:v>
      </x:c>
      <x:c r="I137" s="257" t="str">
        <x:v>executive-function tasks；n-back / learning / cognitive control EEG</x:v>
      </x:c>
      <x:c r="J137" s="257" t="str">
        <x:v>24</x:v>
      </x:c>
      <x:c r="K137" s="257" t="str">
        <x:v>64</x:v>
      </x:c>
      <x:c r="L137" s="257" t="str">
        <x:v>256Hz</x:v>
      </x:c>
      <x:c r="M137" s="257" t="str">
        <x:v>BIDS</x:v>
      </x:c>
      <x:c r="N137" s="257" t="str">
        <x:v>raw BIDS</x:v>
      </x:c>
      <x:c r="O137" s="257" t="str">
        <x:v>公开下载：OpenNeuro ds004350 v2.0.0；CC0，可网页、OpenNeuro CLI 或 DataLad 获取。</x:v>
      </x:c>
      <x:c r="P137" s="257" t="str">
        <x:v>Arnaud Delorme; Tracy Brandmeyer</x:v>
      </x:c>
      <x:c r="Q137" s="257" t="str">
        <x:v>04_Cognition_and_Emotion/Workload_Detection/Executive_Functioning_Data</x:v>
      </x:c>
      <x:c r="R137" s="257" t="str">
        <x:v>存在公开仓库、官方入口或稳定数据访问号</x:v>
      </x:c>
      <x:c r="S137" s="257"/>
      <x:c r="T137" s="257"/>
      <x:c r="U137" s="213"/>
    </x:row>
    <x:row r="138" ht="60" customHeight="1">
      <x:c r="A138" s="274" t="str">
        <x:v>EEG-0232</x:v>
      </x:c>
      <x:c r="B138" s="275" t="str">
        <x:v>04_Cognition_and_Emotion</x:v>
      </x:c>
      <x:c r="C138" s="275" t="str">
        <x:v>Cognitive_Task_Recognition</x:v>
      </x:c>
      <x:c r="D138" s="275" t="str">
        <x:v>FOODEEG</x:v>
      </x:c>
      <x:c r="E138" s="275"/>
      <x:c r="F138" s="275" t="str">
        <x:v>OpenNeuro:ds007012</x:v>
      </x:c>
      <x:c r="G138" s="275" t="str">
        <x:v>DOWNLOAD_PUBLIC</x:v>
      </x:c>
      <x:c r="H138" s="275" t="str">
        <x:v>[OpenNeuro ds007012](https://openneuro.org/datasets/ds007012/versions/1.1.0)</x:v>
      </x:c>
      <x:c r="I138" s="275" t="str">
        <x:v>food image categorisation；visual decision and behavioural response EEG</x:v>
      </x:c>
      <x:c r="J138" s="275" t="str">
        <x:v>117</x:v>
      </x:c>
      <x:c r="K138" s="275" t="str">
        <x:v>64</x:v>
      </x:c>
      <x:c r="L138" s="275" t="str">
        <x:v>512Hz</x:v>
      </x:c>
      <x:c r="M138" s="275" t="str">
        <x:v>BIDS</x:v>
      </x:c>
      <x:c r="N138" s="275" t="str">
        <x:v>raw BIDS</x:v>
      </x:c>
      <x:c r="O138" s="275" t="str">
        <x:v>公开下载：OpenNeuro ds007012 v1.1.0；CC0，可网页、OpenNeuro CLI 或 DataLad 获取。</x:v>
      </x:c>
      <x:c r="P138" s="275" t="str">
        <x:v>Violet Chae; Tijl Grootswagers; Stefan Bode; Daniel Feuerriegel</x:v>
      </x:c>
      <x:c r="Q138" s="275" t="str">
        <x:v>04_Cognition_and_Emotion/Cognitive_Task_Recognition/FOODEEG</x:v>
      </x:c>
      <x:c r="R138" s="275" t="str">
        <x:v>存在公开仓库、官方入口或稳定数据访问号</x:v>
      </x:c>
      <x:c r="S138" s="275"/>
      <x:c r="T138" s="275"/>
      <x:c r="U138" s="276"/>
    </x:row>
    <x:row r="139" ht="60" customHeight="1">
      <x:c r="A139" s="264" t="str">
        <x:v>EEG-0234</x:v>
      </x:c>
      <x:c r="B139" s="257" t="str">
        <x:v>04_Cognition_and_Emotion</x:v>
      </x:c>
      <x:c r="C139" s="257" t="str">
        <x:v>Workload_Detection</x:v>
      </x:c>
      <x:c r="D139" s="257" t="str">
        <x:v>Hinss (2023)</x:v>
      </x:c>
      <x:c r="E139" s="257"/>
      <x:c r="F139" s="257" t="str">
        <x:v>Zenodo:7413650</x:v>
      </x:c>
      <x:c r="G139" s="257" t="str">
        <x:v>DOWNLOAD_APPLICATION_REQUIRED</x:v>
      </x:c>
      <x:c r="H139" s="257" t="str">
        <x:v>https://zenodo.org/records/7413650</x:v>
      </x:c>
      <x:c r="I139" s="257" t="str">
        <x:v>N-back, MATB-II, PVT, Flanker task</x:v>
      </x:c>
      <x:c r="J139" s="257" t="str">
        <x:v>29</x:v>
      </x:c>
      <x:c r="K139" s="257" t="str">
        <x:v>64</x:v>
      </x:c>
      <x:c r="L139" s="257" t="str">
        <x:v>500</x:v>
      </x:c>
      <x:c r="M139" s="257" t="str">
        <x:v>EEGLAB</x:v>
      </x:c>
      <x:c r="N139" s="257" t="str">
        <x:v>Raw EEG, &gt;100 hours total</x:v>
      </x:c>
      <x:c r="O139" s="257" t="str">
        <x:v>Open access on Zenodo, no application needed</x:v>
      </x:c>
      <x:c r="P139" s="257" t="str">
        <x:v>M. F. Hinss et al., “Open multi-session and multi-task EEG cognitive dataset for passive brain-computer interface applications,” Sci. Data, vol. 10, no. 1, p. 85, 2023.</x:v>
      </x:c>
      <x:c r="Q139" s="257" t="str">
        <x:v>04_Cognition_and_Emotion/Workload_Detection/Hinss_2023</x:v>
      </x:c>
      <x:c r="R139" s="257" t="str">
        <x:v>官方数据存在，但需申请、签署协议或获得权限</x:v>
      </x:c>
      <x:c r="S139" s="257"/>
      <x:c r="T139" s="257"/>
      <x:c r="U139" s="213"/>
    </x:row>
    <x:row r="140" ht="60" customHeight="1">
      <x:c r="A140" s="274" t="str">
        <x:v>EEG-0235</x:v>
      </x:c>
      <x:c r="B140" s="275" t="str">
        <x:v>04_Cognition_and_Emotion</x:v>
      </x:c>
      <x:c r="C140" s="275" t="str">
        <x:v>Cognitive_Task_Recognition</x:v>
      </x:c>
      <x:c r="D140" s="275" t="str">
        <x:v>KU Leuven Auditory Attention Decoding (AAD) EEG Dataset</x:v>
      </x:c>
      <x:c r="E140" s="275" t="str">
        <x:v>KUL (KU Leuven auditory attention detection dataset)</x:v>
      </x:c>
      <x:c r="F140" s="275" t="str">
        <x:v>Zenodo:4004271</x:v>
      </x:c>
      <x:c r="G140" s="275" t="str">
        <x:v>DOWNLOAD_PUBLIC</x:v>
      </x:c>
      <x:c r="H140" s="275" t="str">
        <x:v>https://zenodo.org/records/4004271</x:v>
      </x:c>
      <x:c r="I140" s="275" t="str">
        <x:v>Auditory Attention Decoding: 2 competing speech streams (cocktail party), detect attended speaker</x:v>
      </x:c>
      <x:c r="J140" s="275" t="str">
        <x:v>16 (normal-hearing)</x:v>
      </x:c>
      <x:c r="K140" s="275" t="str">
        <x:v>64</x:v>
      </x:c>
      <x:c r="L140" s="275" t="str">
        <x:v>8192 Hz (raw recording)</x:v>
      </x:c>
      <x:c r="M140" s="275" t="str">
        <x:v>MAT (EEG+envelopes) + WAV (audio stimuli)</x:v>
      </x:c>
      <x:c r="N140" s="275" t="str">
        <x:v>Raw (preprocessed version available)</x:v>
      </x:c>
      <x:c r="O140" s="275" t="str">
        <x:v>Free (Zenodo 4004271, no registration)</x:v>
      </x:c>
      <x:c r="P140" s="275" t="str">
        <x:v>Biesmans et al. 2017, IEEE Trans. Neural Syst. Rehabil. Eng.; KU Leuven ExpORL lab</x:v>
      </x:c>
      <x:c r="Q140" s="275" t="str">
        <x:v>04_Cognition_and_Emotion/Cognitive_Task_Recognition/KU_Leuven_Auditory_Attention_Decoding_AAD_EEG_Dataset</x:v>
      </x:c>
      <x:c r="R140" s="275" t="str">
        <x:v>存在公开仓库、官方入口或稳定数据访问号</x:v>
      </x:c>
      <x:c r="S140" s="275"/>
      <x:c r="T140" s="275"/>
      <x:c r="U140" s="276"/>
    </x:row>
    <x:row r="141" ht="60" customHeight="1">
      <x:c r="A141" s="264" t="str">
        <x:v>EEG-0236</x:v>
      </x:c>
      <x:c r="B141" s="257" t="str">
        <x:v>04_Cognition_and_Emotion</x:v>
      </x:c>
      <x:c r="C141" s="257" t="str">
        <x:v>Cognitive_Task_Recognition</x:v>
      </x:c>
      <x:c r="D141" s="257" t="str">
        <x:v>Mheich (2021)</x:v>
      </x:c>
      <x:c r="E141" s="257"/>
      <x:c r="F141" s="257" t="str">
        <x:v>Figshare:13560311 | DOI:10.6084/m9.figshare.13560311</x:v>
      </x:c>
      <x:c r="G141" s="257" t="str">
        <x:v>DOWNLOAD_APPLICATION_REQUIRED</x:v>
      </x:c>
      <x:c r="H141" s="257" t="str">
        <x:v>OpenNeuro (2 datasets: HD-EEGtask Dataset 1 and Dataset 2); metadata also on Figshare DOI:10.6084/m9.figshare.13560311</x:v>
      </x:c>
      <x:c r="I141" s="257" t="str">
        <x:v>Cognitive</x:v>
      </x:c>
      <x:c r="J141" s="257" t="str">
        <x:v>43</x:v>
      </x:c>
      <x:c r="K141" s="257" t="str">
        <x:v>256</x:v>
      </x:c>
      <x:c r="L141" s="257" t="str">
        <x:v>1000</x:v>
      </x:c>
      <x:c r="M141" s="257" t="str">
        <x:v>BrainVision</x:v>
      </x:c>
      <x:c r="N141" s="257" t="str">
        <x:v>Raw, BIDS-EEG format</x:v>
      </x:c>
      <x:c r="O141" s="257" t="str">
        <x:v>Open access on OpenNeuro, no application needed</x:v>
      </x:c>
      <x:c r="P141" s="257" t="str">
        <x:v>Mheich A, Dufor O, Yassine S, Kabbara A, Biraben A, Wendling F, Hassan M. Sci Data 2021;8:32</x:v>
      </x:c>
      <x:c r="Q141" s="257" t="str">
        <x:v>04_Cognition_and_Emotion/Cognitive_Task_Recognition/Mheich_2021</x:v>
      </x:c>
      <x:c r="R141" s="257" t="str">
        <x:v>官方数据存在，但需申请、签署协议或获得权限</x:v>
      </x:c>
      <x:c r="S141" s="257"/>
      <x:c r="T141" s="257"/>
      <x:c r="U141" s="213"/>
    </x:row>
    <x:row r="142" ht="60" customHeight="1">
      <x:c r="A142" s="274" t="str">
        <x:v>EEG-0237</x:v>
      </x:c>
      <x:c r="B142" s="275" t="str">
        <x:v>04_Cognition_and_Emotion</x:v>
      </x:c>
      <x:c r="C142" s="275" t="str">
        <x:v>Cognitive_Task_Recognition</x:v>
      </x:c>
      <x:c r="D142" s="275" t="str">
        <x:v>OpenNeuro ds006367</x:v>
      </x:c>
      <x:c r="E142" s="275"/>
      <x:c r="F142" s="275" t="str">
        <x:v>OpenNeuro:ds006367</x:v>
      </x:c>
      <x:c r="G142" s="275" t="str">
        <x:v>DOWNLOAD_PUBLIC</x:v>
      </x:c>
      <x:c r="H142" s="275" t="str">
        <x:v>[OpenNeuro ds006367](https://openneuro.org/datasets/ds006367/versions/1.0.1)</x:v>
      </x:c>
      <x:c r="I142" s="275" t="str">
        <x:v>visual memory / memory reactivation EEG</x:v>
      </x:c>
      <x:c r="J142" s="275" t="str">
        <x:v>52</x:v>
      </x:c>
      <x:c r="K142" s="275" t="str">
        <x:v>30</x:v>
      </x:c>
      <x:c r="L142" s="275" t="str">
        <x:v>1000Hz</x:v>
      </x:c>
      <x:c r="M142" s="275" t="str">
        <x:v>BIDS</x:v>
      </x:c>
      <x:c r="N142" s="275" t="str">
        <x:v>raw BIDS</x:v>
      </x:c>
      <x:c r="O142" s="275" t="str">
        <x:v>OpenNeuro public download; CC0; use web / OpenNeuro CLI / DataLad.</x:v>
      </x:c>
      <x:c r="P142" s="275" t="str">
        <x:v>OpenNeuro ds006367; DeeperBrain; Liu et al. (2026), EEG Foundation Models Tables VIII-XIV</x:v>
      </x:c>
      <x:c r="Q142" s="275" t="str">
        <x:v>04_Cognition_and_Emotion/Cognitive_Task_Recognition/OpenNeuro_ds006367</x:v>
      </x:c>
      <x:c r="R142" s="275" t="str">
        <x:v>存在公开仓库、官方入口或稳定数据访问号</x:v>
      </x:c>
      <x:c r="S142" s="275"/>
      <x:c r="T142" s="275"/>
      <x:c r="U142" s="276"/>
    </x:row>
    <x:row r="143" ht="60" customHeight="1">
      <x:c r="A143" s="264" t="str">
        <x:v>EEG-0238</x:v>
      </x:c>
      <x:c r="B143" s="257" t="str">
        <x:v>04_Cognition_and_Emotion</x:v>
      </x:c>
      <x:c r="C143" s="257" t="str">
        <x:v>Cognitive_Task_Recognition</x:v>
      </x:c>
      <x:c r="D143" s="257" t="str">
        <x:v>PEARL-Neuro</x:v>
      </x:c>
      <x:c r="E143" s="257"/>
      <x:c r="F143" s="257" t="str">
        <x:v>OpenNeuro:ds004796</x:v>
      </x:c>
      <x:c r="G143" s="257" t="str">
        <x:v>DOWNLOAD_PUBLIC</x:v>
      </x:c>
      <x:c r="H143" s="257" t="str">
        <x:v>https://openneuro.org/datasets/ds004796</x:v>
      </x:c>
      <x:c r="I143" s="257" t="str">
        <x:v>Memory (Sternberg/MSIT) + rest; OmniEEG: task discrimination</x:v>
      </x:c>
      <x:c r="J143" s="257" t="str">
        <x:v>79 (with EEG)</x:v>
      </x:c>
      <x:c r="K143" s="257" t="str">
        <x:v>128</x:v>
      </x:c>
      <x:c r="L143" s="257" t="str">
        <x:v>1000 Hz</x:v>
      </x:c>
      <x:c r="M143" s="257" t="str">
        <x:v>BrainVision / BIDS</x:v>
      </x:c>
      <x:c r="N143" s="257" t="str">
        <x:v>Raw (BIDS)</x:v>
      </x:c>
      <x:c r="O143" s="257" t="str">
        <x:v>Open (OpenNeuro ds004796), CC0</x:v>
      </x:c>
      <x:c r="P143" s="257" t="str">
        <x:v>PEARL-Neuro database: EEG, fMRI, health and lifestyle data of middle-aged people at risk of dementia. Dzianok &amp; Kublik, 2024, Scientific Data 11:276.</x:v>
      </x:c>
      <x:c r="Q143" s="257" t="str">
        <x:v>04_Cognition_and_Emotion/Cognitive_Task_Recognition/PEARL-Neuro</x:v>
      </x:c>
      <x:c r="R143" s="257" t="str">
        <x:v>存在公开仓库、官方入口或稳定数据访问号</x:v>
      </x:c>
      <x:c r="S143" s="257"/>
      <x:c r="T143" s="257"/>
      <x:c r="U143" s="213"/>
    </x:row>
    <x:row r="144" ht="60" customHeight="1">
      <x:c r="A144" s="274" t="str">
        <x:v>EEG-0239</x:v>
      </x:c>
      <x:c r="B144" s="275" t="str">
        <x:v>04_Cognition_and_Emotion</x:v>
      </x:c>
      <x:c r="C144" s="275" t="str">
        <x:v>Cognitive_Task_Recognition</x:v>
      </x:c>
      <x:c r="D144" s="275" t="str">
        <x:v>PEERS</x:v>
      </x:c>
      <x:c r="E144" s="275"/>
      <x:c r="F144" s="275" t="str">
        <x:v>OpenNeuro:ds004395 | BNCI:500-1000</x:v>
      </x:c>
      <x:c r="G144" s="275" t="str">
        <x:v>DOWNLOAD_PUBLIC</x:v>
      </x:c>
      <x:c r="H144" s="275" t="str">
        <x:v>https://memory.psych.upenn.edu/DataArchive</x:v>
      </x:c>
      <x:c r="I144" s="275" t="str">
        <x:v>Memory Encoding and Retrieval (free recall; ERP analysis of encoding vs retrieval)</x:v>
      </x:c>
      <x:c r="J144" s="275" t="str">
        <x:v>&gt;300 subjects (experiments 1-5; 7000+ memory sessions)</x:v>
      </x:c>
      <x:c r="K144" s="275" t="str">
        <x:v>129 (EGI GSN-200) or 128 (BioSemi) — mixed across subjects</x:v>
      </x:c>
      <x:c r="L144" s="275" t="str">
        <x:v>500-1000 Hz</x:v>
      </x:c>
      <x:c r="M144" s="275" t="str">
        <x:v>EEG (BioSemi BDF)</x:v>
      </x:c>
      <x:c r="N144" s="275" t="str">
        <x:v>raw BIDS</x:v>
      </x:c>
      <x:c r="O144" s="275" t="str">
        <x:v>Free (OpenNeuro ds004395 — no registration; also memory.psych.upenn.edu/data — DUA affirmation only, no formal account)</x:v>
      </x:c>
      <x:c r="P144" s="275" t="str">
        <x:v>Michael J. Kahana; Joseph H. Rudoler; Lynn J. Lohnas; Karl Healey; Ada Aka</x:v>
      </x:c>
      <x:c r="Q144" s="275" t="str">
        <x:v>04_Cognition_and_Emotion/Cognitive_Task_Recognition/PEERS</x:v>
      </x:c>
      <x:c r="R144" s="275" t="str">
        <x:v>存在公开仓库、官方入口或稳定数据访问号</x:v>
      </x:c>
      <x:c r="S144" s="275"/>
      <x:c r="T144" s="275"/>
      <x:c r="U144" s="276"/>
    </x:row>
    <x:row r="145" ht="60" customHeight="1">
      <x:c r="A145" s="264" t="str">
        <x:v>EEG-0240</x:v>
      </x:c>
      <x:c r="B145" s="257" t="str">
        <x:v>04_Cognition_and_Emotion</x:v>
      </x:c>
      <x:c r="C145" s="257" t="str">
        <x:v>Cognitive_Task_Recognition</x:v>
      </x:c>
      <x:c r="D145" s="257" t="str">
        <x:v>Proactive selective attention across competition contexts</x:v>
      </x:c>
      <x:c r="E145" s="257"/>
      <x:c r="F145" s="257" t="str">
        <x:v>OpenNeuro:ds005089 | DOI:10.1016/j.neuroimage.2023.119960</x:v>
      </x:c>
      <x:c r="G145" s="257" t="str">
        <x:v>DOWNLOAD_PUBLIC</x:v>
      </x:c>
      <x:c r="H145" s="257" t="str">
        <x:v>[OpenNeuro ds005089](https://openneuro.org/datasets/ds005089/versions/1.0.1)</x:v>
      </x:c>
      <x:c r="I145" s="257" t="str">
        <x:v>Competition</x:v>
      </x:c>
      <x:c r="J145" s="257" t="str">
        <x:v>36</x:v>
      </x:c>
      <x:c r="K145" s="257" t="str">
        <x:v>63</x:v>
      </x:c>
      <x:c r="L145" s="257" t="str">
        <x:v>1000Hz</x:v>
      </x:c>
      <x:c r="M145" s="257" t="str">
        <x:v>BIDS</x:v>
      </x:c>
      <x:c r="N145" s="257" t="str">
        <x:v>raw BIDS</x:v>
      </x:c>
      <x:c r="O145" s="257" t="str">
        <x:v>OpenNeuro public download; ds005089 v1.0.1; license CC0; use web / OpenNeuro CLI / DataLad.</x:v>
      </x:c>
      <x:c r="P145" s="257" t="str">
        <x:v>Blanca Aguado-Lopez; Ana F. Palenciano; Jose M. G. Penalver; Paloma Diaz-Gutierrez; David Lopez-Garcia; https://doi.org/10.1016/j.neuroimage.2023.119960</x:v>
      </x:c>
      <x:c r="Q145" s="257" t="str">
        <x:v>04_Cognition_and_Emotion/Cognitive_Task_Recognition/Proactive_selective_attention_across_competition_contexts</x:v>
      </x:c>
      <x:c r="R145" s="257" t="str">
        <x:v>存在公开仓库、官方入口或稳定数据访问号</x:v>
      </x:c>
      <x:c r="S145" s="257"/>
      <x:c r="T145" s="257"/>
      <x:c r="U145" s="213"/>
    </x:row>
    <x:row r="146" ht="60" customHeight="1">
      <x:c r="A146" s="274" t="str">
        <x:v>EEG-0241</x:v>
      </x:c>
      <x:c r="B146" s="275" t="str">
        <x:v>04_Cognition_and_Emotion</x:v>
      </x:c>
      <x:c r="C146" s="275" t="str">
        <x:v>Cognitive_Task_Recognition</x:v>
      </x:c>
      <x:c r="D146" s="275" t="str">
        <x:v>PURSUE ERP Benchmark Suite</x:v>
      </x:c>
      <x:c r="E146" s="275"/>
      <x:c r="F146" s="275" t="str">
        <x:v>OpenNeuro:ds007052,ds007056,ds007069,ds007096,ds007137,ds007139</x:v>
      </x:c>
      <x:c r="G146" s="275" t="str">
        <x:v>DOWNLOAD_PUBLIC</x:v>
      </x:c>
      <x:c r="H146" s="275" t="str">
        <x:v>[PURSUE N2pc ds007137](https://openneuro.org/datasets/ds007137) / [N170 ds007096](https://openneuro.org/datasets/ds007096) / [ERN ds007139](https://openneuro.org/datasets/ds007139) / [N400 ds007052](https://openneuro.org/datasets/ds007052) / [P300 ds007056](https://openneuro.org/datasets/ds007056) / [MMN ds007069](https://openneuro.org/datasets/ds007069)</x:v>
      </x:c>
      <x:c r="I146" s="275" t="str">
        <x:v>visual search, face perception, flanker, word processing, visual oddball, auditory oddball</x:v>
      </x:c>
      <x:c r="J146" s="275" t="str">
        <x:v>281-294</x:v>
      </x:c>
      <x:c r="K146" s="275" t="str">
        <x:v>29</x:v>
      </x:c>
      <x:c r="L146" s="275" t="str">
        <x:v>500Hz</x:v>
      </x:c>
      <x:c r="M146" s="275" t="str">
        <x:v>BIDS</x:v>
      </x:c>
      <x:c r="N146" s="275" t="str">
        <x:v>raw BIDS</x:v>
      </x:c>
      <x:c r="O146" s="275" t="str">
        <x:v>公开下载：OpenNeuro PURSUE series，CC0，可网页、OpenNeuro CLI 或 DataLad 获取。</x:v>
      </x:c>
      <x:c r="P146" s="275" t="str">
        <x:v>Couperus; Bukach; Reed</x:v>
      </x:c>
      <x:c r="Q146" s="275" t="str">
        <x:v>04_Cognition_and_Emotion/Cognitive_Task_Recognition/PURSUE_ERP_Benchmark_Suite</x:v>
      </x:c>
      <x:c r="R146" s="275" t="str">
        <x:v>存在公开仓库、官方入口或稳定数据访问号</x:v>
      </x:c>
      <x:c r="S146" s="275"/>
      <x:c r="T146" s="275"/>
      <x:c r="U146" s="276"/>
    </x:row>
    <x:row r="147" ht="60" customHeight="1">
      <x:c r="A147" s="264" t="str">
        <x:v>EEG-0243</x:v>
      </x:c>
      <x:c r="B147" s="257" t="str">
        <x:v>04_Cognition_and_Emotion</x:v>
      </x:c>
      <x:c r="C147" s="257" t="str">
        <x:v>Cognitive_Task_Recognition</x:v>
      </x:c>
      <x:c r="D147" s="257" t="str">
        <x:v>Real-time EEG feedback on alpha power lateralization leads to behavioral improvements in a covert attention task</x:v>
      </x:c>
      <x:c r="E147" s="257"/>
      <x:c r="F147" s="257" t="str">
        <x:v>OpenNeuro:ds002034 | DOI:10.1007/s10548-019-00725-9</x:v>
      </x:c>
      <x:c r="G147" s="257" t="str">
        <x:v>DOWNLOAD_PUBLIC</x:v>
      </x:c>
      <x:c r="H147" s="257" t="str">
        <x:v>https://openneuro.org/datasets/ds002034</x:v>
      </x:c>
      <x:c r="I147" s="257" t="str">
        <x:v>Covert visuospatial attention</x:v>
      </x:c>
      <x:c r="J147" s="257" t="str">
        <x:v>14</x:v>
      </x:c>
      <x:c r="K147" s="257" t="str">
        <x:v>64</x:v>
      </x:c>
      <x:c r="L147" s="257" t="str">
        <x:v>512 Hz</x:v>
      </x:c>
      <x:c r="M147" s="257" t="str">
        <x:v>BIDS</x:v>
      </x:c>
      <x:c r="N147" s="257" t="str">
        <x:v>RAW</x:v>
      </x:c>
      <x:c r="O147" s="257" t="str">
        <x:v>Fully open</x:v>
      </x:c>
      <x:c r="P147" s="257" t="str">
        <x:v>DOI: 10.1007/s10548-019-00725-9</x:v>
      </x:c>
      <x:c r="Q147" s="257" t="str">
        <x:v>04_Cognition_and_Emotion/Cognitive_Task_Recognition/Real-time_EEG_feedback_on_alpha_power_lateralization_leads_to_behavioral_improvements_in_a</x:v>
      </x:c>
      <x:c r="R147" s="257" t="str">
        <x:v>存在公开仓库、官方入口或稳定数据访问号</x:v>
      </x:c>
      <x:c r="S147" s="257"/>
      <x:c r="T147" s="257"/>
      <x:c r="U147" s="213"/>
    </x:row>
    <x:row r="148" ht="60" customHeight="1">
      <x:c r="A148" s="274" t="str">
        <x:v>EEG-0244</x:v>
      </x:c>
      <x:c r="B148" s="275" t="str">
        <x:v>04_Cognition_and_Emotion</x:v>
      </x:c>
      <x:c r="C148" s="275" t="str">
        <x:v>Cognitive_Task_Recognition</x:v>
      </x:c>
      <x:c r="D148" s="275" t="str">
        <x:v>Selective auditory attention in CI users - EEG data</x:v>
      </x:c>
      <x:c r="E148" s="275"/>
      <x:c r="F148" s="275" t="str">
        <x:v>Zenodo:10980117 | DOI:10.1088/1741-2552/addb7b</x:v>
      </x:c>
      <x:c r="G148" s="275" t="str">
        <x:v>DOWNLOAD_PUBLIC</x:v>
      </x:c>
      <x:c r="H148" s="275" t="str">
        <x:v>https://zenodo.org/records/10980117</x:v>
      </x:c>
      <x:c r="I148" s="275" t="str">
        <x:v>Selective auditory attention</x:v>
      </x:c>
      <x:c r="J148" s="275" t="str">
        <x:v>25</x:v>
      </x:c>
      <x:c r="K148" s="275" t="str">
        <x:v>32</x:v>
      </x:c>
      <x:c r="L148" s="275" t="str">
        <x:v>1000 Hz</x:v>
      </x:c>
      <x:c r="M148" s="275" t="str">
        <x:v>.hdf5</x:v>
      </x:c>
      <x:c r="N148" s="275" t="str">
        <x:v>Both</x:v>
      </x:c>
      <x:c r="O148" s="275" t="str">
        <x:v>Fully open</x:v>
      </x:c>
      <x:c r="P148" s="275" t="str">
        <x:v>DOI: 10.1088/1741-2552/addb7b</x:v>
      </x:c>
      <x:c r="Q148" s="275" t="str">
        <x:v>04_Cognition_and_Emotion/Cognitive_Task_Recognition/Selective_auditory_attention_in_CI_users_-_EEG_data</x:v>
      </x:c>
      <x:c r="R148" s="275" t="str">
        <x:v>存在公开仓库、官方入口或稳定数据访问号</x:v>
      </x:c>
      <x:c r="S148" s="275"/>
      <x:c r="T148" s="275"/>
      <x:c r="U148" s="276"/>
    </x:row>
    <x:row r="149" ht="60" customHeight="1">
      <x:c r="A149" s="264" t="str">
        <x:v>EEG-0248</x:v>
      </x:c>
      <x:c r="B149" s="257" t="str">
        <x:v>04_Cognition_and_Emotion</x:v>
      </x:c>
      <x:c r="C149" s="257" t="str">
        <x:v>Cognitive_Task_Recognition</x:v>
      </x:c>
      <x:c r="D149" s="257" t="str">
        <x:v>Song Familiarity EEG</x:v>
      </x:c>
      <x:c r="E149" s="257"/>
      <x:c r="F149" s="257" t="str">
        <x:v>OpenNeuro:ds005876</x:v>
      </x:c>
      <x:c r="G149" s="257" t="str">
        <x:v>DOWNLOAD_PUBLIC</x:v>
      </x:c>
      <x:c r="H149" s="257" t="str">
        <x:v>[OpenNeuro ds005876](https://openneuro.org/datasets/ds005876/versions/1.0.1)</x:v>
      </x:c>
      <x:c r="I149" s="257" t="str">
        <x:v>song familiarity；music memory / auditory cognition EEG</x:v>
      </x:c>
      <x:c r="J149" s="257" t="str">
        <x:v>29</x:v>
      </x:c>
      <x:c r="K149" s="257" t="str">
        <x:v>32</x:v>
      </x:c>
      <x:c r="L149" s="257" t="str">
        <x:v>1000Hz</x:v>
      </x:c>
      <x:c r="M149" s="257" t="str">
        <x:v>BIDS</x:v>
      </x:c>
      <x:c r="N149" s="257" t="str">
        <x:v>raw BIDS</x:v>
      </x:c>
      <x:c r="O149" s="257" t="str">
        <x:v>公开下载：OpenNeuro ds005876 v1.0.1；可网页、OpenNeuro CLI 或 DataLad 获取。</x:v>
      </x:c>
      <x:c r="P149" s="257" t="str">
        <x:v>Jared R. Girard; Aaron M. Bishop; Cameron D. Hassall</x:v>
      </x:c>
      <x:c r="Q149" s="257" t="str">
        <x:v>04_Cognition_and_Emotion/Cognitive_Task_Recognition/Song_Familiarity_EEG</x:v>
      </x:c>
      <x:c r="R149" s="257" t="str">
        <x:v>存在公开仓库、官方入口或稳定数据访问号</x:v>
      </x:c>
      <x:c r="S149" s="257"/>
      <x:c r="T149" s="257"/>
      <x:c r="U149" s="213"/>
    </x:row>
    <x:row r="150" ht="60" customHeight="1">
      <x:c r="A150" s="274" t="str">
        <x:v>EEG-0249</x:v>
      </x:c>
      <x:c r="B150" s="275" t="str">
        <x:v>04_Cognition_and_Emotion</x:v>
      </x:c>
      <x:c r="C150" s="275" t="str">
        <x:v>Cognitive_Task_Recognition</x:v>
      </x:c>
      <x:c r="D150" s="275" t="str">
        <x:v>Spatial memory and non-invasive closed-loop stimulus timing</x:v>
      </x:c>
      <x:c r="E150" s="275"/>
      <x:c r="F150" s="275" t="str">
        <x:v>OpenNeuro:ds004706 | DOI:10.18112/openneuro.ds004706.v1.0.0</x:v>
      </x:c>
      <x:c r="G150" s="275" t="str">
        <x:v>DOWNLOAD_PUBLIC</x:v>
      </x:c>
      <x:c r="H150" s="275" t="str">
        <x:v>[OpenNeuro ds004706](https://openneuro.org/datasets/ds004706/versions/1.0.0)</x:v>
      </x:c>
      <x:c r="I150" s="275" t="str">
        <x:v>NiclsCourierClosedLoop; NiclsCourierReadOnly</x:v>
      </x:c>
      <x:c r="J150" s="275" t="str">
        <x:v>34</x:v>
      </x:c>
      <x:c r="K150" s="275" t="str">
        <x:v>128</x:v>
      </x:c>
      <x:c r="L150" s="275" t="str">
        <x:v>2048Hz</x:v>
      </x:c>
      <x:c r="M150" s="275" t="str">
        <x:v>BIDS</x:v>
      </x:c>
      <x:c r="N150" s="275" t="str">
        <x:v>raw BIDS</x:v>
      </x:c>
      <x:c r="O150" s="275" t="str">
        <x:v>OpenNeuro public download; ds004706 v1.0.0; license CC0; use web / OpenNeuro CLI / DataLad.</x:v>
      </x:c>
      <x:c r="P150" s="275" t="str">
        <x:v>Joseph H. Rudoler; Matthew R. Dougherty; Brandon S. Katerman; James P. Bruska; Woohyeuk Chang; doi:10.18112/openneuro.ds004706.v1.0.0</x:v>
      </x:c>
      <x:c r="Q150" s="275" t="str">
        <x:v>04_Cognition_and_Emotion/Cognitive_Task_Recognition/Spatial_memory_and_non-invasive_closed-loop_stimulus_timing</x:v>
      </x:c>
      <x:c r="R150" s="275" t="str">
        <x:v>存在公开仓库、官方入口或稳定数据访问号</x:v>
      </x:c>
      <x:c r="S150" s="275"/>
      <x:c r="T150" s="275"/>
      <x:c r="U150" s="276"/>
    </x:row>
    <x:row r="151" ht="60" customHeight="1">
      <x:c r="A151" s="264" t="str">
        <x:v>EEG-0251</x:v>
      </x:c>
      <x:c r="B151" s="257" t="str">
        <x:v>04_Cognition_and_Emotion</x:v>
      </x:c>
      <x:c r="C151" s="257" t="str">
        <x:v>Cognitive_Task_Recognition</x:v>
      </x:c>
      <x:c r="D151" s="257" t="str">
        <x:v>SRM Resting-state EEG</x:v>
      </x:c>
      <x:c r="E151" s="257" t="str">
        <x:v>SRM (SRM resting-state EEG)</x:v>
      </x:c>
      <x:c r="F151" s="257" t="str">
        <x:v>OpenNeuro:ds003775</x:v>
      </x:c>
      <x:c r="G151" s="257" t="str">
        <x:v>DOWNLOAD_PUBLIC</x:v>
      </x:c>
      <x:c r="H151" s="257" t="str">
        <x:v>[OpenNeuro ds003775](https://openneuro.org/datasets/ds003775/versions/1.2.1)</x:v>
      </x:c>
      <x:c r="I151" s="257" t="str">
        <x:v>resting-state EEG；memory / cognitive questionnaire correlates</x:v>
      </x:c>
      <x:c r="J151" s="257" t="str">
        <x:v>111</x:v>
      </x:c>
      <x:c r="K151" s="257" t="str">
        <x:v>64</x:v>
      </x:c>
      <x:c r="L151" s="257" t="str">
        <x:v>1024Hz</x:v>
      </x:c>
      <x:c r="M151" s="257" t="str">
        <x:v>BIDS</x:v>
      </x:c>
      <x:c r="N151" s="257" t="str">
        <x:v>raw BIDS</x:v>
      </x:c>
      <x:c r="O151" s="257" t="str">
        <x:v>公开下载：OpenNeuro ds003775 v1.2.1；CC0，可网页、OpenNeuro CLI 或 DataLad 获取。</x:v>
      </x:c>
      <x:c r="P151" s="257" t="str">
        <x:v>Christoffer Hatlestad-Hall; Trine Waage Rygvold; Stein Andersson</x:v>
      </x:c>
      <x:c r="Q151" s="257" t="str">
        <x:v>04_Cognition_and_Emotion/Cognitive_Task_Recognition/SRM_Resting-state_EEG</x:v>
      </x:c>
      <x:c r="R151" s="257" t="str">
        <x:v>存在公开仓库、官方入口或稳定数据访问号</x:v>
      </x:c>
      <x:c r="S151" s="257"/>
      <x:c r="T151" s="257"/>
      <x:c r="U151" s="213"/>
    </x:row>
    <x:row r="152" ht="60" customHeight="1">
      <x:c r="A152" s="274" t="str">
        <x:v>EEG-0252</x:v>
      </x:c>
      <x:c r="B152" s="275" t="str">
        <x:v>04_Cognition_and_Emotion</x:v>
      </x:c>
      <x:c r="C152" s="275" t="str">
        <x:v>Cognitive_Task_Recognition</x:v>
      </x:c>
      <x:c r="D152" s="275" t="str">
        <x:v>STERNBERG DIFFICULT</x:v>
      </x:c>
      <x:c r="E152" s="275"/>
      <x:c r="F152" s="275" t="str">
        <x:v>OpenNeuro:ds005095 | DOI:10.18112/openneuro.ds005095.v1.0.2</x:v>
      </x:c>
      <x:c r="G152" s="275" t="str">
        <x:v>DOWNLOAD_PUBLIC</x:v>
      </x:c>
      <x:c r="H152" s="275" t="str">
        <x:v>[OpenNeuro ds005095](https://openneuro.org/datasets/ds005095/versions/1.0.2)</x:v>
      </x:c>
      <x:c r="I152" s="275" t="str">
        <x:v>STERNBERG</x:v>
      </x:c>
      <x:c r="J152" s="275" t="str">
        <x:v>48</x:v>
      </x:c>
      <x:c r="K152" s="275" t="str">
        <x:v>63</x:v>
      </x:c>
      <x:c r="L152" s="275" t="str">
        <x:v>1000Hz</x:v>
      </x:c>
      <x:c r="M152" s="275" t="str">
        <x:v>BIDS</x:v>
      </x:c>
      <x:c r="N152" s="275" t="str">
        <x:v>raw BIDS</x:v>
      </x:c>
      <x:c r="O152" s="275" t="str">
        <x:v>OpenNeuro public download; ds005095 v1.0.2; license CC0; use web / OpenNeuro CLI / DataLad.</x:v>
      </x:c>
      <x:c r="P152" s="275" t="str">
        <x:v>Natalia Zhozhikashvili; Maria Protopova; Tatiana Shkurenko; Marie Arsalidou; Ilya Zakharov; doi:10.18112/openneuro.ds005095.v1.0.2</x:v>
      </x:c>
      <x:c r="Q152" s="275" t="str">
        <x:v>04_Cognition_and_Emotion/Cognitive_Task_Recognition/STERNBERG_DIFFICULT</x:v>
      </x:c>
      <x:c r="R152" s="275" t="str">
        <x:v>存在公开仓库、官方入口或稳定数据访问号</x:v>
      </x:c>
      <x:c r="S152" s="275"/>
      <x:c r="T152" s="275"/>
      <x:c r="U152" s="276"/>
    </x:row>
    <x:row r="153" ht="60" customHeight="1">
      <x:c r="A153" s="264" t="str">
        <x:v>EEG-0253</x:v>
      </x:c>
      <x:c r="B153" s="257" t="str">
        <x:v>04_Cognition_and_Emotion</x:v>
      </x:c>
      <x:c r="C153" s="257" t="str">
        <x:v>Cognitive_Task_Recognition</x:v>
      </x:c>
      <x:c r="D153" s="257" t="str">
        <x:v>Stroop High-Altitude (EEG-fNIRS)</x:v>
      </x:c>
      <x:c r="E153" s="257" t="str">
        <x:v>Ji High-altitude Stroop EEG-fNIRS Dataset</x:v>
      </x:c>
      <x:c r="F153" s="257" t="str">
        <x:v>Figshare:24803499 | DOI:10.6084/m9.figshare.c.6979581.v1</x:v>
      </x:c>
      <x:c r="G153" s="257" t="str">
        <x:v>DOWNLOAD_PUBLIC</x:v>
      </x:c>
      <x:c r="H153" s="257" t="str">
        <x:v>https://doi.org/10.6084/m9.figshare.c.6979581.v1</x:v>
      </x:c>
      <x:c r="I153" s="257" t="str">
        <x:v>Stroop task during high-altitude exposure (EEG-fNIRS)</x:v>
      </x:c>
      <x:c r="J153" s="257" t="str">
        <x:v>80</x:v>
      </x:c>
      <x:c r="K153" s="257" t="str">
        <x:v>64</x:v>
      </x:c>
      <x:c r="L153" s="257" t="str">
        <x:v>1000 Hz</x:v>
      </x:c>
      <x:c r="M153" s="257" t="str">
        <x:v>MAT</x:v>
      </x:c>
      <x:c r="N153" s="257" t="str">
        <x:v>Raw (EEG/fNIRS/behavior .mat)</x:v>
      </x:c>
      <x:c r="O153" s="257" t="str">
        <x:v>Open (figshare c.6979581)</x:v>
      </x:c>
      <x:c r="P153" s="257" t="str">
        <x:v>EEG and fNIRS datasets based on Stroop task during two weeks of high-altitude exposure in new immigrants. Ji et al., 2024, Scientific Data 11:350.</x:v>
      </x:c>
      <x:c r="Q153" s="257" t="str">
        <x:v>04_Cognition_and_Emotion/Cognitive_Task_Recognition/Stroop_High-Altitude_EEG-fNIRS</x:v>
      </x:c>
      <x:c r="R153" s="257" t="str">
        <x:v>存在公开仓库、官方入口或稳定数据访问号</x:v>
      </x:c>
      <x:c r="S153" s="257"/>
      <x:c r="T153" s="257"/>
      <x:c r="U153" s="213"/>
    </x:row>
    <x:row r="154" ht="60" customHeight="1">
      <x:c r="A154" s="274" t="str">
        <x:v>EEG-0254</x:v>
      </x:c>
      <x:c r="B154" s="275" t="str">
        <x:v>04_Cognition_and_Emotion</x:v>
      </x:c>
      <x:c r="C154" s="275" t="str">
        <x:v>Cognitive_Task_Recognition</x:v>
      </x:c>
      <x:c r="D154" s="275" t="str">
        <x:v>The time-course of feature-based attention effects dissociated from temporal expectation and target-related processes</x:v>
      </x:c>
      <x:c r="E154" s="275"/>
      <x:c r="F154" s="275" t="str">
        <x:v>OpenNeuro:ds004043 | DOI:10.18112/openneuro.ds004043.v1.1.0</x:v>
      </x:c>
      <x:c r="G154" s="275" t="str">
        <x:v>DOWNLOAD_PUBLIC</x:v>
      </x:c>
      <x:c r="H154" s="275" t="str">
        <x:v>[OpenNeuro ds004043](https://openneuro.org/datasets/ds004043/versions/1.1.0)</x:v>
      </x:c>
      <x:c r="I154" s="275" t="str">
        <x:v>Temporal expectation</x:v>
      </x:c>
      <x:c r="J154" s="275" t="str">
        <x:v>20</x:v>
      </x:c>
      <x:c r="K154" s="275" t="str">
        <x:v>63</x:v>
      </x:c>
      <x:c r="L154" s="275" t="str">
        <x:v>1000Hz</x:v>
      </x:c>
      <x:c r="M154" s="275" t="str">
        <x:v>BIDS</x:v>
      </x:c>
      <x:c r="N154" s="275" t="str">
        <x:v>raw BIDS</x:v>
      </x:c>
      <x:c r="O154" s="275" t="str">
        <x:v>OpenNeuro public download; ds004043 v1.1.0; license CC0; use web / OpenNeuro CLI / DataLad.</x:v>
      </x:c>
      <x:c r="P154" s="275" t="str">
        <x:v>Moerel, Denise; Grootswagers, Tijl; Robinson, Amanda; Shatek, Sophia; Woolgar, Alexandra; doi:10.18112/openneuro.ds004043.v1.1.0</x:v>
      </x:c>
      <x:c r="Q154" s="275" t="str">
        <x:v>04_Cognition_and_Emotion/Cognitive_Task_Recognition/The_time-course_of_feature-based_attention_effects_dissociated_from_temporal_expectation_a</x:v>
      </x:c>
      <x:c r="R154" s="275" t="str">
        <x:v>存在公开仓库、官方入口或稳定数据访问号</x:v>
      </x:c>
      <x:c r="S154" s="275"/>
      <x:c r="T154" s="275"/>
      <x:c r="U154" s="276"/>
    </x:row>
    <x:row r="155" ht="60" customHeight="1">
      <x:c r="A155" s="264" t="str">
        <x:v>EEG-0255</x:v>
      </x:c>
      <x:c r="B155" s="257" t="str">
        <x:v>04_Cognition_and_Emotion</x:v>
      </x:c>
      <x:c r="C155" s="257" t="str">
        <x:v>Cognitive_Task_Recognition</x:v>
      </x:c>
      <x:c r="D155" s="257" t="str">
        <x:v>Visual Oddball Task (256 channels)</x:v>
      </x:c>
      <x:c r="E155" s="257"/>
      <x:c r="F155" s="257" t="str">
        <x:v>OpenNeuro:ds002578 | DOI:10.1371/journal.pbio.0020176</x:v>
      </x:c>
      <x:c r="G155" s="257" t="str">
        <x:v>DOWNLOAD_PUBLIC</x:v>
      </x:c>
      <x:c r="H155" s="257" t="str">
        <x:v>https://openneuro.org/datasets/ds002578</x:v>
      </x:c>
      <x:c r="I155" s="257" t="str">
        <x:v>visual selective attention</x:v>
      </x:c>
      <x:c r="J155" s="257" t="str">
        <x:v>2</x:v>
      </x:c>
      <x:c r="K155" s="257" t="str">
        <x:v>256</x:v>
      </x:c>
      <x:c r="L155" s="257" t="str">
        <x:v>256 Hz</x:v>
      </x:c>
      <x:c r="M155" s="257" t="str">
        <x:v>BDF</x:v>
      </x:c>
      <x:c r="N155" s="257" t="str">
        <x:v>RAW</x:v>
      </x:c>
      <x:c r="O155" s="257" t="str">
        <x:v>Fully open</x:v>
      </x:c>
      <x:c r="P155" s="257" t="str">
        <x:v>DOI： 10.1371/journal.pbio.0020176</x:v>
      </x:c>
      <x:c r="Q155" s="257" t="str">
        <x:v>04_Cognition_and_Emotion/Cognitive_Task_Recognition/Visual_Oddball_Task_256_channels</x:v>
      </x:c>
      <x:c r="R155" s="257" t="str">
        <x:v>存在公开仓库、官方入口或稳定数据访问号</x:v>
      </x:c>
      <x:c r="S155" s="257"/>
      <x:c r="T155" s="257"/>
      <x:c r="U155" s="213"/>
    </x:row>
    <x:row r="156" ht="60" customHeight="1">
      <x:c r="A156" s="274" t="str">
        <x:v>EEG-0256</x:v>
      </x:c>
      <x:c r="B156" s="275" t="str">
        <x:v>04_Cognition_and_Emotion</x:v>
      </x:c>
      <x:c r="C156" s="275" t="str">
        <x:v>Workload_Detection</x:v>
      </x:c>
      <x:c r="D156" s="275" t="str">
        <x:v>Workload (MATB-II)</x:v>
      </x:c>
      <x:c r="E156" s="275"/>
      <x:c r="F156" s="275" t="str">
        <x:v>Zenodo:4917218</x:v>
      </x:c>
      <x:c r="G156" s="275" t="str">
        <x:v>DOWNLOAD_PUBLIC</x:v>
      </x:c>
      <x:c r="H156" s="275" t="str">
        <x:v>https://zenodo.org/records/4917218</x:v>
      </x:c>
      <x:c r="I156" s="275" t="str">
        <x:v>Cross-session mental workload (3 difficulty levels)</x:v>
      </x:c>
      <x:c r="J156" s="275" t="str">
        <x:v>48</x:v>
      </x:c>
      <x:c r="K156" s="275" t="str">
        <x:v>14 (EMOTIV Epoc)</x:v>
      </x:c>
      <x:c r="L156" s="275" t="str">
        <x:v>128 Hz</x:v>
      </x:c>
      <x:c r="M156" s="275" t="str">
        <x:v>EEGLAB / BrainVision</x:v>
      </x:c>
      <x:c r="N156" s="275" t="str">
        <x:v>Raw</x:v>
      </x:c>
      <x:c r="O156" s="275" t="str">
        <x:v>Open, CC BY-SA 4.0</x:v>
      </x:c>
      <x:c r="P156" s="275" t="str">
        <x:v>Open multi-session and multi-task EEG cognitive dataset for passive BCI (COG-BCI), MATB workload subset. Hinss et al., 2023, Scientific Data 10:85.</x:v>
      </x:c>
      <x:c r="Q156" s="275" t="str">
        <x:v>04_Cognition_and_Emotion/Workload_Detection/Workload_MATB-II</x:v>
      </x:c>
      <x:c r="R156" s="275" t="str">
        <x:v>存在公开仓库、官方入口或稳定数据访问号</x:v>
      </x:c>
      <x:c r="S156" s="275"/>
      <x:c r="T156" s="275"/>
      <x:c r="U156" s="276"/>
    </x:row>
    <x:row r="157" ht="60" customHeight="1">
      <x:c r="A157" s="264" t="str">
        <x:v>EEG-0257</x:v>
      </x:c>
      <x:c r="B157" s="257" t="str">
        <x:v>04_Cognition_and_Emotion</x:v>
      </x:c>
      <x:c r="C157" s="257" t="str">
        <x:v>ERP_and_Event_Detection</x:v>
      </x:c>
      <x:c r="D157" s="257" t="str">
        <x:v>Auditory and Visual Rhythm Omission EEG</x:v>
      </x:c>
      <x:c r="E157" s="257"/>
      <x:c r="F157" s="257" t="str">
        <x:v>OpenNeuro:ds002218</x:v>
      </x:c>
      <x:c r="G157" s="257" t="str">
        <x:v>DOWNLOAD_PUBLIC</x:v>
      </x:c>
      <x:c r="H157" s="257" t="str">
        <x:v>https://openneuro.org/datasets/ds002218</x:v>
      </x:c>
      <x:c r="I157" s="257" t="str">
        <x:v>auditory/visual rhythm omission；prediction / entrainment ERP</x:v>
      </x:c>
      <x:c r="J157" s="257" t="str">
        <x:v>18</x:v>
      </x:c>
      <x:c r="K157" s="257" t="str">
        <x:v>32</x:v>
      </x:c>
      <x:c r="L157" s="257" t="str">
        <x:v>256 Hz</x:v>
      </x:c>
      <x:c r="M157" s="257" t="str">
        <x:v>.set .fdt</x:v>
      </x:c>
      <x:c r="N157" s="257" t="str">
        <x:v>preprocessed data</x:v>
      </x:c>
      <x:c r="O157" s="257" t="str">
        <x:v>公开下载：OpenNeuro ds002218 v2.0.0；CC0，可网页、OpenNeuro CLI 或 DataLad 获取。</x:v>
      </x:c>
      <x:c r="P157" s="257" t="str">
        <x:v>Daniel C. Comstock; Ramesh Balasubramaniam</x:v>
      </x:c>
      <x:c r="Q157" s="257" t="str">
        <x:v>04_Cognition_and_Emotion/ERP_and_Event_Detection/Auditory_and_Visual_Rhythm_Omission_EEG</x:v>
      </x:c>
      <x:c r="R157" s="257" t="str">
        <x:v>存在公开仓库、官方入口或稳定数据访问号</x:v>
      </x:c>
      <x:c r="S157" s="257"/>
      <x:c r="T157" s="257"/>
      <x:c r="U157" s="213"/>
    </x:row>
    <x:row r="158" ht="60" customHeight="1">
      <x:c r="A158" s="274" t="str">
        <x:v>EEG-0260</x:v>
      </x:c>
      <x:c r="B158" s="275" t="str">
        <x:v>04_Cognition_and_Emotion</x:v>
      </x:c>
      <x:c r="C158" s="275" t="str">
        <x:v>ERP_and_Event_Detection</x:v>
      </x:c>
      <x:c r="D158" s="275" t="str">
        <x:v>BNCI 005-2014 (Auditory oddball during hypnosis)</x:v>
      </x:c>
      <x:c r="E158" s="275"/>
      <x:c r="F158" s="275" t="str">
        <x:v>BNCI:BNCI 005-2014</x:v>
      </x:c>
      <x:c r="G158" s="275" t="str">
        <x:v>DOWNLOAD_APPLICATION_REQUIRED</x:v>
      </x:c>
      <x:c r="H158" s="275" t="str">
        <x:v>http://bnci-horizon-2020.eu/database/data-sets</x:v>
      </x:c>
      <x:c r="I158" s="275" t="str">
        <x:v>Auditory oddball paradigm before and after hypnotic induction</x:v>
      </x:c>
      <x:c r="J158" s="275" t="str">
        <x:v>2</x:v>
      </x:c>
      <x:c r="K158" s="275" t="str">
        <x:v>27 EEG + 4 EOG channels</x:v>
      </x:c>
      <x:c r="L158" s="275" t="str">
        <x:v>512 Hz</x:v>
      </x:c>
      <x:c r="M158" s="275" t="str">
        <x:v>MAT</x:v>
      </x:c>
      <x:c r="N158" s="275" t="str">
        <x:v>Raw EEG</x:v>
      </x:c>
      <x:c r="O158" s="275" t="str">
        <x:v>Open, CC BY-NC-ND 4.0, no application</x:v>
      </x:c>
      <x:c r="P158" s="275" t="str">
        <x:v>A. Kübler, Univ. Würzburg</x:v>
      </x:c>
      <x:c r="Q158" s="275" t="str">
        <x:v>04_Cognition_and_Emotion/ERP_and_Event_Detection/BNCI_005-2014_Auditory_oddball_during_hypnosis</x:v>
      </x:c>
      <x:c r="R158" s="275" t="str">
        <x:v>官方数据存在，但需申请、签署协议或获得权限</x:v>
      </x:c>
      <x:c r="S158" s="275"/>
      <x:c r="T158" s="275"/>
      <x:c r="U158" s="276"/>
    </x:row>
    <x:row r="159" ht="60" customHeight="1">
      <x:c r="A159" s="264" t="str">
        <x:v>EEG-0261</x:v>
      </x:c>
      <x:c r="B159" s="257" t="str">
        <x:v>04_Cognition_and_Emotion</x:v>
      </x:c>
      <x:c r="C159" s="257" t="str">
        <x:v>ERP_and_Event_Detection</x:v>
      </x:c>
      <x:c r="D159" s="257" t="str">
        <x:v>BNCI 007-2014 (Two-finger gameplay with deliberately failing controller)</x:v>
      </x:c>
      <x:c r="E159" s="257"/>
      <x:c r="F159" s="257" t="str">
        <x:v>BNCI:BNCI 007-2014</x:v>
      </x:c>
      <x:c r="G159" s="257" t="str">
        <x:v>DOWNLOAD_PUBLIC</x:v>
      </x:c>
      <x:c r="H159" s="257" t="str">
        <x:v>http://bnci-horizon-2020.eu/database/data-sets</x:v>
      </x:c>
      <x:c r="I159" s="257" t="str">
        <x:v>Two-finger gameplay key tapping to elicit ErrP</x:v>
      </x:c>
      <x:c r="J159" s="257" t="str">
        <x:v>10</x:v>
      </x:c>
      <x:c r="K159" s="257" t="str">
        <x:v>32 EEG + EOG channels</x:v>
      </x:c>
      <x:c r="L159" s="257" t="str">
        <x:v>512 Hz</x:v>
      </x:c>
      <x:c r="M159" s="257" t="str">
        <x:v>MAT</x:v>
      </x:c>
      <x:c r="N159" s="257" t="str">
        <x:v>Raw EEG</x:v>
      </x:c>
      <x:c r="O159" s="257" t="str">
        <x:v>Open Access</x:v>
      </x:c>
      <x:c r="P159" s="257" t="str">
        <x:v>van de Laar et al. 2012</x:v>
      </x:c>
      <x:c r="Q159" s="257" t="str">
        <x:v>04_Cognition_and_Emotion/ERP_and_Event_Detection/BNCI_007-2014_Two-finger_gameplay_with_deliberately_failing_controller</x:v>
      </x:c>
      <x:c r="R159" s="257" t="str">
        <x:v>存在公开仓库、官方入口或稳定数据访问号</x:v>
      </x:c>
      <x:c r="S159" s="257"/>
      <x:c r="T159" s="257"/>
      <x:c r="U159" s="213"/>
    </x:row>
    <x:row r="160" ht="60" customHeight="1">
      <x:c r="A160" s="274" t="str">
        <x:v>EEG-0265</x:v>
      </x:c>
      <x:c r="B160" s="275" t="str">
        <x:v>04_Cognition_and_Emotion</x:v>
      </x:c>
      <x:c r="C160" s="275" t="str">
        <x:v>ERP_and_Event_Detection</x:v>
      </x:c>
      <x:c r="D160" s="275" t="str">
        <x:v>Drum Trainer</x:v>
      </x:c>
      <x:c r="E160" s="275"/>
      <x:c r="F160" s="275" t="str">
        <x:v>OpenNeuro:ds004152 | DOI:10.18112/openneuro.ds004152.v1.1.2</x:v>
      </x:c>
      <x:c r="G160" s="275" t="str">
        <x:v>DOWNLOAD_PUBLIC</x:v>
      </x:c>
      <x:c r="H160" s="275" t="str">
        <x:v>https://openneuro.org/datasets/ds004152</x:v>
      </x:c>
      <x:c r="I160" s="275" t="str">
        <x:v>ERP / Motor (drumming task)</x:v>
      </x:c>
      <x:c r="J160" s="275" t="str">
        <x:v>21</x:v>
      </x:c>
      <x:c r="K160" s="275" t="str">
        <x:v>31</x:v>
      </x:c>
      <x:c r="L160" s="275" t="str">
        <x:v>1000Hz</x:v>
      </x:c>
      <x:c r="M160" s="275" t="str">
        <x:v>BIDS</x:v>
      </x:c>
      <x:c r="N160" s="275" t="str">
        <x:v>raw BIDS</x:v>
      </x:c>
      <x:c r="O160" s="275" t="str">
        <x:v>OpenNeuro public download; ds004152 v1.1.2; license CC0; use web / OpenNeuro CLI / DataLad.</x:v>
      </x:c>
      <x:c r="P160" s="275" t="str">
        <x:v>Cameron D. Hassall; Yan Yan; Laurence T. Hunt; doi:10.18112/openneuro.ds004152.v1.1.2</x:v>
      </x:c>
      <x:c r="Q160" s="275" t="str">
        <x:v>04_Cognition_and_Emotion/ERP_and_Event_Detection/Drum_Trainer</x:v>
      </x:c>
      <x:c r="R160" s="275" t="str">
        <x:v>存在公开仓库、官方入口或稳定数据访问号</x:v>
      </x:c>
      <x:c r="S160" s="275"/>
      <x:c r="T160" s="275"/>
      <x:c r="U160" s="276"/>
    </x:row>
    <x:row r="161" ht="60" customHeight="1">
      <x:c r="A161" s="264" t="str">
        <x:v>EEG-0268</x:v>
      </x:c>
      <x:c r="B161" s="257" t="str">
        <x:v>04_Cognition_and_Emotion</x:v>
      </x:c>
      <x:c r="C161" s="257" t="str">
        <x:v>ERP_and_Event_Detection</x:v>
      </x:c>
      <x:c r="D161" s="257" t="str">
        <x:v>Face processing EEG dataset for EEGLAB</x:v>
      </x:c>
      <x:c r="E161" s="257"/>
      <x:c r="F161" s="257" t="str">
        <x:v>OpenNeuro:ds002718</x:v>
      </x:c>
      <x:c r="G161" s="257" t="str">
        <x:v>DOWNLOAD_PUBLIC</x:v>
      </x:c>
      <x:c r="H161" s="257" t="str">
        <x:v>https://openneuro.org/datasets/ds002718</x:v>
      </x:c>
      <x:c r="I161" s="257" t="str">
        <x:v>face recognition / visual face processing ERP</x:v>
      </x:c>
      <x:c r="J161" s="257" t="str">
        <x:v>18</x:v>
      </x:c>
      <x:c r="K161" s="257" t="str">
        <x:v>70 EEG + 2 EOG</x:v>
      </x:c>
      <x:c r="L161" s="257" t="str">
        <x:v>250 Hz</x:v>
      </x:c>
      <x:c r="M161" s="257" t="str">
        <x:v>EEGLAB (.set) / BIDS</x:v>
      </x:c>
      <x:c r="N161" s="257" t="str">
        <x:v>preprocessed data</x:v>
      </x:c>
      <x:c r="O161" s="257" t="str">
        <x:v>公开下载：OpenNeuro ds002718 v1.1.0；CC0，可网页、OpenNeuro CLI 或 DataLad 获取。</x:v>
      </x:c>
      <x:c r="P161" s="257" t="str">
        <x:v>Daniel G. Wakeman, Richard N. Henson</x:v>
      </x:c>
      <x:c r="Q161" s="257" t="str">
        <x:v>04_Cognition_and_Emotion/ERP_and_Event_Detection/Face_processing_EEG_dataset_for_EEGLAB</x:v>
      </x:c>
      <x:c r="R161" s="257" t="str">
        <x:v>存在公开仓库、官方入口或稳定数据访问号</x:v>
      </x:c>
      <x:c r="S161" s="257"/>
      <x:c r="T161" s="257"/>
      <x:c r="U161" s="213"/>
    </x:row>
    <x:row r="162" ht="60" customHeight="1">
      <x:c r="A162" s="274" t="str">
        <x:v>EEG-0270</x:v>
      </x:c>
      <x:c r="B162" s="275" t="str">
        <x:v>04_Cognition_and_Emotion</x:v>
      </x:c>
      <x:c r="C162" s="275" t="str">
        <x:v>ERP_and_Event_Detection</x:v>
      </x:c>
      <x:c r="D162" s="275" t="str">
        <x:v>HeartBEAM Older Adult Resting</x:v>
      </x:c>
      <x:c r="E162" s="275"/>
      <x:c r="F162" s="275" t="str">
        <x:v>OpenNeuro:ds006466</x:v>
      </x:c>
      <x:c r="G162" s="275" t="str">
        <x:v>DOWNLOAD_PUBLIC</x:v>
      </x:c>
      <x:c r="H162" s="275" t="str">
        <x:v>[OpenNeuro ds006466](https://openneuro.org/datasets/ds006466/versions/1.0.1)</x:v>
      </x:c>
      <x:c r="I162" s="275" t="str">
        <x:v>resting eyes open/closed；active/passive auditory oddball</x:v>
      </x:c>
      <x:c r="J162" s="275" t="str">
        <x:v>66</x:v>
      </x:c>
      <x:c r="K162" s="275" t="str">
        <x:v>65</x:v>
      </x:c>
      <x:c r="L162" s="275" t="str">
        <x:v>1000Hz</x:v>
      </x:c>
      <x:c r="M162" s="275" t="str">
        <x:v>BIDS</x:v>
      </x:c>
      <x:c r="N162" s="275" t="str">
        <x:v>raw BIDS</x:v>
      </x:c>
      <x:c r="O162" s="275" t="str">
        <x:v>公开下载：OpenNeuro ds006466 v1.0.1；CC0，可网页、OpenNeuro CLI 或 DataLad 获取。</x:v>
      </x:c>
      <x:c r="P162" s="275" t="str">
        <x:v>Andy Jeesu Kim; Santiago Morales; Joshua Senior; Mara Mather</x:v>
      </x:c>
      <x:c r="Q162" s="275" t="str">
        <x:v>04_Cognition_and_Emotion/ERP_and_Event_Detection/HeartBEAM_Older_Adult_Resting</x:v>
      </x:c>
      <x:c r="R162" s="275" t="str">
        <x:v>存在公开仓库、官方入口或稳定数据访问号</x:v>
      </x:c>
      <x:c r="S162" s="275"/>
      <x:c r="T162" s="275"/>
      <x:c r="U162" s="276"/>
    </x:row>
    <x:row r="163" ht="60" customHeight="1">
      <x:c r="A163" s="264" t="str">
        <x:v>EEG-0281</x:v>
      </x:c>
      <x:c r="B163" s="257" t="str">
        <x:v>04_Cognition_and_Emotion</x:v>
      </x:c>
      <x:c r="C163" s="257" t="str">
        <x:v>ERP_and_Event_Detection</x:v>
      </x:c>
      <x:c r="D163" s="257" t="str">
        <x:v>OpenNeuro ds006480</x:v>
      </x:c>
      <x:c r="E163" s="257"/>
      <x:c r="F163" s="257" t="str">
        <x:v>OpenNeuro:ds006480</x:v>
      </x:c>
      <x:c r="G163" s="257" t="str">
        <x:v>DOWNLOAD_PUBLIC</x:v>
      </x:c>
      <x:c r="H163" s="257" t="str">
        <x:v>[OpenNeuro ds006480](https://openneuro.org/datasets/ds006480/versions/1.0.1)</x:v>
      </x:c>
      <x:c r="I163" s="257" t="str">
        <x:v>resting-state + auditory oddball EEG</x:v>
      </x:c>
      <x:c r="J163" s="257" t="str">
        <x:v>68</x:v>
      </x:c>
      <x:c r="K163" s="257" t="str">
        <x:v>65</x:v>
      </x:c>
      <x:c r="L163" s="257" t="str">
        <x:v>1000Hz</x:v>
      </x:c>
      <x:c r="M163" s="257" t="str">
        <x:v>BIDS</x:v>
      </x:c>
      <x:c r="N163" s="257" t="str">
        <x:v>raw BIDS</x:v>
      </x:c>
      <x:c r="O163" s="257" t="str">
        <x:v>OpenNeuro public download; CC0; use web / OpenNeuro CLI / DataLad.</x:v>
      </x:c>
      <x:c r="P163" s="257" t="str">
        <x:v>OpenNeuro ds006480; DeeperBrain; Liu et al. (2026), EEG Foundation Models Tables VIII-XIV</x:v>
      </x:c>
      <x:c r="Q163" s="257" t="str">
        <x:v>04_Cognition_and_Emotion/ERP_and_Event_Detection/OpenNeuro_ds006480</x:v>
      </x:c>
      <x:c r="R163" s="257" t="str">
        <x:v>存在公开仓库、官方入口或稳定数据访问号</x:v>
      </x:c>
      <x:c r="S163" s="257"/>
      <x:c r="T163" s="257"/>
      <x:c r="U163" s="213"/>
    </x:row>
    <x:row r="164" ht="60" customHeight="1">
      <x:c r="A164" s="274" t="str">
        <x:v>EEG-0283</x:v>
      </x:c>
      <x:c r="B164" s="275" t="str">
        <x:v>04_Cognition_and_Emotion</x:v>
      </x:c>
      <x:c r="C164" s="275" t="str">
        <x:v>ERP_and_Event_Detection</x:v>
      </x:c>
      <x:c r="D164" s="275" t="str">
        <x:v>Runabout Mobile EEG Auditory Oddball</x:v>
      </x:c>
      <x:c r="E164" s="275"/>
      <x:c r="F164" s="275" t="str">
        <x:v>OpenNeuro:ds003620</x:v>
      </x:c>
      <x:c r="G164" s="275" t="str">
        <x:v>DOWNLOAD_PUBLIC</x:v>
      </x:c>
      <x:c r="H164" s="275" t="str">
        <x:v>[OpenNeuro ds003620](https://openneuro.org/datasets/ds003620/versions/1.1.1)</x:v>
      </x:c>
      <x:c r="I164" s="275" t="str">
        <x:v>auditory oddball in laboratory and real-world mobile conditions</x:v>
      </x:c>
      <x:c r="J164" s="275" t="str">
        <x:v>44</x:v>
      </x:c>
      <x:c r="K164" s="275" t="str">
        <x:v>32</x:v>
      </x:c>
      <x:c r="L164" s="275" t="str">
        <x:v>500Hz</x:v>
      </x:c>
      <x:c r="M164" s="275" t="str">
        <x:v>BIDS</x:v>
      </x:c>
      <x:c r="N164" s="275" t="str">
        <x:v>raw BIDS</x:v>
      </x:c>
      <x:c r="O164" s="275" t="str">
        <x:v>公开下载：OpenNeuro ds003620 v1.1.1；CC0，可网页、OpenNeuro CLI 或 DataLad 获取。</x:v>
      </x:c>
      <x:c r="P164" s="275" t="str">
        <x:v>Magnus Liebherr; Andrew W. Corcoran; Phillip M. Alday; Scott Coussens; Valeria Bellan; Caitlin A. Howlett; Maarten A. Immink; Mark Kohler</x:v>
      </x:c>
      <x:c r="Q164" s="275" t="str">
        <x:v>04_Cognition_and_Emotion/ERP_and_Event_Detection/Runabout_Mobile_EEG_Auditory_Oddball</x:v>
      </x:c>
      <x:c r="R164" s="275" t="str">
        <x:v>存在公开仓库、官方入口或稳定数据访问号</x:v>
      </x:c>
      <x:c r="S164" s="275"/>
      <x:c r="T164" s="275"/>
      <x:c r="U164" s="276"/>
    </x:row>
    <x:row r="165" ht="60" customHeight="1">
      <x:c r="A165" s="264" t="str">
        <x:v>EEG-0284</x:v>
      </x:c>
      <x:c r="B165" s="257" t="str">
        <x:v>04_Cognition_and_Emotion</x:v>
      </x:c>
      <x:c r="C165" s="257" t="str">
        <x:v>ERP_and_Event_Detection</x:v>
      </x:c>
      <x:c r="D165" s="257" t="str">
        <x:v>Sosulski2019</x:v>
      </x:c>
      <x:c r="E165" s="257"/>
      <x:c r="F165" s="257" t="str">
        <x:v>DOI:10.6094/UNIFR/154576</x:v>
      </x:c>
      <x:c r="G165" s="257" t="str">
        <x:v>DOWNLOAD_PUBLIC</x:v>
      </x:c>
      <x:c r="H165" s="257" t="str">
        <x:v>[MOABB Sosulski2019](https://moabb.neurotechx.com/docs/generated/moabb.datasets.Sosulski2019.html)</x:v>
      </x:c>
      <x:c r="I165" s="257" t="str">
        <x:v>auditory oddball ERP/P300; target 1000Hz vs non-target 500Hz tones; SOA variation</x:v>
      </x:c>
      <x:c r="J165" s="257" t="str">
        <x:v>13</x:v>
      </x:c>
      <x:c r="K165" s="257" t="str">
        <x:v>31</x:v>
      </x:c>
      <x:c r="L165" s="257" t="str">
        <x:v>1000Hz</x:v>
      </x:c>
      <x:c r="M165" s="257" t="str">
        <x:v>BrainVision / MOABB-supported</x:v>
      </x:c>
      <x:c r="N165" s="257" t="str">
        <x:v>raw</x:v>
      </x:c>
      <x:c r="O165" s="257" t="str">
        <x:v>FreiDok data DOI 10.6094/UNIFR/154576 via MOABB; REVE Appendix B MOABB source; CC BY-SA 4.0.</x:v>
      </x:c>
      <x:c r="P165" s="257" t="str">
        <x:v>Sosulski et al. (2019/2021); REVE Appendix B</x:v>
      </x:c>
      <x:c r="Q165" s="257" t="str">
        <x:v>04_Cognition_and_Emotion/ERP_and_Event_Detection/Sosulski2019</x:v>
      </x:c>
      <x:c r="R165" s="257" t="str">
        <x:v>存在公开仓库、官方入口或稳定数据访问号</x:v>
      </x:c>
      <x:c r="S165" s="257"/>
      <x:c r="T165" s="257"/>
      <x:c r="U165" s="213"/>
    </x:row>
    <x:row r="166" ht="60" customHeight="1">
      <x:c r="A166" s="274" t="str">
        <x:v>EEG-0291</x:v>
      </x:c>
      <x:c r="B166" s="275" t="str">
        <x:v>05_Naturalistic_Stimulus_Decoding</x:v>
      </x:c>
      <x:c r="C166" s="275" t="str">
        <x:v>Language_and_Reading</x:v>
      </x:c>
      <x:c r="D166" s="275" t="str">
        <x:v>Bimodal Inner-Speech (EEG-fMRI)</x:v>
      </x:c>
      <x:c r="E166" s="275"/>
      <x:c r="F166" s="275" t="str">
        <x:v>OpenNeuro:ds004197</x:v>
      </x:c>
      <x:c r="G166" s="275" t="str">
        <x:v>DOWNLOAD_PUBLIC</x:v>
      </x:c>
      <x:c r="H166" s="275" t="str">
        <x:v>https://openneuro.org/datasets/ds004197</x:v>
      </x:c>
      <x:c r="I166" s="275" t="str">
        <x:v>Inner-speech recognition (bimodal EEG-fMRI)</x:v>
      </x:c>
      <x:c r="J166" s="275" t="str">
        <x:v>4</x:v>
      </x:c>
      <x:c r="K166" s="275" t="str">
        <x:v>64</x:v>
      </x:c>
      <x:c r="L166" s="275" t="str">
        <x:v>512 Hz</x:v>
      </x:c>
      <x:c r="M166" s="275" t="str">
        <x:v>Biosemi / BIDS</x:v>
      </x:c>
      <x:c r="N166" s="275" t="str">
        <x:v>Raw (BIDS; code on GitHub)</x:v>
      </x:c>
      <x:c r="O166" s="275" t="str">
        <x:v>Open (OpenNeuro ds004197), CC0</x:v>
      </x:c>
      <x:c r="P166" s="275" t="str">
        <x:v>Bimodal electroencephalography-functional magnetic resonance imaging dataset for inner-speech recognition. Simistira Liwicki et al., 2023, Scientific Data 10:378.</x:v>
      </x:c>
      <x:c r="Q166" s="275" t="str">
        <x:v>05_Naturalistic_Stimulus_Decoding/Language_and_Reading/Bimodal_Inner-Speech_EEG-fMRI</x:v>
      </x:c>
      <x:c r="R166" s="275" t="str">
        <x:v>存在公开仓库、官方入口或稳定数据访问号</x:v>
      </x:c>
      <x:c r="S166" s="275"/>
      <x:c r="T166" s="275"/>
      <x:c r="U166" s="276"/>
    </x:row>
    <x:row r="167" ht="60" customHeight="1">
      <x:c r="A167" s="264" t="str">
        <x:v>EEG-0293</x:v>
      </x:c>
      <x:c r="B167" s="257" t="str">
        <x:v>05_Naturalistic_Stimulus_Decoding</x:v>
      </x:c>
      <x:c r="C167" s="257" t="str">
        <x:v>Language_and_Reading</x:v>
      </x:c>
      <x:c r="D167" s="257" t="str">
        <x:v>Brain-Supervised Image Editing data</x:v>
      </x:c>
      <x:c r="E167" s="257"/>
      <x:c r="F167" s="257" t="str">
        <x:v>DOI:10.1109/CVPR52688.2022.01793</x:v>
      </x:c>
      <x:c r="G167" s="257" t="str">
        <x:v>DOWNLOAD_PUBLIC</x:v>
      </x:c>
      <x:c r="H167" s="257" t="str">
        <x:v>https://github.com/Cognitive-Computing-Group/Brain-Supervised-Image-Editing</x:v>
      </x:c>
      <x:c r="I167" s="257" t="str">
        <x:v>EEG-based semantic saliency recognition / brain-supervised facial image editing</x:v>
      </x:c>
      <x:c r="J167" s="257" t="str">
        <x:v>30</x:v>
      </x:c>
      <x:c r="K167" s="257" t="str">
        <x:v>32</x:v>
      </x:c>
      <x:c r="L167" s="257" t="str">
        <x:v>2000Hz</x:v>
      </x:c>
      <x:c r="M167" s="257" t="str">
        <x:v>.xz</x:v>
      </x:c>
      <x:c r="N167" s="257" t="str">
        <x:v>Processed data</x:v>
      </x:c>
      <x:c r="O167" s="257" t="str">
        <x:v>License</x:v>
      </x:c>
      <x:c r="P167" s="257" t="str">
        <x:v>https://doi.org/10.1109/CVPR52688.2022.01793</x:v>
      </x:c>
      <x:c r="Q167" s="257" t="str">
        <x:v>05_Naturalistic_Stimulus_Decoding/Language_and_Reading/Brain-Supervised_Image_Editing_data</x:v>
      </x:c>
      <x:c r="R167" s="257" t="str">
        <x:v>存在公开仓库、官方入口或稳定数据访问号</x:v>
      </x:c>
      <x:c r="S167" s="257"/>
      <x:c r="T167" s="257"/>
      <x:c r="U167" s="213"/>
    </x:row>
    <x:row r="168" ht="60" customHeight="1">
      <x:c r="A168" s="274" t="str">
        <x:v>EEG-0295</x:v>
      </x:c>
      <x:c r="B168" s="275" t="str">
        <x:v>05_Naturalistic_Stimulus_Decoding</x:v>
      </x:c>
      <x:c r="C168" s="275" t="str">
        <x:v>Language_and_Reading</x:v>
      </x:c>
      <x:c r="D168" s="275" t="str">
        <x:v>ChineseEEG</x:v>
      </x:c>
      <x:c r="E168" s="275"/>
      <x:c r="F168" s="275" t="str">
        <x:v>OpenNeuro:ds004952</x:v>
      </x:c>
      <x:c r="G168" s="275" t="str">
        <x:v>DOWNLOAD_PUBLIC</x:v>
      </x:c>
      <x:c r="H168" s="275" t="str">
        <x:v>https://openneuro.org/datasets/ds004952</x:v>
      </x:c>
      <x:c r="I168" s="275" t="str">
        <x:v>Naturalistic Chinese reading (semantic decoding)</x:v>
      </x:c>
      <x:c r="J168" s="275" t="str">
        <x:v>10 (608 sessions* paper count)</x:v>
      </x:c>
      <x:c r="K168" s="275" t="str">
        <x:v>64</x:v>
      </x:c>
      <x:c r="L168" s="275" t="str">
        <x:v>1000 Hz (preproc 256)</x:v>
      </x:c>
      <x:c r="M168" s="275" t="str">
        <x:v>EDF / BIDS</x:v>
      </x:c>
      <x:c r="N168" s="275" t="str">
        <x:v>Both (raw + derivatives incl. text embeddings)</x:v>
      </x:c>
      <x:c r="O168" s="275" t="str">
        <x:v>Open (OpenNeuro ds004952), CC0</x:v>
      </x:c>
      <x:c r="P168" s="275" t="str">
        <x:v>ChineseEEG: A Chinese linguistic corpora EEG dataset for semantic alignment and neural decoding. Mou et al., 2024, Scientific Data 11:550.</x:v>
      </x:c>
      <x:c r="Q168" s="275" t="str">
        <x:v>05_Naturalistic_Stimulus_Decoding/Language_and_Reading/ChineseEEG</x:v>
      </x:c>
      <x:c r="R168" s="275" t="str">
        <x:v>存在公开仓库、官方入口或稳定数据访问号</x:v>
      </x:c>
      <x:c r="S168" s="275"/>
      <x:c r="T168" s="275"/>
      <x:c r="U168" s="276"/>
    </x:row>
    <x:row r="169" ht="60" customHeight="1">
      <x:c r="A169" s="264" t="str">
        <x:v>EEG-0296</x:v>
      </x:c>
      <x:c r="B169" s="257" t="str">
        <x:v>05_Naturalistic_Stimulus_Decoding</x:v>
      </x:c>
      <x:c r="C169" s="257" t="str">
        <x:v>Language_and_Reading</x:v>
      </x:c>
      <x:c r="D169" s="257" t="str">
        <x:v>ChineseEEG2</x:v>
      </x:c>
      <x:c r="E169" s="257"/>
      <x:c r="F169" s="257" t="str">
        <x:v>DOI:10.57760/sciencedb.CHNNeuro.00001</x:v>
      </x:c>
      <x:c r="G169" s="257" t="str">
        <x:v>DOWNLOAD_PUBLIC</x:v>
      </x:c>
      <x:c r="H169" s="257" t="str">
        <x:v>https://doi.org/10.57760/sciencedb.CHNNeuro.00001</x:v>
      </x:c>
      <x:c r="I169" s="257" t="str">
        <x:v>Mandarin reading aloud + listening (tone classification)</x:v>
      </x:c>
      <x:c r="J169" s="257" t="str">
        <x:v>12 (4 readers + 8 listeners)</x:v>
      </x:c>
      <x:c r="K169" s="257" t="str">
        <x:v>128</x:v>
      </x:c>
      <x:c r="L169" s="257" t="str">
        <x:v>250 Hz (read) / 1000 Hz (listen)</x:v>
      </x:c>
      <x:c r="M169" s="257" t="str">
        <x:v>EGI MFF / BIDS (.fif)</x:v>
      </x:c>
      <x:c r="N169" s="257" t="str">
        <x:v>Both</x:v>
      </x:c>
      <x:c r="O169" s="257" t="str">
        <x:v>Public on Science Data Bank; open code</x:v>
      </x:c>
      <x:c r="P169" s="257" t="str">
        <x:v>An EEG dataset for multimodal semantic alignment and neural decoding during reading and listening (ChineseEEG2). Chen et al., 2025, Scientific Data.</x:v>
      </x:c>
      <x:c r="Q169" s="257" t="str">
        <x:v>05_Naturalistic_Stimulus_Decoding/Language_and_Reading/ChineseEEG2</x:v>
      </x:c>
      <x:c r="R169" s="257" t="str">
        <x:v>存在公开仓库、官方入口或稳定数据访问号</x:v>
      </x:c>
      <x:c r="S169" s="257"/>
      <x:c r="T169" s="257"/>
      <x:c r="U169" s="213"/>
    </x:row>
    <x:row r="170" ht="60" customHeight="1">
      <x:c r="A170" s="274" t="str">
        <x:v>EEG-0297</x:v>
      </x:c>
      <x:c r="B170" s="275" t="str">
        <x:v>05_Naturalistic_Stimulus_Decoding</x:v>
      </x:c>
      <x:c r="C170" s="275" t="str">
        <x:v>Imagined_Speech</x:v>
      </x:c>
      <x:c r="D170" s="275" t="str">
        <x:v>Chisco (Chinese Imagined Speech EEG Corpus)</x:v>
      </x:c>
      <x:c r="E170" s="275" t="str">
        <x:v>Chinese Imagined Speech Corpus
Chisco</x:v>
      </x:c>
      <x:c r="F170" s="275" t="str">
        <x:v>OpenNeuro:ds005170,ds006317 | DOI:10.1038/s41597-024-04114-1</x:v>
      </x:c>
      <x:c r="G170" s="275" t="str">
        <x:v>DOWNLOAD_PUBLIC</x:v>
      </x:c>
      <x:c r="H170" s="275" t="str">
        <x:v>https://openneuro.org/datasets/ds005170/</x:v>
      </x:c>
      <x:c r="I170" s="275" t="str">
        <x:v>Imagined Speech Decoding (6,000+ Chinese phrases; 39 semantic categories)</x:v>
      </x:c>
      <x:c r="J170" s="275" t="str">
        <x:v>5 (All released)</x:v>
      </x:c>
      <x:c r="K170" s="275" t="str">
        <x:v>125 EEG + 6 aux (EOG + mastoids)</x:v>
      </x:c>
      <x:c r="L170" s="275" t="str">
        <x:v>1000 Hz raw (resampled to 500 Hz)</x:v>
      </x:c>
      <x:c r="M170" s="275" t="str">
        <x:v>EEG-BIDS (OpenNeuro; raw .edf + preprocessed .fif/.pkl)</x:v>
      </x:c>
      <x:c r="N170" s="275" t="str">
        <x:v>Both (raw EDF + preprocessed FIF/PKL)</x:v>
      </x:c>
      <x:c r="O170" s="275" t="str">
        <x:v>Free (OpenNeuro ds005170, CC0 license; also GitHub: github.com/zhangzihan-is-good/Chisco)</x:v>
      </x:c>
      <x:c r="P170" s="275" t="str">
        <x:v>Zhang Z et al. (2024). Chisco: EEG-BCI dataset for imagined speech decoding. Sci Data 11:1229. doi:10.1038/s41597-024-04114-1</x:v>
      </x:c>
      <x:c r="Q170" s="275" t="str">
        <x:v>05_Naturalistic_Stimulus_Decoding/Imagined_Speech/Chisco_Chinese_Imagined_Speech_EEG_Corpus</x:v>
      </x:c>
      <x:c r="R170" s="275" t="str">
        <x:v>存在公开仓库、官方入口或稳定数据访问号</x:v>
      </x:c>
      <x:c r="S170" s="275"/>
      <x:c r="T170" s="275"/>
      <x:c r="U170" s="276"/>
    </x:row>
    <x:row r="171" ht="60" customHeight="1">
      <x:c r="A171" s="264" t="str">
        <x:v>EEG-0299</x:v>
      </x:c>
      <x:c r="B171" s="257" t="str">
        <x:v>05_Naturalistic_Stimulus_Decoding</x:v>
      </x:c>
      <x:c r="C171" s="257" t="str">
        <x:v>Language_and_Reading</x:v>
      </x:c>
      <x:c r="D171" s="257" t="str">
        <x:v>EEG data of continuous listening of music and speech</x:v>
      </x:c>
      <x:c r="E171" s="257"/>
      <x:c r="F171" s="257" t="str">
        <x:v>Zenodo:7500806 | DOI:10.1111/ejn.16265Digital</x:v>
      </x:c>
      <x:c r="G171" s="257" t="str">
        <x:v>DOWNLOAD_PUBLIC</x:v>
      </x:c>
      <x:c r="H171" s="257" t="str">
        <x:v>https://zenodo.org/records/7500806</x:v>
      </x:c>
      <x:c r="I171" s="257" t="str">
        <x:v>Auditory cognition</x:v>
      </x:c>
      <x:c r="J171" s="257" t="str">
        <x:v>18</x:v>
      </x:c>
      <x:c r="K171" s="257" t="str">
        <x:v>64</x:v>
      </x:c>
      <x:c r="L171" s="257" t="str">
        <x:v>2400 Hz</x:v>
      </x:c>
      <x:c r="M171" s="257" t="str">
        <x:v>.mat</x:v>
      </x:c>
      <x:c r="N171" s="257" t="str">
        <x:v>preprocessed data</x:v>
      </x:c>
      <x:c r="O171" s="257" t="str">
        <x:v>Fully open</x:v>
      </x:c>
      <x:c r="P171" s="257" t="str">
        <x:v>https://doi.org/10.1111/ejn.16265Digital Object Identifier (DOI)</x:v>
      </x:c>
      <x:c r="Q171" s="257" t="str">
        <x:v>05_Naturalistic_Stimulus_Decoding/Language_and_Reading/EEG_data_of_continuous_listening_of_music_and_speech</x:v>
      </x:c>
      <x:c r="R171" s="257" t="str">
        <x:v>存在公开仓库、官方入口或稳定数据访问号</x:v>
      </x:c>
      <x:c r="S171" s="257"/>
      <x:c r="T171" s="257"/>
      <x:c r="U171" s="213"/>
    </x:row>
    <x:row r="172" ht="60" customHeight="1">
      <x:c r="A172" s="274" t="str">
        <x:v>EEG-0303</x:v>
      </x:c>
      <x:c r="B172" s="275" t="str">
        <x:v>05_Naturalistic_Stimulus_Decoding</x:v>
      </x:c>
      <x:c r="C172" s="275" t="str">
        <x:v>Language_and_Reading</x:v>
      </x:c>
      <x:c r="D172" s="275" t="str">
        <x:v>LPPHK</x:v>
      </x:c>
      <x:c r="E172" s="275" t="str">
        <x:v>LePetitPrince (Le Petit Prince Hong Kong, LPPHK)</x:v>
      </x:c>
      <x:c r="F172" s="275" t="str">
        <x:v>OpenNeuro:ds004718</x:v>
      </x:c>
      <x:c r="G172" s="275" t="str">
        <x:v>DOWNLOAD_PUBLIC</x:v>
      </x:c>
      <x:c r="H172" s="275" t="str">
        <x:v>https://openneuro.org/datasets/ds004718</x:v>
      </x:c>
      <x:c r="I172" s="275" t="str">
        <x:v>Naturalistic story listening (Cantonese)</x:v>
      </x:c>
      <x:c r="J172" s="275" t="str">
        <x:v>52</x:v>
      </x:c>
      <x:c r="K172" s="275" t="str">
        <x:v>64</x:v>
      </x:c>
      <x:c r="L172" s="275" t="str">
        <x:v>1000 Hz</x:v>
      </x:c>
      <x:c r="M172" s="275" t="str">
        <x:v>EEGLAB (.set)</x:v>
      </x:c>
      <x:c r="N172" s="275" t="str">
        <x:v>Both (raw + derivatives)</x:v>
      </x:c>
      <x:c r="O172" s="275" t="str">
        <x:v>Open (OpenNeuro ds004718), CC0</x:v>
      </x:c>
      <x:c r="P172" s="275" t="str">
        <x:v>Le Petit Prince Hong Kong (LPPHK): Naturalistic fMRI and EEG data from older Cantonese speakers. Momenian et al., 2024, Scientific Data 11:992.</x:v>
      </x:c>
      <x:c r="Q172" s="275" t="str">
        <x:v>05_Naturalistic_Stimulus_Decoding/Language_and_Reading/LPPHK</x:v>
      </x:c>
      <x:c r="R172" s="275" t="str">
        <x:v>存在公开仓库、官方入口或稳定数据访问号</x:v>
      </x:c>
      <x:c r="S172" s="275"/>
      <x:c r="T172" s="275"/>
      <x:c r="U172" s="276"/>
    </x:row>
    <x:row r="173" ht="60" customHeight="1">
      <x:c r="A173" s="264" t="str">
        <x:v>EEG-0305</x:v>
      </x:c>
      <x:c r="B173" s="257" t="str">
        <x:v>05_Naturalistic_Stimulus_Decoding</x:v>
      </x:c>
      <x:c r="C173" s="257" t="str">
        <x:v>Language_and_Reading</x:v>
      </x:c>
      <x:c r="D173" s="257" t="str">
        <x:v>Music and Speech Subcortical Responses EEG</x:v>
      </x:c>
      <x:c r="E173" s="257" t="str">
        <x:v>ds004356 (Subcortical</x:v>
      </x:c>
      <x:c r="F173" s="257" t="str">
        <x:v>OpenNeuro:ds004356</x:v>
      </x:c>
      <x:c r="G173" s="257" t="str">
        <x:v>DOWNLOAD_PUBLIC</x:v>
      </x:c>
      <x:c r="H173" s="257" t="str">
        <x:v>[OpenNeuro ds004356](https://openneuro.org/datasets/ds004356/versions/2.2.1)</x:v>
      </x:c>
      <x:c r="I173" s="257" t="str">
        <x:v>music vs speech auditory responses；subcortical / ABR-like EEG</x:v>
      </x:c>
      <x:c r="J173" s="257" t="str">
        <x:v>22</x:v>
      </x:c>
      <x:c r="K173" s="257" t="str">
        <x:v>34</x:v>
      </x:c>
      <x:c r="L173" s="257" t="str">
        <x:v>10000Hz</x:v>
      </x:c>
      <x:c r="M173" s="257" t="str">
        <x:v>BIDS</x:v>
      </x:c>
      <x:c r="N173" s="257" t="str">
        <x:v>raw BIDS</x:v>
      </x:c>
      <x:c r="O173" s="257" t="str">
        <x:v>公开下载：OpenNeuro ds004356 v2.2.1；CC0，可网页、OpenNeuro CLI 或 DataLad 获取。</x:v>
      </x:c>
      <x:c r="P173" s="257" t="str">
        <x:v>Tong Shan; Madeline S. Cappelloni; Ross K. Maddox</x:v>
      </x:c>
      <x:c r="Q173" s="257" t="str">
        <x:v>05_Naturalistic_Stimulus_Decoding/Language_and_Reading/Music_and_Speech_Subcortical_Responses_EEG</x:v>
      </x:c>
      <x:c r="R173" s="257" t="str">
        <x:v>存在公开仓库、官方入口或稳定数据访问号</x:v>
      </x:c>
      <x:c r="S173" s="257"/>
      <x:c r="T173" s="257"/>
      <x:c r="U173" s="213"/>
    </x:row>
    <x:row r="174" ht="60" customHeight="1">
      <x:c r="A174" s="274" t="str">
        <x:v>EEG-0307</x:v>
      </x:c>
      <x:c r="B174" s="275" t="str">
        <x:v>05_Naturalistic_Stimulus_Decoding</x:v>
      </x:c>
      <x:c r="C174" s="275" t="str">
        <x:v>Language_and_Reading</x:v>
      </x:c>
      <x:c r="D174" s="275" t="str">
        <x:v>Silent Visual Reading EEG</x:v>
      </x:c>
      <x:c r="E174" s="275"/>
      <x:c r="F174" s="275" t="str">
        <x:v>OpenNeuro:ds007058</x:v>
      </x:c>
      <x:c r="G174" s="275" t="str">
        <x:v>DOWNLOAD_PUBLIC</x:v>
      </x:c>
      <x:c r="H174" s="275" t="str">
        <x:v>[OpenNeuro ds007058](https://openneuro.org/datasets/ds007058/versions/1.1.0)</x:v>
      </x:c>
      <x:c r="I174" s="275" t="str">
        <x:v>silent visual reading；word / sentence-level language EEG decoding</x:v>
      </x:c>
      <x:c r="J174" s="275" t="str">
        <x:v>10</x:v>
      </x:c>
      <x:c r="K174" s="275" t="str">
        <x:v>63</x:v>
      </x:c>
      <x:c r="L174" s="275" t="str">
        <x:v>200Hz</x:v>
      </x:c>
      <x:c r="M174" s="275" t="str">
        <x:v>BIDS</x:v>
      </x:c>
      <x:c r="N174" s="275" t="str">
        <x:v>raw BIDS</x:v>
      </x:c>
      <x:c r="O174" s="275" t="str">
        <x:v>公开下载：OpenNeuro ds007058 v1.1.0；可网页、OpenNeuro CLI 或 DataLad 获取。</x:v>
      </x:c>
      <x:c r="P174" s="275" t="str">
        <x:v>Jiawei Li; Adrien Doerig; Radoslaw Martin Cichy</x:v>
      </x:c>
      <x:c r="Q174" s="275" t="str">
        <x:v>05_Naturalistic_Stimulus_Decoding/Language_and_Reading/Silent_Visual_Reading_EEG</x:v>
      </x:c>
      <x:c r="R174" s="275" t="str">
        <x:v>存在公开仓库、官方入口或稳定数据访问号</x:v>
      </x:c>
      <x:c r="S174" s="275"/>
      <x:c r="T174" s="275"/>
      <x:c r="U174" s="276"/>
    </x:row>
    <x:row r="175" ht="60" customHeight="1">
      <x:c r="A175" s="264" t="str">
        <x:v>EEG-0308</x:v>
      </x:c>
      <x:c r="B175" s="257" t="str">
        <x:v>05_Naturalistic_Stimulus_Decoding</x:v>
      </x:c>
      <x:c r="C175" s="257" t="str">
        <x:v>Language_and_Reading</x:v>
      </x:c>
      <x:c r="D175" s="257" t="str">
        <x:v>Spanish Sentences Silent</x:v>
      </x:c>
      <x:c r="E175" s="257"/>
      <x:c r="F175" s="257" t="str">
        <x:v>OpenNeuro:ds004279</x:v>
      </x:c>
      <x:c r="G175" s="257" t="str">
        <x:v>DOWNLOAD_PUBLIC</x:v>
      </x:c>
      <x:c r="H175" s="257" t="str">
        <x:v>[OpenNeuro ds004279](https://openneuro.org/datasets/ds004279/versions/1.1.2)</x:v>
      </x:c>
      <x:c r="I175" s="257" t="str">
        <x:v>silent speech and perceived speech；30 Spanish sentences</x:v>
      </x:c>
      <x:c r="J175" s="257" t="str">
        <x:v>56</x:v>
      </x:c>
      <x:c r="K175" s="257" t="str">
        <x:v>64</x:v>
      </x:c>
      <x:c r="L175" s="257" t="str">
        <x:v>1000Hz</x:v>
      </x:c>
      <x:c r="M175" s="257" t="str">
        <x:v>BIDS</x:v>
      </x:c>
      <x:c r="N175" s="257" t="str">
        <x:v>raw BIDS</x:v>
      </x:c>
      <x:c r="O175" s="257" t="str">
        <x:v>公开下载：OpenNeuro ds004279 v1.1.2；CC0，可网页、OpenNeuro CLI 或 DataLad 获取。</x:v>
      </x:c>
      <x:c r="P175" s="257" t="str">
        <x:v>Carlos Valle Araya; Carolina Mendez-Orellana; Maria Rodriguez-Fernandez</x:v>
      </x:c>
      <x:c r="Q175" s="257" t="str">
        <x:v>05_Naturalistic_Stimulus_Decoding/Language_and_Reading/Spanish_Sentences_Silent</x:v>
      </x:c>
      <x:c r="R175" s="257" t="str">
        <x:v>存在公开仓库、官方入口或稳定数据访问号</x:v>
      </x:c>
      <x:c r="S175" s="257"/>
      <x:c r="T175" s="257"/>
      <x:c r="U175" s="213"/>
    </x:row>
    <x:row r="176" ht="60" customHeight="1">
      <x:c r="A176" s="274" t="str">
        <x:v>EEG-0309</x:v>
      </x:c>
      <x:c r="B176" s="275" t="str">
        <x:v>05_Naturalistic_Stimulus_Decoding</x:v>
      </x:c>
      <x:c r="C176" s="275" t="str">
        <x:v>Language_and_Reading</x:v>
      </x:c>
      <x:c r="D176" s="275" t="str">
        <x:v>Speech-Decoding (articulation)</x:v>
      </x:c>
      <x:c r="E176" s="275"/>
      <x:c r="F176" s="275" t="str">
        <x:v>OpenNeuro:ds006104</x:v>
      </x:c>
      <x:c r="G176" s="275" t="str">
        <x:v>DOWNLOAD_PUBLIC</x:v>
      </x:c>
      <x:c r="H176" s="275" t="str">
        <x:v>https://openneuro.org/datasets/ds006104</x:v>
      </x:c>
      <x:c r="I176" s="275" t="str">
        <x:v>Speech decoding (articulation/coarticulation)</x:v>
      </x:c>
      <x:c r="J176" s="275" t="str">
        <x:v>24 (Study1:8 + Study2:16)</x:v>
      </x:c>
      <x:c r="K176" s="275" t="str">
        <x:v>64 (62 processed)</x:v>
      </x:c>
      <x:c r="L176" s="275" t="str">
        <x:v>1000 Hz</x:v>
      </x:c>
      <x:c r="M176" s="275" t="str">
        <x:v>EDF / BIDS</x:v>
      </x:c>
      <x:c r="N176" s="275" t="str">
        <x:v>Raw (BIDS; code on GitHub)</x:v>
      </x:c>
      <x:c r="O176" s="275" t="str">
        <x:v>Open (OpenNeuro ds006104, CC0; OSF CC BY 4.0)</x:v>
      </x:c>
      <x:c r="P176" s="275" t="str">
        <x:v>An open-access EEG dataset for speech decoding: exploring the role of articulation and coarticulation. Moreira et al., 2025, Scientific Data 12.</x:v>
      </x:c>
      <x:c r="Q176" s="275" t="str">
        <x:v>05_Naturalistic_Stimulus_Decoding/Language_and_Reading/Speech-Decoding_articulation</x:v>
      </x:c>
      <x:c r="R176" s="275" t="str">
        <x:v>存在公开仓库、官方入口或稳定数据访问号</x:v>
      </x:c>
      <x:c r="S176" s="275"/>
      <x:c r="T176" s="275"/>
      <x:c r="U176" s="276"/>
    </x:row>
    <x:row r="177" ht="60" customHeight="1">
      <x:c r="A177" s="264" t="str">
        <x:v>EEG-0310</x:v>
      </x:c>
      <x:c r="B177" s="257" t="str">
        <x:v>05_Naturalistic_Stimulus_Decoding</x:v>
      </x:c>
      <x:c r="C177" s="257" t="str">
        <x:v>Language_and_Reading</x:v>
      </x:c>
      <x:c r="D177" s="257" t="str">
        <x:v>TMNRED</x:v>
      </x:c>
      <x:c r="E177" s="257"/>
      <x:c r="F177" s="257" t="str">
        <x:v>OpenNeuro:ds005383</x:v>
      </x:c>
      <x:c r="G177" s="257" t="str">
        <x:v>DOWNLOAD_PUBLIC</x:v>
      </x:c>
      <x:c r="H177" s="257" t="str">
        <x:v>https://openneuro.org/datasets/ds005383</x:v>
      </x:c>
      <x:c r="I177" s="257" t="str">
        <x:v>Chinese natural reading, fuzzy semantic target ID</x:v>
      </x:c>
      <x:c r="J177" s="257" t="str">
        <x:v>30</x:v>
      </x:c>
      <x:c r="K177" s="257" t="str">
        <x:v>64</x:v>
      </x:c>
      <x:c r="L177" s="257" t="str">
        <x:v>1000 Hz</x:v>
      </x:c>
      <x:c r="M177" s="257" t="str">
        <x:v>Biosemi / BIDS</x:v>
      </x:c>
      <x:c r="N177" s="257" t="str">
        <x:v>Both (raw + preprocessed)</x:v>
      </x:c>
      <x:c r="O177" s="257" t="str">
        <x:v>Open (OpenNeuro ds005383), CC BY 4.0</x:v>
      </x:c>
      <x:c r="P177" s="257" t="str">
        <x:v>TMNRED, a Chinese language EEG dataset for fuzzy semantic target identification in natural reading environments. Bai et al., 2025, Scientific Data 12:701.</x:v>
      </x:c>
      <x:c r="Q177" s="257" t="str">
        <x:v>05_Naturalistic_Stimulus_Decoding/Language_and_Reading/TMNRED</x:v>
      </x:c>
      <x:c r="R177" s="257" t="str">
        <x:v>存在公开仓库、官方入口或稳定数据访问号</x:v>
      </x:c>
      <x:c r="S177" s="257"/>
      <x:c r="T177" s="257"/>
      <x:c r="U177" s="213"/>
    </x:row>
    <x:row r="178" ht="60" customHeight="1">
      <x:c r="A178" s="274" t="str">
        <x:v>EEG-0312</x:v>
      </x:c>
      <x:c r="B178" s="275" t="str">
        <x:v>05_Naturalistic_Stimulus_Decoding</x:v>
      </x:c>
      <x:c r="C178" s="275" t="str">
        <x:v>Language_and_Reading</x:v>
      </x:c>
      <x:c r="D178" s="275" t="str">
        <x:v>ZuCo 2.0</x:v>
      </x:c>
      <x:c r="E178" s="275"/>
      <x:c r="F178" s="275" t="str">
        <x:v>DOI:10.48550/arXiv.1912.00903</x:v>
      </x:c>
      <x:c r="G178" s="275" t="str">
        <x:v>DOWNLOAD_PUBLIC</x:v>
      </x:c>
      <x:c r="H178" s="275" t="str">
        <x:v>https://osf.io/2urht/</x:v>
      </x:c>
      <x:c r="I178" s="275" t="str">
        <x:v>Normal reading vs task-specific reading；semantic relation annotation；sentence-level / word-level EEG-eye-tracking features</x:v>
      </x:c>
      <x:c r="J178" s="275" t="str">
        <x:v>18</x:v>
      </x:c>
      <x:c r="K178" s="275" t="str">
        <x:v>128</x:v>
      </x:c>
      <x:c r="L178" s="275" t="str">
        <x:v>500 Hz</x:v>
      </x:c>
      <x:c r="M178" s="275" t="str">
        <x:v>.mat</x:v>
      </x:c>
      <x:c r="N178" s="275" t="str">
        <x:v>Both</x:v>
      </x:c>
      <x:c r="O178" s="275" t="str">
        <x:v>公开下载：OSF ZuCo 2.0 (https://osf.io/2urht/)；也可从 ZuCo benchmark / ETH 页面跳转。</x:v>
      </x:c>
      <x:c r="P178" s="275" t="str">
        <x:v>DOI：10.48550/arXiv.1912.00903</x:v>
      </x:c>
      <x:c r="Q178" s="275" t="str">
        <x:v>05_Naturalistic_Stimulus_Decoding/Language_and_Reading/ZuCo_2.0</x:v>
      </x:c>
      <x:c r="R178" s="275" t="str">
        <x:v>存在公开仓库、官方入口或稳定数据访问号</x:v>
      </x:c>
      <x:c r="S178" s="275"/>
      <x:c r="T178" s="275"/>
      <x:c r="U178" s="276"/>
    </x:row>
    <x:row r="179" ht="60" customHeight="1">
      <x:c r="A179" s="264" t="str">
        <x:v>EEG-0314</x:v>
      </x:c>
      <x:c r="B179" s="257" t="str">
        <x:v>05_Naturalistic_Stimulus_Decoding</x:v>
      </x:c>
      <x:c r="C179" s="257" t="str">
        <x:v>Listening_and_Auditory_Attention</x:v>
      </x:c>
      <x:c r="D179" s="257" t="str">
        <x:v>Auditory Gamma Entrainment EEG</x:v>
      </x:c>
      <x:c r="E179" s="257"/>
      <x:c r="F179" s="257" t="str">
        <x:v>OpenNeuro:ds003800</x:v>
      </x:c>
      <x:c r="G179" s="257" t="str">
        <x:v>DOWNLOAD_PUBLIC</x:v>
      </x:c>
      <x:c r="H179" s="257" t="str">
        <x:v>[OpenNeuro ds003800](https://openneuro.org/datasets/ds003800/versions/1.0.0)</x:v>
      </x:c>
      <x:c r="I179" s="257" t="str">
        <x:v>auditory gamma entrainment；40-Hz-like stimulation；MMSE-related downstream</x:v>
      </x:c>
      <x:c r="J179" s="257" t="str">
        <x:v>13</x:v>
      </x:c>
      <x:c r="K179" s="257" t="str">
        <x:v>19</x:v>
      </x:c>
      <x:c r="L179" s="257" t="str">
        <x:v>250Hz</x:v>
      </x:c>
      <x:c r="M179" s="257" t="str">
        <x:v>BIDS</x:v>
      </x:c>
      <x:c r="N179" s="257" t="str">
        <x:v>raw BIDS</x:v>
      </x:c>
      <x:c r="O179" s="257" t="str">
        <x:v>公开下载：OpenNeuro ds003800 v1.0.0；CC0，可网页、OpenNeuro CLI 或 DataLad 获取。</x:v>
      </x:c>
      <x:c r="P179" s="257" t="str">
        <x:v>Mojtaba Lahijanian; Mohammad Javad Sedghizadeh; Hamid Aghajan; Zahra Vahabi</x:v>
      </x:c>
      <x:c r="Q179" s="257" t="str">
        <x:v>05_Naturalistic_Stimulus_Decoding/Listening_and_Auditory_Attention/Auditory_Gamma_Entrainment_EEG</x:v>
      </x:c>
      <x:c r="R179" s="257" t="str">
        <x:v>存在公开仓库、官方入口或稳定数据访问号</x:v>
      </x:c>
      <x:c r="S179" s="257"/>
      <x:c r="T179" s="257"/>
      <x:c r="U179" s="213"/>
    </x:row>
    <x:row r="180" ht="60" customHeight="1">
      <x:c r="A180" s="274" t="str">
        <x:v>EEG-0316</x:v>
      </x:c>
      <x:c r="B180" s="275" t="str">
        <x:v>05_Naturalistic_Stimulus_Decoding</x:v>
      </x:c>
      <x:c r="C180" s="275" t="str">
        <x:v>Listening_and_Auditory_Attention</x:v>
      </x:c>
      <x:c r="D180" s="275" t="str">
        <x:v>EEG, ECG and pupil data from young and older adults: rest and auditory cued reaction time tasks</x:v>
      </x:c>
      <x:c r="E180" s="275"/>
      <x:c r="F180" s="275" t="str">
        <x:v>OpenNeuro:ds003690 | DOI:10.1016/j.neurobiolaging.2018.09.028</x:v>
      </x:c>
      <x:c r="G180" s="275" t="str">
        <x:v>DOWNLOAD_PUBLIC</x:v>
      </x:c>
      <x:c r="H180" s="275" t="str">
        <x:v>[OpenNeuro ds003690](https://openneuro.org/datasets/ds003690/versions/1.0.0)</x:v>
      </x:c>
      <x:c r="I180" s="275" t="str">
        <x:v>gonogo; passive; simpleRT</x:v>
      </x:c>
      <x:c r="J180" s="275" t="str">
        <x:v>75</x:v>
      </x:c>
      <x:c r="K180" s="275" t="str">
        <x:v>61</x:v>
      </x:c>
      <x:c r="L180" s="275" t="str">
        <x:v>500Hz</x:v>
      </x:c>
      <x:c r="M180" s="275" t="str">
        <x:v>BIDS</x:v>
      </x:c>
      <x:c r="N180" s="275" t="str">
        <x:v>raw BIDS</x:v>
      </x:c>
      <x:c r="O180" s="275" t="str">
        <x:v>OpenNeuro public download; ds003690 v1.0.0; license CC0; use web / OpenNeuro CLI / DataLad.</x:v>
      </x:c>
      <x:c r="P180" s="275" t="str">
        <x:v>Maria J. Ribeiro; Miguel Castelo-Branco; 10.1016/j.neurobiolaging.2018.09.028</x:v>
      </x:c>
      <x:c r="Q180" s="275" t="str">
        <x:v>05_Naturalistic_Stimulus_Decoding/Listening_and_Auditory_Attention/EEG_ECG_and_pupil_data_from_young_and_older_adults_rest_and_auditory_cued_reaction_time_ta</x:v>
      </x:c>
      <x:c r="R180" s="275" t="str">
        <x:v>存在公开仓库、官方入口或稳定数据访问号</x:v>
      </x:c>
      <x:c r="S180" s="275"/>
      <x:c r="T180" s="275"/>
      <x:c r="U180" s="276"/>
    </x:row>
    <x:row r="181" ht="60" customHeight="1">
      <x:c r="A181" s="264" t="str">
        <x:v>EEG-0317</x:v>
      </x:c>
      <x:c r="B181" s="257" t="str">
        <x:v>05_Naturalistic_Stimulus_Decoding</x:v>
      </x:c>
      <x:c r="C181" s="257" t="str">
        <x:v>Listening_and_Auditory_Attention</x:v>
      </x:c>
      <x:c r="D181" s="257" t="str">
        <x:v>Frontal cortex hyperactivation and gamma desynchrony in Fragile X syndrome: Correlates of auditory hypersensitivity — source-localized EEG tracings</x:v>
      </x:c>
      <x:c r="E181" s="257"/>
      <x:c r="F181" s="257" t="str">
        <x:v>Zenodo:14967041 | DOI:10.3389/fnint.2019.00060</x:v>
      </x:c>
      <x:c r="G181" s="257" t="str">
        <x:v>DOWNLOAD_PUBLIC</x:v>
      </x:c>
      <x:c r="H181" s="257" t="str">
        <x:v>https://zenodo.org/records/14967041</x:v>
      </x:c>
      <x:c r="I181" s="257" t="str">
        <x:v>Auditory chirp EEG / auditory evoked potential task</x:v>
      </x:c>
      <x:c r="J181" s="257" t="str">
        <x:v>75</x:v>
      </x:c>
      <x:c r="K181" s="257" t="str">
        <x:v>128</x:v>
      </x:c>
      <x:c r="L181" s="257" t="str">
        <x:v>1000 Hz</x:v>
      </x:c>
      <x:c r="M181" s="257" t="str">
        <x:v>.set .fdt</x:v>
      </x:c>
      <x:c r="N181" s="257" t="str">
        <x:v>preprocessed data</x:v>
      </x:c>
      <x:c r="O181" s="257" t="str">
        <x:v>Fully open</x:v>
      </x:c>
      <x:c r="P181" s="257" t="str">
        <x:v>DOI: 10.3389/fnint.2019.00060</x:v>
      </x:c>
      <x:c r="Q181" s="257" t="str">
        <x:v>05_Naturalistic_Stimulus_Decoding/Listening_and_Auditory_Attention/Frontal_cortex_hyperactivation_and_gamma_desynchrony_in_Fragile_X_syndrome_Correlates_of_a</x:v>
      </x:c>
      <x:c r="R181" s="257" t="str">
        <x:v>存在公开仓库、官方入口或稳定数据访问号</x:v>
      </x:c>
      <x:c r="S181" s="257"/>
      <x:c r="T181" s="257"/>
      <x:c r="U181" s="213"/>
    </x:row>
    <x:row r="182" ht="60" customHeight="1">
      <x:c r="A182" s="274" t="str">
        <x:v>EEG-0318</x:v>
      </x:c>
      <x:c r="B182" s="275" t="str">
        <x:v>05_Naturalistic_Stimulus_Decoding</x:v>
      </x:c>
      <x:c r="C182" s="275" t="str">
        <x:v>Listening_and_Auditory_Attention</x:v>
      </x:c>
      <x:c r="D182" s="275" t="str">
        <x:v>LPP Multi-talker</x:v>
      </x:c>
      <x:c r="E182" s="275"/>
      <x:c r="F182" s="275" t="str">
        <x:v>OpenNeuro:ds005345</x:v>
      </x:c>
      <x:c r="G182" s="275" t="str">
        <x:v>DOWNLOAD_PUBLIC</x:v>
      </x:c>
      <x:c r="H182" s="275" t="str">
        <x:v>https://openneuro.org/datasets/ds005345</x:v>
      </x:c>
      <x:c r="I182" s="275" t="str">
        <x:v>Naturalistic listening (single/multi-talker; 7T fMRI + EEG)</x:v>
      </x:c>
      <x:c r="J182" s="275" t="str">
        <x:v>26</x:v>
      </x:c>
      <x:c r="K182" s="275" t="str">
        <x:v>64</x:v>
      </x:c>
      <x:c r="L182" s="275" t="str">
        <x:v>500 Hz</x:v>
      </x:c>
      <x:c r="M182" s="275" t="str">
        <x:v>BrainVision / BIDS</x:v>
      </x:c>
      <x:c r="N182" s="275" t="str">
        <x:v>Raw (+ linguistic/prosodic annotations)</x:v>
      </x:c>
      <x:c r="O182" s="275" t="str">
        <x:v>Open (OpenNeuro ds005345), CC0</x:v>
      </x:c>
      <x:c r="P182" s="275" t="str">
        <x:v>Le Petit Prince (LPP) multi-talker: Naturalistic 7T fMRI and EEG dataset. Wang et al., 2025, Scientific Data 12.</x:v>
      </x:c>
      <x:c r="Q182" s="275" t="str">
        <x:v>05_Naturalistic_Stimulus_Decoding/Listening_and_Auditory_Attention/LPP_Multi-talker</x:v>
      </x:c>
      <x:c r="R182" s="275" t="str">
        <x:v>存在公开仓库、官方入口或稳定数据访问号</x:v>
      </x:c>
      <x:c r="S182" s="275"/>
      <x:c r="T182" s="275"/>
      <x:c r="U182" s="276"/>
    </x:row>
    <x:row r="183" ht="60" customHeight="1">
      <x:c r="A183" s="264" t="str">
        <x:v>EEG-0319</x:v>
      </x:c>
      <x:c r="B183" s="257" t="str">
        <x:v>05_Naturalistic_Stimulus_Decoding</x:v>
      </x:c>
      <x:c r="C183" s="257" t="str">
        <x:v>Listening_and_Auditory_Attention</x:v>
      </x:c>
      <x:c r="D183" s="257" t="str">
        <x:v>MUSIN-G</x:v>
      </x:c>
      <x:c r="E183" s="257"/>
      <x:c r="F183" s="257" t="str">
        <x:v>OpenNeuro:ds003774</x:v>
      </x:c>
      <x:c r="G183" s="257" t="str">
        <x:v>DOWNLOAD_PUBLIC</x:v>
      </x:c>
      <x:c r="H183" s="257" t="str">
        <x:v>[OpenNeuro ds003774](https://openneuro.org/datasets/ds003774/versions/1.0.2)</x:v>
      </x:c>
      <x:c r="I183" s="257" t="str">
        <x:v>music listening；genre classification；music cognition EEG</x:v>
      </x:c>
      <x:c r="J183" s="257" t="str">
        <x:v>20</x:v>
      </x:c>
      <x:c r="K183" s="257" t="str">
        <x:v>129</x:v>
      </x:c>
      <x:c r="L183" s="257" t="str">
        <x:v>1000Hz</x:v>
      </x:c>
      <x:c r="M183" s="257" t="str">
        <x:v>BIDS</x:v>
      </x:c>
      <x:c r="N183" s="257" t="str">
        <x:v>raw BIDS</x:v>
      </x:c>
      <x:c r="O183" s="257" t="str">
        <x:v>公开下载：OpenNeuro ds003774 v1.0.2；CC0，可网页、OpenNeuro CLI 或 DataLad 获取。</x:v>
      </x:c>
      <x:c r="P183" s="257" t="str">
        <x:v>Krishna Prasad Miyapuram; Pankaj Pandey; Nashra Ahmad; Bharatesh R. Shiraguppi; Esha Sharma; Prashant Lawhatre; Dhananjay Sonawane; Derek Lomas</x:v>
      </x:c>
      <x:c r="Q183" s="257" t="str">
        <x:v>05_Naturalistic_Stimulus_Decoding/Listening_and_Auditory_Attention/MUSIN-G</x:v>
      </x:c>
      <x:c r="R183" s="257" t="str">
        <x:v>存在公开仓库、官方入口或稳定数据访问号</x:v>
      </x:c>
      <x:c r="S183" s="257"/>
      <x:c r="T183" s="257"/>
      <x:c r="U183" s="213"/>
    </x:row>
    <x:row r="184" ht="60" customHeight="1">
      <x:c r="A184" s="274" t="str">
        <x:v>EEG-0322</x:v>
      </x:c>
      <x:c r="B184" s="275" t="str">
        <x:v>05_Naturalistic_Stimulus_Decoding</x:v>
      </x:c>
      <x:c r="C184" s="275" t="str">
        <x:v>Listening_and_Auditory_Attention</x:v>
      </x:c>
      <x:c r="D184" s="275" t="str">
        <x:v>Passive Head-Mounted Display Music-Listening EEG dataset</x:v>
      </x:c>
      <x:c r="E184" s="275"/>
      <x:c r="F184" s="275" t="str">
        <x:v>Zenodo:2617085 | DOI:10.48550/arXiv.1904.00609</x:v>
      </x:c>
      <x:c r="G184" s="275" t="str">
        <x:v>DOWNLOAD_PUBLIC</x:v>
      </x:c>
      <x:c r="H184" s="275" t="str">
        <x:v>https://zenodo.org/records/2617085</x:v>
      </x:c>
      <x:c r="I184" s="275" t="str">
        <x:v>Resting-state / auditory music-listening EEG</x:v>
      </x:c>
      <x:c r="J184" s="275" t="str">
        <x:v>12</x:v>
      </x:c>
      <x:c r="K184" s="275" t="str">
        <x:v>16</x:v>
      </x:c>
      <x:c r="L184" s="275" t="str">
        <x:v>512 Hz</x:v>
      </x:c>
      <x:c r="M184" s="275" t="str">
        <x:v>.mat</x:v>
      </x:c>
      <x:c r="N184" s="275" t="str">
        <x:v>Raw</x:v>
      </x:c>
      <x:c r="O184" s="275" t="str">
        <x:v>Fully open</x:v>
      </x:c>
      <x:c r="P184" s="275" t="str">
        <x:v>DOI: 10.48550/arXiv.1904.00609</x:v>
      </x:c>
      <x:c r="Q184" s="275" t="str">
        <x:v>05_Naturalistic_Stimulus_Decoding/Listening_and_Auditory_Attention/Passive_Head-Mounted_Display_Music-Listening_EEG_dataset</x:v>
      </x:c>
      <x:c r="R184" s="275" t="str">
        <x:v>存在公开仓库、官方入口或稳定数据访问号</x:v>
      </x:c>
      <x:c r="S184" s="275"/>
      <x:c r="T184" s="275"/>
      <x:c r="U184" s="276"/>
    </x:row>
    <x:row r="185" ht="60" customHeight="1">
      <x:c r="A185" s="264" t="str">
        <x:v>EEG-0330</x:v>
      </x:c>
      <x:c r="B185" s="257" t="str">
        <x:v>05_Naturalistic_Stimulus_Decoding</x:v>
      </x:c>
      <x:c r="C185" s="257" t="str">
        <x:v>Visual_Perception</x:v>
      </x:c>
      <x:c r="D185" s="257" t="str">
        <x:v>EEGET-RSOD</x:v>
      </x:c>
      <x:c r="E185" s="257" t="str">
        <x:v>He (2025) [EEG-0546]</x:v>
      </x:c>
      <x:c r="F185" s="257" t="str">
        <x:v>Figshare:26943565 | DOI:10.6084/m9.figshare.26943565</x:v>
      </x:c>
      <x:c r="G185" s="257" t="str">
        <x:v>DOWNLOAD_PUBLIC</x:v>
      </x:c>
      <x:c r="H185" s="257" t="str">
        <x:v>https://figshare.com/articles/dataset/EEGET-RSOD/26943565 | https://doi.org/10.6084/m9.figshare.26943565</x:v>
      </x:c>
      <x:c r="I185" s="257" t="str">
        <x:v>Remote-sensing object detection (EEG + eye-tracking)；Visual: Object ID</x:v>
      </x:c>
      <x:c r="J185" s="257" t="str">
        <x:v>40 (38 retained)</x:v>
      </x:c>
      <x:c r="K185" s="257" t="str">
        <x:v>32</x:v>
      </x:c>
      <x:c r="L185" s="257" t="str">
        <x:v>500 Hz</x:v>
      </x:c>
      <x:c r="M185" s="257" t="str">
        <x:v>EDF</x:v>
      </x:c>
      <x:c r="N185" s="257" t="str">
        <x:v>Both (raw + cleaned EEG + eye-tracking)</x:v>
      </x:c>
      <x:c r="O185" s="257" t="str">
        <x:v>Open (figshare 26943565); data CC BY 4.0</x:v>
      </x:c>
      <x:c r="P185" s="257" t="str">
        <x:v>A simultaneous EEG and eye-tracking dataset for remote sensing object detection (EEGET-RSOD). He et al., 2025, Scientific Data 12:651.；B. He et al., “A simultaneous EEG and eye-tracking dataset for remote sensing object detection,” Sci. Data, vol. 12, no. 1, p. 651, 2025.</x:v>
      </x:c>
      <x:c r="Q185" s="257" t="str">
        <x:v>05_Naturalistic_Stimulus_Decoding/Visual_Perception/EEGET-RSOD</x:v>
      </x:c>
      <x:c r="R185" s="257" t="str">
        <x:v>存在公开仓库、官方入口或稳定数据访问号；2026-08-04去重：EEG-0546并入EEG-0330（Figshare article 26943565）</x:v>
      </x:c>
      <x:c r="S185" s="257"/>
      <x:c r="T185" s="257"/>
      <x:c r="U185" s="213"/>
    </x:row>
    <x:row r="186" ht="60" customHeight="1">
      <x:c r="A186" s="274" t="str">
        <x:v>EEG-0332</x:v>
      </x:c>
      <x:c r="B186" s="275" t="str">
        <x:v>05_Naturalistic_Stimulus_Decoding</x:v>
      </x:c>
      <x:c r="C186" s="275" t="str">
        <x:v>Visual_Perception</x:v>
      </x:c>
      <x:c r="D186" s="275" t="str">
        <x:v>FakeFaceEmo_data</x:v>
      </x:c>
      <x:c r="E186" s="275"/>
      <x:c r="F186" s="275" t="str">
        <x:v>OpenNeuro:ds004582 | DOI:10.18112/openneuro.ds004582.v1.0.0</x:v>
      </x:c>
      <x:c r="G186" s="275" t="str">
        <x:v>DOWNLOAD_PUBLIC</x:v>
      </x:c>
      <x:c r="H186" s="275" t="str">
        <x:v>[OpenNeuro ds004582](https://openneuro.org/datasets/ds004582/versions/1.0.0)</x:v>
      </x:c>
      <x:c r="I186" s="275" t="str">
        <x:v>FF</x:v>
      </x:c>
      <x:c r="J186" s="275" t="str">
        <x:v>73</x:v>
      </x:c>
      <x:c r="K186" s="275" t="str">
        <x:v>59</x:v>
      </x:c>
      <x:c r="L186" s="275" t="str">
        <x:v>10000Hz</x:v>
      </x:c>
      <x:c r="M186" s="275" t="str">
        <x:v>BIDS</x:v>
      </x:c>
      <x:c r="N186" s="275" t="str">
        <x:v>raw BIDS</x:v>
      </x:c>
      <x:c r="O186" s="275" t="str">
        <x:v>OpenNeuro public download; ds004582 v1.0.0; license CC0; use web / OpenNeuro CLI / DataLad.</x:v>
      </x:c>
      <x:c r="P186" s="275" t="str">
        <x:v>Makowski, Dominique; Te, An-Shu; Kirk, Stephanie; Ngoi, Zi Liang; doi:10.18112/openneuro.ds004582.v1.0.0</x:v>
      </x:c>
      <x:c r="Q186" s="275" t="str">
        <x:v>05_Naturalistic_Stimulus_Decoding/Visual_Perception/FakeFaceEmo_data</x:v>
      </x:c>
      <x:c r="R186" s="275" t="str">
        <x:v>存在公开仓库、官方入口或稳定数据访问号</x:v>
      </x:c>
      <x:c r="S186" s="275"/>
      <x:c r="T186" s="275"/>
      <x:c r="U186" s="276"/>
    </x:row>
    <x:row r="187" ht="60" customHeight="1">
      <x:c r="A187" s="264" t="str">
        <x:v>EEG-0334</x:v>
      </x:c>
      <x:c r="B187" s="257" t="str">
        <x:v>05_Naturalistic_Stimulus_Decoding</x:v>
      </x:c>
      <x:c r="C187" s="257" t="str">
        <x:v>Visual_Perception</x:v>
      </x:c>
      <x:c r="D187" s="257" t="str">
        <x:v>Infant-200-Objects</x:v>
      </x:c>
      <x:c r="E187" s="257"/>
      <x:c r="F187" s="257" t="str">
        <x:v>OpenNeuro:ds005106</x:v>
      </x:c>
      <x:c r="G187" s="257" t="str">
        <x:v>DOWNLOAD_PUBLIC</x:v>
      </x:c>
      <x:c r="H187" s="257" t="str">
        <x:v>https://openneuro.org/datasets/ds005106</x:v>
      </x:c>
      <x:c r="I187" s="257" t="str">
        <x:v>Visual perception, 200 object images (infant RSVP)</x:v>
      </x:c>
      <x:c r="J187" s="257" t="str">
        <x:v>42</x:v>
      </x:c>
      <x:c r="K187" s="257" t="str">
        <x:v>32</x:v>
      </x:c>
      <x:c r="L187" s="257" t="str">
        <x:v>500 Hz</x:v>
      </x:c>
      <x:c r="M187" s="257" t="str">
        <x:v>BrainVision / BIDS</x:v>
      </x:c>
      <x:c r="N187" s="257" t="str">
        <x:v>Both (raw + preprocessed)</x:v>
      </x:c>
      <x:c r="O187" s="257" t="str">
        <x:v>Open (OpenNeuro ds005106), CC0</x:v>
      </x:c>
      <x:c r="P187" s="257" t="str">
        <x:v>Human infant EEG recordings for 200 object images presented in rapid visual streams. Grootswagers et al., 2025, Scientific Data 12:407.</x:v>
      </x:c>
      <x:c r="Q187" s="257" t="str">
        <x:v>05_Naturalistic_Stimulus_Decoding/Visual_Perception/Infant-200-Objects</x:v>
      </x:c>
      <x:c r="R187" s="257" t="str">
        <x:v>存在公开仓库、官方入口或稳定数据访问号</x:v>
      </x:c>
      <x:c r="S187" s="257"/>
      <x:c r="T187" s="257"/>
      <x:c r="U187" s="213"/>
    </x:row>
    <x:row r="188" ht="60" customHeight="1">
      <x:c r="A188" s="274" t="str">
        <x:v>EEG-0335</x:v>
      </x:c>
      <x:c r="B188" s="275" t="str">
        <x:v>05_Naturalistic_Stimulus_Decoding</x:v>
      </x:c>
      <x:c r="C188" s="275" t="str">
        <x:v>Visual_Perception</x:v>
      </x:c>
      <x:c r="D188" s="275" t="str">
        <x:v>PerceiveImagine</x:v>
      </x:c>
      <x:c r="E188" s="275"/>
      <x:c r="F188" s="275" t="str">
        <x:v>OpenNeuro:ds005697 | DOI:10.18112/openneuro.ds005697</x:v>
      </x:c>
      <x:c r="G188" s="275" t="str">
        <x:v>DOWNLOAD_PUBLIC</x:v>
      </x:c>
      <x:c r="H188" s="275" t="str">
        <x:v>[OpenNeuro ds005697](https://openneuro.org/datasets/ds005697/versions/1.0.2)</x:v>
      </x:c>
      <x:c r="I188" s="275" t="str">
        <x:v>Perception + imagination of images (downstream cross-device zero-shot generalisation test)</x:v>
      </x:c>
      <x:c r="J188" s="275" t="str">
        <x:v>52.0</x:v>
      </x:c>
      <x:c r="K188" s="275" t="str">
        <x:v>64.0</x:v>
      </x:c>
      <x:c r="L188" s="275" t="str">
        <x:v>1000.0</x:v>
      </x:c>
      <x:c r="M188" s="275" t="str">
        <x:v>.set (EEGLAB) + .json/.tsv sidecars, BIDS (bids-matlab-tools)</x:v>
      </x:c>
      <x:c r="N188" s="275" t="str">
        <x:v>raw BIDS</x:v>
      </x:c>
      <x:c r="O188" s="275" t="str">
        <x:v>OpenNeuro public download; ds005697 v1.0.2; license CC0; use web / OpenNeuro CLI / DataLad.</x:v>
      </x:c>
      <x:c r="P188" s="275" t="str">
        <x:v>Li &amp; Fan (2024). PerceiveImagine. OpenNeuro dataset ds005697 (doi:10.18112/openneuro.ds005697).</x:v>
      </x:c>
      <x:c r="Q188" s="275" t="str">
        <x:v>05_Naturalistic_Stimulus_Decoding/Visual_Perception/PerceiveImagine</x:v>
      </x:c>
      <x:c r="R188" s="275" t="str">
        <x:v>存在公开仓库、官方入口或稳定数据访问号</x:v>
      </x:c>
      <x:c r="S188" s="275"/>
      <x:c r="T188" s="275"/>
      <x:c r="U188" s="276"/>
    </x:row>
    <x:row r="189" ht="60" customHeight="1">
      <x:c r="A189" s="264" t="str">
        <x:v>EEG-0337</x:v>
      </x:c>
      <x:c r="B189" s="257" t="str">
        <x:v>05_Naturalistic_Stimulus_Decoding</x:v>
      </x:c>
      <x:c r="C189" s="257" t="str">
        <x:v>Visual_Perception</x:v>
      </x:c>
      <x:c r="D189" s="257" t="str">
        <x:v>THINGS-EEG1</x:v>
      </x:c>
      <x:c r="E189" s="257"/>
      <x:c r="F189" s="257" t="str">
        <x:v>OpenNeuro:ds003825</x:v>
      </x:c>
      <x:c r="G189" s="257" t="str">
        <x:v>DOWNLOAD_PUBLIC</x:v>
      </x:c>
      <x:c r="H189" s="257" t="str">
        <x:v>https://openneuro.org/datasets/ds003825</x:v>
      </x:c>
      <x:c r="I189" s="257" t="str">
        <x:v>Rapid serial visual presentation (1,854 concepts)</x:v>
      </x:c>
      <x:c r="J189" s="257" t="str">
        <x:v>50</x:v>
      </x:c>
      <x:c r="K189" s="257" t="str">
        <x:v>64.0</x:v>
      </x:c>
      <x:c r="L189" s="257" t="str">
        <x:v>1000 Hz</x:v>
      </x:c>
      <x:c r="M189" s="257" t="str">
        <x:v>BrainVision / BIDS</x:v>
      </x:c>
      <x:c r="N189" s="257" t="str">
        <x:v>Both (raw + EEGLAB derivatives @250 Hz, avg ref)</x:v>
      </x:c>
      <x:c r="O189" s="257" t="str">
        <x:v>Open (OpenNeuro ds003825), CC0</x:v>
      </x:c>
      <x:c r="P189" s="257" t="str">
        <x:v>Human EEG recordings for 1,854 concepts presented in rapid serial visual presentation streams. Grootswagers et al., 2022, Scientific Data 9:3.</x:v>
      </x:c>
      <x:c r="Q189" s="257" t="str">
        <x:v>05_Naturalistic_Stimulus_Decoding/Visual_Perception/THINGS-EEG1</x:v>
      </x:c>
      <x:c r="R189" s="257" t="str">
        <x:v>存在公开仓库、官方入口或稳定数据访问号</x:v>
      </x:c>
      <x:c r="S189" s="257"/>
      <x:c r="T189" s="257"/>
      <x:c r="U189" s="213"/>
    </x:row>
    <x:row r="190" ht="60" customHeight="1">
      <x:c r="A190" s="274" t="str">
        <x:v>EEG-0339</x:v>
      </x:c>
      <x:c r="B190" s="275" t="str">
        <x:v>05_Naturalistic_Stimulus_Decoding</x:v>
      </x:c>
      <x:c r="C190" s="275" t="str">
        <x:v>Visual_Perception</x:v>
      </x:c>
      <x:c r="D190" s="275" t="str">
        <x:v>THINGS-MEG/EEG (NOD)</x:v>
      </x:c>
      <x:c r="E190" s="275"/>
      <x:c r="F190" s="275" t="str">
        <x:v>OpenNeuro:ds005811</x:v>
      </x:c>
      <x:c r="G190" s="275" t="str">
        <x:v>DOWNLOAD_PUBLIC</x:v>
      </x:c>
      <x:c r="H190" s="275" t="str">
        <x:v>https://openneuro.org/datasets/ds005811</x:v>
      </x:c>
      <x:c r="I190" s="275" t="str">
        <x:v>Object recognition in naturalistic scenes (ImageNet viewing)</x:v>
      </x:c>
      <x:c r="J190" s="275" t="str">
        <x:v>35 (19 in EEG set)</x:v>
      </x:c>
      <x:c r="K190" s="275" t="str">
        <x:v>64</x:v>
      </x:c>
      <x:c r="L190" s="275" t="str">
        <x:v>500 Hz</x:v>
      </x:c>
      <x:c r="M190" s="275" t="str">
        <x:v>EEGLAB / BIDS</x:v>
      </x:c>
      <x:c r="N190" s="275" t="str">
        <x:v>Raw (BIDS)</x:v>
      </x:c>
      <x:c r="O190" s="275" t="str">
        <x:v>Open (OpenNeuro ds005811), CC0</x:v>
      </x:c>
      <x:c r="P190" s="275" t="str">
        <x:v>A large-scale MEG and EEG dataset for object recognition in naturalistic scenes. Zhang et al., 2025, Scientific Data 12.</x:v>
      </x:c>
      <x:c r="Q190" s="275" t="str">
        <x:v>05_Naturalistic_Stimulus_Decoding/Visual_Perception/THINGS-MEG_EEG_NOD</x:v>
      </x:c>
      <x:c r="R190" s="275" t="str">
        <x:v>存在公开仓库、官方入口或稳定数据访问号</x:v>
      </x:c>
      <x:c r="S190" s="275"/>
      <x:c r="T190" s="275"/>
      <x:c r="U190" s="276"/>
    </x:row>
    <x:row r="191" ht="60" customHeight="1">
      <x:c r="A191" s="264" t="str">
        <x:v>EEG-0340</x:v>
      </x:c>
      <x:c r="B191" s="257" t="str">
        <x:v>05_Naturalistic_Stimulus_Decoding</x:v>
      </x:c>
      <x:c r="C191" s="257" t="str">
        <x:v>Visual_Perception</x:v>
      </x:c>
      <x:c r="D191" s="257" t="str">
        <x:v>ThoughtViz</x:v>
      </x:c>
      <x:c r="E191" s="257"/>
      <x:c r="F191" s="257" t="str">
        <x:v>DOI:10.1109/ICASSP49660.2025.10890059</x:v>
      </x:c>
      <x:c r="G191" s="257" t="str">
        <x:v>DOWNLOAD_PUBLIC</x:v>
      </x:c>
      <x:c r="H191" s="257" t="str">
        <x:v>https://huggingface.co/datasets/luigi-s/EEG_Image_TVIZ_ALL_subj</x:v>
      </x:c>
      <x:c r="I191" s="257" t="str">
        <x:v>EEG-to-image generation</x:v>
      </x:c>
      <x:c r="J191" s="257" t="str">
        <x:v>23</x:v>
      </x:c>
      <x:c r="K191" s="257" t="str">
        <x:v>14</x:v>
      </x:c>
      <x:c r="L191" s="257" t="str">
        <x:v>128 Hz</x:v>
      </x:c>
      <x:c r="M191" s="257" t="str">
        <x:v>HF</x:v>
      </x:c>
      <x:c r="N191" s="257" t="str">
        <x:v>Processed Data</x:v>
      </x:c>
      <x:c r="O191" s="257" t="str">
        <x:v>Fully open</x:v>
      </x:c>
      <x:c r="P191" s="257" t="str">
        <x:v>DOI: 10.1109/ICASSP49660.2025.10890059</x:v>
      </x:c>
      <x:c r="Q191" s="257" t="str">
        <x:v>05_Naturalistic_Stimulus_Decoding/Visual_Perception/ThoughtViz</x:v>
      </x:c>
      <x:c r="R191" s="257" t="str">
        <x:v>存在公开仓库、官方入口或稳定数据访问号</x:v>
      </x:c>
      <x:c r="S191" s="257"/>
      <x:c r="T191" s="257"/>
      <x:c r="U191" s="213"/>
    </x:row>
    <x:row r="192" ht="60" customHeight="1">
      <x:c r="A192" s="274" t="str">
        <x:v>EEG-0341</x:v>
      </x:c>
      <x:c r="B192" s="275" t="str">
        <x:v>05_Naturalistic_Stimulus_Decoding</x:v>
      </x:c>
      <x:c r="C192" s="275" t="str">
        <x:v>Visual_Perception</x:v>
      </x:c>
      <x:c r="D192" s="275" t="str">
        <x:v>ToonFaces</x:v>
      </x:c>
      <x:c r="E192" s="275"/>
      <x:c r="F192" s="275" t="str">
        <x:v>OpenNeuro:ds004324 | DOI:10.18112/openneuro.ds004324.v1.0.0</x:v>
      </x:c>
      <x:c r="G192" s="275" t="str">
        <x:v>DOWNLOAD_PUBLIC</x:v>
      </x:c>
      <x:c r="H192" s="275" t="str">
        <x:v>[OpenNeuro ds004324](https://openneuro.org/datasets/ds004324/versions/1.0.0)</x:v>
      </x:c>
      <x:c r="I192" s="275" t="str">
        <x:v>RSVP</x:v>
      </x:c>
      <x:c r="J192" s="275" t="str">
        <x:v>26</x:v>
      </x:c>
      <x:c r="K192" s="275" t="str">
        <x:v>28</x:v>
      </x:c>
      <x:c r="L192" s="275" t="str">
        <x:v>500Hz</x:v>
      </x:c>
      <x:c r="M192" s="275" t="str">
        <x:v>BIDS</x:v>
      </x:c>
      <x:c r="N192" s="275" t="str">
        <x:v>raw BIDS</x:v>
      </x:c>
      <x:c r="O192" s="275" t="str">
        <x:v>OpenNeuro public download; ds004324 v1.0.0; license CC0; use web / OpenNeuro CLI / DataLad.</x:v>
      </x:c>
      <x:c r="P192" s="275" t="str">
        <x:v>Luis Alberto Barradas Chacón; Selina C. Wriessnegger; doi:10.18112/openneuro.ds004324.v1.0.0</x:v>
      </x:c>
      <x:c r="Q192" s="275" t="str">
        <x:v>05_Naturalistic_Stimulus_Decoding/Visual_Perception/ToonFaces</x:v>
      </x:c>
      <x:c r="R192" s="275" t="str">
        <x:v>存在公开仓库、官方入口或稳定数据访问号</x:v>
      </x:c>
      <x:c r="S192" s="275"/>
      <x:c r="T192" s="275"/>
      <x:c r="U192" s="276"/>
    </x:row>
    <x:row r="193" ht="60" customHeight="1">
      <x:c r="A193" s="264" t="str">
        <x:v>EEG-0342</x:v>
      </x:c>
      <x:c r="B193" s="257" t="str">
        <x:v>05_Naturalistic_Stimulus_Decoding</x:v>
      </x:c>
      <x:c r="C193" s="257" t="str">
        <x:v>Visual_Perception</x:v>
      </x:c>
      <x:c r="D193" s="257" t="str">
        <x:v>Visual Touch Perception EEG</x:v>
      </x:c>
      <x:c r="E193" s="257"/>
      <x:c r="F193" s="257" t="str">
        <x:v>OpenNeuro:ds005662</x:v>
      </x:c>
      <x:c r="G193" s="257" t="str">
        <x:v>DOWNLOAD_PUBLIC</x:v>
      </x:c>
      <x:c r="H193" s="257" t="str">
        <x:v>[OpenNeuro ds005662](https://openneuro.org/datasets/ds005662/versions/2.0.1)</x:v>
      </x:c>
      <x:c r="I193" s="257" t="str">
        <x:v>viewing touch video stimuli；visual touch perception</x:v>
      </x:c>
      <x:c r="J193" s="257" t="str">
        <x:v>80</x:v>
      </x:c>
      <x:c r="K193" s="257" t="str">
        <x:v>64</x:v>
      </x:c>
      <x:c r="L193" s="257" t="str">
        <x:v>2048Hz</x:v>
      </x:c>
      <x:c r="M193" s="257" t="str">
        <x:v>BIDS</x:v>
      </x:c>
      <x:c r="N193" s="257" t="str">
        <x:v>raw BIDS</x:v>
      </x:c>
      <x:c r="O193" s="257" t="str">
        <x:v>公开下载：OpenNeuro ds005662 v2.0.1；CC0，可网页、OpenNeuro CLI 或 DataLad 获取。</x:v>
      </x:c>
      <x:c r="P193" s="257" t="str">
        <x:v>Sophie Smit; Almudena Ramírez-Haro; Manuel Varlet; Denise Moerel; Genevieve L. Quek</x:v>
      </x:c>
      <x:c r="Q193" s="257" t="str">
        <x:v>05_Naturalistic_Stimulus_Decoding/Visual_Perception/Visual_Touch_Perception_EEG</x:v>
      </x:c>
      <x:c r="R193" s="257" t="str">
        <x:v>存在公开仓库、官方入口或稳定数据访问号</x:v>
      </x:c>
      <x:c r="S193" s="257"/>
      <x:c r="T193" s="257"/>
      <x:c r="U193" s="213"/>
    </x:row>
    <x:row r="194" ht="60" customHeight="1">
      <x:c r="A194" s="274" t="str">
        <x:v>EEG-0343</x:v>
      </x:c>
      <x:c r="B194" s="275" t="str">
        <x:v>05_Naturalistic_Stimulus_Decoding</x:v>
      </x:c>
      <x:c r="C194" s="275" t="str">
        <x:v>Visual_Perception</x:v>
      </x:c>
      <x:c r="D194" s="275" t="str">
        <x:v>Visual-Object-Recognition (Xue)</x:v>
      </x:c>
      <x:c r="E194" s="275"/>
      <x:c r="F194" s="275" t="str">
        <x:v>OpenNeuro:ds005589</x:v>
      </x:c>
      <x:c r="G194" s="275" t="str">
        <x:v>DOWNLOAD_PUBLIC</x:v>
      </x:c>
      <x:c r="H194" s="275" t="str">
        <x:v>https://openneuro.org/datasets/ds005589</x:v>
      </x:c>
      <x:c r="I194" s="275" t="str">
        <x:v>Visual object recognition (RSVP + low-speed)</x:v>
      </x:c>
      <x:c r="J194" s="275" t="str">
        <x:v>32</x:v>
      </x:c>
      <x:c r="K194" s="275" t="str">
        <x:v>64 (122 in HD subset)</x:v>
      </x:c>
      <x:c r="L194" s="275" t="str">
        <x:v>1000 Hz</x:v>
      </x:c>
      <x:c r="M194" s="275" t="str">
        <x:v>Curry / BIDS</x:v>
      </x:c>
      <x:c r="N194" s="275" t="str">
        <x:v>Raw (BIDS; + preprocessing scripts)</x:v>
      </x:c>
      <x:c r="O194" s="275" t="str">
        <x:v>Open (OpenNeuro ds005589), CC0</x:v>
      </x:c>
      <x:c r="P194" s="275" t="str">
        <x:v>A multi-subject and multi-session EEG dataset for modelling human visual object recognition. Xue et al., 2025, Scientific Data 12:663.</x:v>
      </x:c>
      <x:c r="Q194" s="275" t="str">
        <x:v>05_Naturalistic_Stimulus_Decoding/Visual_Perception/Visual-Object-Recognition_Xue</x:v>
      </x:c>
      <x:c r="R194" s="275" t="str">
        <x:v>存在公开仓库、官方入口或稳定数据访问号</x:v>
      </x:c>
      <x:c r="S194" s="275"/>
      <x:c r="T194" s="275"/>
      <x:c r="U194" s="276"/>
    </x:row>
    <x:row r="195" ht="60" customHeight="1">
      <x:c r="A195" s="264" t="str">
        <x:v>EEG-0344</x:v>
      </x:c>
      <x:c r="B195" s="257" t="str">
        <x:v>05_Naturalistic_Stimulus_Decoding</x:v>
      </x:c>
      <x:c r="C195" s="257" t="str">
        <x:v>Visual_Perception</x:v>
      </x:c>
      <x:c r="D195" s="257" t="str">
        <x:v>Zhang MEG+EEG Object Recognition Dataset</x:v>
      </x:c>
      <x:c r="E195" s="257"/>
      <x:c r="F195" s="257" t="str">
        <x:v>OpenNeuro:ds000117</x:v>
      </x:c>
      <x:c r="G195" s="257" t="str">
        <x:v>DOWNLOAD_PUBLIC</x:v>
      </x:c>
      <x:c r="H195" s="257" t="str">
        <x:v>[OpenNeuro ds000117](https://openneuro.org/datasets/ds000117)</x:v>
      </x:c>
      <x:c r="I195" s="257" t="str">
        <x:v>object recognition in naturalistic scenes；visual representation；MEG-EEG neural decoding</x:v>
      </x:c>
      <x:c r="J195" s="257" t="str">
        <x:v>35</x:v>
      </x:c>
      <x:c r="K195" s="257" t="str">
        <x:v>64</x:v>
      </x:c>
      <x:c r="L195" s="257" t="str">
        <x:v>500Hz</x:v>
      </x:c>
      <x:c r="M195" s="257" t="str">
        <x:v>EEGLAB</x:v>
      </x:c>
      <x:c r="N195" s="257" t="str">
        <x:v>raw BIDS</x:v>
      </x:c>
      <x:c r="O195" s="257" t="str">
        <x:v>公开下载：OpenNeuro ds000117 (https://openneuro.org/datasets/ds000117)；该多模态 EEG / MEG / MRI 数据可用 OpenNeuro CLI / DataLad 获取。</x:v>
      </x:c>
      <x:c r="P195" s="257" t="str">
        <x:v>Zhang et al. (2025)</x:v>
      </x:c>
      <x:c r="Q195" s="257" t="str">
        <x:v>05_Naturalistic_Stimulus_Decoding/Visual_Perception/Zhang_MEG_EEG_Object_Recognition_Dataset</x:v>
      </x:c>
      <x:c r="R195" s="257" t="str">
        <x:v>存在公开仓库、官方入口或稳定数据访问号</x:v>
      </x:c>
      <x:c r="S195" s="257"/>
      <x:c r="T195" s="257"/>
      <x:c r="U195" s="213"/>
    </x:row>
    <x:row r="196" ht="60" customHeight="1">
      <x:c r="A196" s="274" t="str">
        <x:v>EEG-0353</x:v>
      </x:c>
      <x:c r="B196" s="275" t="str">
        <x:v>06_Motor_and_Interaction</x:v>
      </x:c>
      <x:c r="C196" s="275" t="str">
        <x:v>Motor_Imagery_and_Execution</x:v>
      </x:c>
      <x:c r="D196" s="275" t="str">
        <x:v>BCI Competition IV 2b (BNCI 004-2014)</x:v>
      </x:c>
      <x:c r="E196" s="275" t="str">
        <x:v>BNCI2014_004; BCI Competition IV 2b</x:v>
      </x:c>
      <x:c r="F196" s="275" t="str">
        <x:v>BNCI:004-2014,BNCI 004-2014</x:v>
      </x:c>
      <x:c r="G196" s="275" t="str">
        <x:v>DOWNLOAD_PUBLIC</x:v>
      </x:c>
      <x:c r="H196" s="275" t="str">
        <x:v>http://bnci-horizon-2020.eu/database/data-sets</x:v>
      </x:c>
      <x:c r="I196" s="275" t="str">
        <x:v>2-class motor imagery (left/right hand) [pre-training]</x:v>
      </x:c>
      <x:c r="J196" s="275" t="str">
        <x:v>9.0</x:v>
      </x:c>
      <x:c r="K196" s="275" t="str">
        <x:v>3.0</x:v>
      </x:c>
      <x:c r="L196" s="275" t="str">
        <x:v>250.0</x:v>
      </x:c>
      <x:c r="M196" s="275" t="str">
        <x:v>GDF</x:v>
      </x:c>
      <x:c r="N196" s="275" t="str">
        <x:v>raw</x:v>
      </x:c>
      <x:c r="O196" s="275" t="str">
        <x:v>Open access via BNCI; license not re-verified</x:v>
      </x:c>
      <x:c r="P196" s="275" t="str">
        <x:v>Tangermann et al. (2012). Review of the BCI Competition IV. Frontiers in Neuroscience, 6, 55.</x:v>
      </x:c>
      <x:c r="Q196" s="275" t="str">
        <x:v>06_Motor_and_Interaction/Motor_Imagery_and_Execution/BCI_Competition_IV_2b_BNCI_004-2014</x:v>
      </x:c>
      <x:c r="R196" s="275" t="str">
        <x:v>存在公开仓库、官方入口或稳定数据访问号</x:v>
      </x:c>
      <x:c r="S196" s="275"/>
      <x:c r="T196" s="275"/>
      <x:c r="U196" s="276"/>
    </x:row>
    <x:row r="197" ht="60" customHeight="1">
      <x:c r="A197" s="264" t="str">
        <x:v>EEG-0355</x:v>
      </x:c>
      <x:c r="B197" s="257" t="str">
        <x:v>06_Motor_and_Interaction</x:v>
      </x:c>
      <x:c r="C197" s="257" t="str">
        <x:v>Motor_Imagery_and_Execution</x:v>
      </x:c>
      <x:c r="D197" s="257" t="str">
        <x:v>BCIC-IV-2a</x:v>
      </x:c>
      <x:c r="E197" s="257" t="str">
        <x:v>BNCI2014_001; BCI Competition IV 2a</x:v>
      </x:c>
      <x:c r="F197" s="257" t="str">
        <x:v>BNCI:001-2014,BNCI 001-2014</x:v>
      </x:c>
      <x:c r="G197" s="257" t="str">
        <x:v>DOWNLOAD_APPLICATION_REQUIRED</x:v>
      </x:c>
      <x:c r="H197" s="257" t="str">
        <x:v>[BNCI Horizon 001-2014](https://bnci-horizon-2020.eu/database/data-sets/001-2014)</x:v>
      </x:c>
      <x:c r="I197" s="257" t="str">
        <x:v>4-class motor imagery: left hand, right hand, both feet, tongue</x:v>
      </x:c>
      <x:c r="J197" s="257" t="str">
        <x:v>9</x:v>
      </x:c>
      <x:c r="K197" s="257" t="str">
        <x:v>22</x:v>
      </x:c>
      <x:c r="L197" s="257" t="str">
        <x:v>250Hz</x:v>
      </x:c>
      <x:c r="M197" s="257" t="str">
        <x:v>GDF</x:v>
      </x:c>
      <x:c r="N197" s="257" t="str">
        <x:v>raw / competition data</x:v>
      </x:c>
      <x:c r="O197" s="257" t="str">
        <x:v>公开下载：BNCI Horizon 001-2014 (https://bnci-horizon-2020.eu/database/data-sets/001-2014)；也可用 MOABB `BNCI2014_001` 自动下载。</x:v>
      </x:c>
      <x:c r="P197" s="257" t="str">
        <x:v>Brunner et al. (2008)</x:v>
      </x:c>
      <x:c r="Q197" s="257" t="str">
        <x:v>06_Motor_and_Interaction/Motor_Imagery_and_Execution/BCIC-IV-2a</x:v>
      </x:c>
      <x:c r="R197" s="257" t="str">
        <x:v>官方数据存在，但需申请、签署协议或获得权限</x:v>
      </x:c>
      <x:c r="S197" s="257"/>
      <x:c r="T197" s="257"/>
      <x:c r="U197" s="213"/>
    </x:row>
    <x:row r="198" ht="60" customHeight="1">
      <x:c r="A198" s="274" t="str">
        <x:v>EEG-0357</x:v>
      </x:c>
      <x:c r="B198" s="275" t="str">
        <x:v>06_Motor_and_Interaction</x:v>
      </x:c>
      <x:c r="C198" s="275" t="str">
        <x:v>Motor_Imagery_and_Execution</x:v>
      </x:c>
      <x:c r="D198" s="275" t="str">
        <x:v>Beamforming in Noninvasive Brain–Computer Interfaces Dataset</x:v>
      </x:c>
      <x:c r="E198" s="275" t="str">
        <x:v>Munich Motor Imagery Dataset (Grosse-Wentrup 2009) [EEG-0406]</x:v>
      </x:c>
      <x:c r="F198" s="275" t="str">
        <x:v>Zenodo:1217449 | DOI:10.1109/TBME.2008.2009768 | DOI:10.5281/zenodo.1217449</x:v>
      </x:c>
      <x:c r="G198" s="275" t="str">
        <x:v>DOWNLOAD_PUBLIC</x:v>
      </x:c>
      <x:c r="H198" s="275" t="str">
        <x:v>https://zenodo.org/records/1217449 | https://doi.org/10.5281/zenodo.1217449</x:v>
      </x:c>
      <x:c r="I198" s="275" t="str">
        <x:v>Two-class EEG motor imagery BCI；Motor imagery</x:v>
      </x:c>
      <x:c r="J198" s="275" t="str">
        <x:v>10</x:v>
      </x:c>
      <x:c r="K198" s="275" t="str">
        <x:v>128</x:v>
      </x:c>
      <x:c r="L198" s="275" t="str">
        <x:v>500 Hz</x:v>
      </x:c>
      <x:c r="M198" s="275" t="str">
        <x:v>.set</x:v>
      </x:c>
      <x:c r="N198" s="275" t="str">
        <x:v>RAW</x:v>
      </x:c>
      <x:c r="O198" s="275" t="str">
        <x:v>Fully open</x:v>
      </x:c>
      <x:c r="P198" s="275" t="str">
        <x:v>DOI: 10.1109/TBME.2008.2009768；Grosse-Wentrup et al. 2009</x:v>
      </x:c>
      <x:c r="Q198" s="275" t="str">
        <x:v>06_Motor_and_Interaction/Motor_Imagery_and_Execution/Beamforming_in_Noninvasive_Brain_Computer_Interfaces_Dataset</x:v>
      </x:c>
      <x:c r="R198" s="275" t="str">
        <x:v>存在公开仓库、官方入口或稳定数据访问号；2026-08-04去重：EEG-0406并入EEG-0357（Zenodo record 1217449）</x:v>
      </x:c>
      <x:c r="S198" s="275"/>
      <x:c r="T198" s="275"/>
      <x:c r="U198" s="276"/>
    </x:row>
    <x:row r="199" ht="60" customHeight="1">
      <x:c r="A199" s="264" t="str">
        <x:v>EEG-0360</x:v>
      </x:c>
      <x:c r="B199" s="257" t="str">
        <x:v>06_Motor_and_Interaction</x:v>
      </x:c>
      <x:c r="C199" s="257" t="str">
        <x:v>Motor_Imagery_and_Execution</x:v>
      </x:c>
      <x:c r="D199" s="257" t="str">
        <x:v>BNCI 001-2015 (Autocalibration</x:v>
      </x:c>
      <x:c r="E199" s="257" t="str">
        <x:v>BNCI2015_001</x:v>
      </x:c>
      <x:c r="F199" s="257" t="str">
        <x:v>BNCI:BNCI 001-2015</x:v>
      </x:c>
      <x:c r="G199" s="257" t="str">
        <x:v>DOWNLOAD_PUBLIC</x:v>
      </x:c>
      <x:c r="H199" s="257" t="str">
        <x:v>http://bnci-horizon-2020.eu/database/data-sets | [BNCI Horizon Data sets](https://bnci-horizon-2020.eu/database/data-sets)</x:v>
      </x:c>
      <x:c r="I199" s="257" t="str">
        <x:v>Two-class motor imagery with adaptive online feedback；Motor imagery (2-class); cross-session and cross-subject SFUDA classification with artificial label shifts</x:v>
      </x:c>
      <x:c r="J199" s="257" t="str">
        <x:v>12</x:v>
      </x:c>
      <x:c r="K199" s="257" t="str">
        <x:v>13 EEG channels</x:v>
      </x:c>
      <x:c r="L199" s="257" t="str">
        <x:v>512 Hz</x:v>
      </x:c>
      <x:c r="M199" s="257" t="str">
        <x:v>MAT</x:v>
      </x:c>
      <x:c r="N199" s="257" t="str">
        <x:v>Raw EEG</x:v>
      </x:c>
      <x:c r="O199" s="257" t="str">
        <x:v>Open, CC BY-NC-ND 4.0, no application</x:v>
      </x:c>
      <x:c r="P199" s="257" t="str">
        <x:v>Faller et al., TU Graz；Faller et al. (2012). Autocalibration and Recurrent Adaptation: Towards a Plug and Play Online ERD-BCI. IEEE Transactions on Neural Systems and Rehabilitation Engineering, 20(3), 313-319.</x:v>
      </x:c>
      <x:c r="Q199" s="257" t="str">
        <x:v>06_Motor_and_Interaction/Motor_Imagery_and_Execution/BNCI_001-2015_Autocalibration</x:v>
      </x:c>
      <x:c r="R199" s="257" t="str">
        <x:v>官方数据存在，但需申请、签署协议或获得权限；2026-08-04去重：EEG-0368并入EEG-0360（BNCI 001-2015 / BNCI2015001）</x:v>
      </x:c>
      <x:c r="S199" s="257"/>
      <x:c r="T199" s="257"/>
      <x:c r="U199" s="213"/>
    </x:row>
    <x:row r="200" ht="60" customHeight="1">
      <x:c r="A200" s="274" t="str">
        <x:v>EEG-0361</x:v>
      </x:c>
      <x:c r="B200" s="275" t="str">
        <x:v>06_Motor_and_Interaction</x:v>
      </x:c>
      <x:c r="C200" s="275" t="str">
        <x:v>Motor_Imagery_and_Execution</x:v>
      </x:c>
      <x:c r="D200" s="275" t="str">
        <x:v>BNCI 001-2016 (ECoG-based 1-class motor imagery BCI)</x:v>
      </x:c>
      <x:c r="E200" s="275"/>
      <x:c r="F200" s="275" t="str">
        <x:v>BNCI:BNCI 001-2016</x:v>
      </x:c>
      <x:c r="G200" s="275" t="str">
        <x:v>DOWNLOAD_PUBLIC</x:v>
      </x:c>
      <x:c r="H200" s="275" t="str">
        <x:v>http://bnci-horizon-2020.eu/database/data-sets</x:v>
      </x:c>
      <x:c r="I200" s="275" t="str">
        <x:v>ECoG cursor control using motor imagery vs rest</x:v>
      </x:c>
      <x:c r="J200" s="275" t="str">
        <x:v>10</x:v>
      </x:c>
      <x:c r="K200" s="275" t="str">
        <x:v>Subdural ECoG grid electrodes</x:v>
      </x:c>
      <x:c r="L200" s="275" t="str">
        <x:v>1000 Hz</x:v>
      </x:c>
      <x:c r="M200" s="275" t="str">
        <x:v>MAT</x:v>
      </x:c>
      <x:c r="N200" s="275" t="str">
        <x:v>Raw ECoG</x:v>
      </x:c>
      <x:c r="O200" s="275" t="str">
        <x:v>Open Access</x:v>
      </x:c>
      <x:c r="P200" s="275" t="str">
        <x:v>Wander et al. 2016</x:v>
      </x:c>
      <x:c r="Q200" s="275" t="str">
        <x:v>06_Motor_and_Interaction/Motor_Imagery_and_Execution/BNCI_001-2016_ECoG-based_1-class_motor_imagery_BCI</x:v>
      </x:c>
      <x:c r="R200" s="275" t="str">
        <x:v>存在公开仓库、官方入口或稳定数据访问号</x:v>
      </x:c>
      <x:c r="S200" s="275"/>
      <x:c r="T200" s="275"/>
      <x:c r="U200" s="276"/>
    </x:row>
    <x:row r="201" ht="60" customHeight="1">
      <x:c r="A201" s="264" t="str">
        <x:v>EEG-0362</x:v>
      </x:c>
      <x:c r="B201" s="257" t="str">
        <x:v>06_Motor_and_Interaction</x:v>
      </x:c>
      <x:c r="C201" s="257" t="str">
        <x:v>Motor_Imagery_and_Execution</x:v>
      </x:c>
      <x:c r="D201" s="257" t="str">
        <x:v>BNCI 001-2020 (Reach &amp; grasp, gel</x:v>
      </x:c>
      <x:c r="E201" s="257" t="str">
        <x:v>BNCI2020_001 [EEG-0370]</x:v>
      </x:c>
      <x:c r="F201" s="257" t="str">
        <x:v>BNCI:BNCI 001-2020</x:v>
      </x:c>
      <x:c r="G201" s="257" t="str">
        <x:v>DOWNLOAD_PUBLIC</x:v>
      </x:c>
      <x:c r="H201" s="257" t="str">
        <x:v>http://bnci-horizon-2020.eu/database/data-sets | [BNCI Horizon Data sets](https://bnci-horizon-2020.eu/database/data-sets)</x:v>
      </x:c>
      <x:c r="I201" s="257" t="str">
        <x:v>Decoding reach-and-grasp to compare gel, water, and dry electrodes；3-class upper-limb motor imagery</x:v>
      </x:c>
      <x:c r="J201" s="257" t="str">
        <x:v>45</x:v>
      </x:c>
      <x:c r="K201" s="257" t="str">
        <x:v>58 EEG (Gel), 32 EEG (Water), 11 EEG (Dry) + 6 EOG channels</x:v>
      </x:c>
      <x:c r="L201" s="257" t="str">
        <x:v>256 Hz</x:v>
      </x:c>
      <x:c r="M201" s="257" t="str">
        <x:v>MAT</x:v>
      </x:c>
      <x:c r="N201" s="257" t="str">
        <x:v>Raw EEG + EOG</x:v>
      </x:c>
      <x:c r="O201" s="257" t="str">
        <x:v>Open, CC BY 4.0, no application</x:v>
      </x:c>
      <x:c r="P201" s="257" t="str">
        <x:v>Schwarz et al. 2020；未给出</x:v>
      </x:c>
      <x:c r="Q201" s="257" t="str">
        <x:v>06_Motor_and_Interaction/Motor_Imagery_and_Execution/BNCI_001-2020_Reach_grasp_gel</x:v>
      </x:c>
      <x:c r="R201" s="257" t="str">
        <x:v>官方数据存在，但需申请、签署协议或获得权限；2026-08-04去重：EEG-0370并入EEG-0362（BNCI 001-2020 / BNCI2020_001）</x:v>
      </x:c>
      <x:c r="S201" s="257"/>
      <x:c r="T201" s="257"/>
      <x:c r="U201" s="213"/>
    </x:row>
    <x:row r="202" ht="60" customHeight="1">
      <x:c r="A202" s="274" t="str">
        <x:v>EEG-0363</x:v>
      </x:c>
      <x:c r="B202" s="275" t="str">
        <x:v>06_Motor_and_Interaction</x:v>
      </x:c>
      <x:c r="C202" s="275" t="str">
        <x:v>Motor_Imagery_and_Execution</x:v>
      </x:c>
      <x:c r="D202" s="275" t="str">
        <x:v>BNCI 002-2014 (Two-class MI)</x:v>
      </x:c>
      <x:c r="E202" s="275" t="str">
        <x:v>BNCI2014002 [EEG-0367]</x:v>
      </x:c>
      <x:c r="F202" s="275" t="str">
        <x:v>BNCI:BNCI 002-2014</x:v>
      </x:c>
      <x:c r="G202" s="275" t="str">
        <x:v>DOWNLOAD_PUBLIC</x:v>
      </x:c>
      <x:c r="H202" s="275" t="str">
        <x:v>http://bnci-horizon-2020.eu/database/data-sets | [BNCI Horizon Data sets](https://bnci-horizon-2020.eu/database/data-sets)</x:v>
      </x:c>
      <x:c r="I202" s="275" t="str">
        <x:v>Two-class motor imagery (right hand, feet)；Motor imagery decoding (2-class: right hand / both feet) - test-time adaptation</x:v>
      </x:c>
      <x:c r="J202" s="275" t="str">
        <x:v>14</x:v>
      </x:c>
      <x:c r="K202" s="275" t="str">
        <x:v>15 EEG channels</x:v>
      </x:c>
      <x:c r="L202" s="275" t="str">
        <x:v>512 Hz</x:v>
      </x:c>
      <x:c r="M202" s="275" t="str">
        <x:v>MAT</x:v>
      </x:c>
      <x:c r="N202" s="275" t="str">
        <x:v>Raw EEG</x:v>
      </x:c>
      <x:c r="O202" s="275" t="str">
        <x:v>Open, CC BY-ND 4.0, no application</x:v>
      </x:c>
      <x:c r="P202" s="275" t="str">
        <x:v>Steyrl et al., TU Graz；Steyrl et al. (2016). Random forests in non-invasive sensorimotor rhythm brain-computer interfaces: a practical and convenient non-linear classifier. Biomedical Engineering / Biomedizinische Technik, 61(1), 77-86.</x:v>
      </x:c>
      <x:c r="Q202" s="275" t="str">
        <x:v>06_Motor_and_Interaction/Motor_Imagery_and_Execution/BNCI_002-2014_Two-class_MI</x:v>
      </x:c>
      <x:c r="R202" s="275" t="str">
        <x:v>官方数据存在，但需申请、签署协议或获得权限；2026-08-04去重：EEG-0367并入EEG-0363（BNCI 002-2014 / BNCI2014002）</x:v>
      </x:c>
      <x:c r="S202" s="275"/>
      <x:c r="T202" s="275"/>
      <x:c r="U202" s="276"/>
    </x:row>
    <x:row r="203" ht="60" customHeight="1">
      <x:c r="A203" s="264" t="str">
        <x:v>EEG-0364</x:v>
      </x:c>
      <x:c r="B203" s="257" t="str">
        <x:v>06_Motor_and_Interaction</x:v>
      </x:c>
      <x:c r="C203" s="257" t="str">
        <x:v>Motor_Imagery_and_Execution</x:v>
      </x:c>
      <x:c r="D203" s="257" t="str">
        <x:v>BNCI 002-2015 (Neuroprosthetic control of an EEG</x:v>
      </x:c>
      <x:c r="E203" s="257"/>
      <x:c r="F203" s="257" t="str">
        <x:v>BNCI:BNCI 002-2015</x:v>
      </x:c>
      <x:c r="G203" s="257" t="str">
        <x:v>DOWNLOAD_PUBLIC</x:v>
      </x:c>
      <x:c r="H203" s="257" t="str">
        <x:v>http://bnci-horizon-2020.eu/database/data-sets</x:v>
      </x:c>
      <x:c r="I203" s="257" t="str">
        <x:v>Hybrid EEG/EOG BCI right-hand exoskeleton control</x:v>
      </x:c>
      <x:c r="J203" s="257" t="str">
        <x:v>1</x:v>
      </x:c>
      <x:c r="K203" s="257" t="str">
        <x:v>5 EEG + 2 EOG channels</x:v>
      </x:c>
      <x:c r="L203" s="257" t="str">
        <x:v>200 Hz</x:v>
      </x:c>
      <x:c r="M203" s="257" t="str">
        <x:v>MAT</x:v>
      </x:c>
      <x:c r="N203" s="257" t="str">
        <x:v>Raw EEG + EOG</x:v>
      </x:c>
      <x:c r="O203" s="257" t="str">
        <x:v>Open Access</x:v>
      </x:c>
      <x:c r="P203" s="257" t="str">
        <x:v>Vansteensel et al. 2010</x:v>
      </x:c>
      <x:c r="Q203" s="257" t="str">
        <x:v>06_Motor_and_Interaction/Motor_Imagery_and_Execution/BNCI_002-2015_Neuroprosthetic_control_of_an_EEG</x:v>
      </x:c>
      <x:c r="R203" s="257" t="str">
        <x:v>存在公开仓库、官方入口或稳定数据访问号</x:v>
      </x:c>
      <x:c r="S203" s="257"/>
      <x:c r="T203" s="257"/>
      <x:c r="U203" s="213"/>
    </x:row>
    <x:row r="204" ht="60" customHeight="1">
      <x:c r="A204" s="274" t="str">
        <x:v>EEG-0377</x:v>
      </x:c>
      <x:c r="B204" s="275" t="str">
        <x:v>06_Motor_and_Interaction</x:v>
      </x:c>
      <x:c r="C204" s="275" t="str">
        <x:v>Motor_Imagery_and_Execution</x:v>
      </x:c>
      <x:c r="D204" s="275" t="str">
        <x:v>Cho-MI</x:v>
      </x:c>
      <x:c r="E204" s="275"/>
      <x:c r="F204" s="275" t="str">
        <x:v>DOI:10.5524/100295</x:v>
      </x:c>
      <x:c r="G204" s="275" t="str">
        <x:v>DOWNLOAD_APPLICATION_REQUIRED</x:v>
      </x:c>
      <x:c r="H204" s="275" t="str">
        <x:v>http://gigadb.org/dataset/100295</x:v>
      </x:c>
      <x:c r="I204" s="275" t="str">
        <x:v>Motor imagery (left/right hand)</x:v>
      </x:c>
      <x:c r="J204" s="275" t="str">
        <x:v>52</x:v>
      </x:c>
      <x:c r="K204" s="275" t="str">
        <x:v>64 (+4 EMG)</x:v>
      </x:c>
      <x:c r="L204" s="275" t="str">
        <x:v>512 Hz</x:v>
      </x:c>
      <x:c r="M204" s="275" t="str">
        <x:v>MAT</x:v>
      </x:c>
      <x:c r="N204" s="275" t="str">
        <x:v>Both (raw + trial indices/ERD-ERS validation)</x:v>
      </x:c>
      <x:c r="O204" s="275" t="str">
        <x:v>Open (GigaDB, DOI 10.5524/100295), no application</x:v>
      </x:c>
      <x:c r="P204" s="275" t="str">
        <x:v>EEG datasets for motor imagery brain-computer interface. Cho et al., 2017, GigaScience 6(7):gix034.</x:v>
      </x:c>
      <x:c r="Q204" s="275" t="str">
        <x:v>06_Motor_and_Interaction/Motor_Imagery_and_Execution/Cho-MI</x:v>
      </x:c>
      <x:c r="R204" s="275" t="str">
        <x:v>官方数据存在，但需申请、签署协议或获得权限</x:v>
      </x:c>
      <x:c r="S204" s="275"/>
      <x:c r="T204" s="275"/>
      <x:c r="U204" s="276"/>
    </x:row>
    <x:row r="205" ht="60" customHeight="1">
      <x:c r="A205" s="264" t="str">
        <x:v>EEG-0378</x:v>
      </x:c>
      <x:c r="B205" s="257" t="str">
        <x:v>06_Motor_and_Interaction</x:v>
      </x:c>
      <x:c r="C205" s="257" t="str">
        <x:v>Motor_Imagery_and_Execution</x:v>
      </x:c>
      <x:c r="D205" s="257" t="str">
        <x:v>Continuous-SMR-BCI</x:v>
      </x:c>
      <x:c r="E205" s="257"/>
      <x:c r="F205" s="257" t="str">
        <x:v>Figshare:13123148 | DOI:10.6084/m9.figshare.13123148</x:v>
      </x:c>
      <x:c r="G205" s="257" t="str">
        <x:v>DOWNLOAD_PUBLIC</x:v>
      </x:c>
      <x:c r="H205" s="257" t="str">
        <x:v>https://doi.org/10.6084/m9.figshare.13123148</x:v>
      </x:c>
      <x:c r="I205" s="257" t="str">
        <x:v>Continuous sensorimotor-rhythm BCI learning</x:v>
      </x:c>
      <x:c r="J205" s="257" t="str">
        <x:v>62</x:v>
      </x:c>
      <x:c r="K205" s="257" t="str">
        <x:v>64</x:v>
      </x:c>
      <x:c r="L205" s="257" t="str">
        <x:v>1000 Hz</x:v>
      </x:c>
      <x:c r="M205" s="257" t="str">
        <x:v>MAT</x:v>
      </x:c>
      <x:c r="N205" s="257" t="str">
        <x:v>Raw (+ behavioral success rates)</x:v>
      </x:c>
      <x:c r="O205" s="257" t="str">
        <x:v>Open (figshare 13123148), CC BY 4.0</x:v>
      </x:c>
      <x:c r="P205" s="257" t="str">
        <x:v>Continuous sensorimotor rhythm based brain computer interface learning in a large population. Stieger et al., 2021, Scientific Data 8:98.</x:v>
      </x:c>
      <x:c r="Q205" s="257" t="str">
        <x:v>06_Motor_and_Interaction/Motor_Imagery_and_Execution/Continuous-SMR-BCI</x:v>
      </x:c>
      <x:c r="R205" s="257" t="str">
        <x:v>存在公开仓库、官方入口或稳定数据访问号</x:v>
      </x:c>
      <x:c r="S205" s="257"/>
      <x:c r="T205" s="257"/>
      <x:c r="U205" s="213"/>
    </x:row>
    <x:row r="206" ht="60" customHeight="1">
      <x:c r="A206" s="274" t="str">
        <x:v>EEG-0379</x:v>
      </x:c>
      <x:c r="B206" s="275" t="str">
        <x:v>06_Motor_and_Interaction</x:v>
      </x:c>
      <x:c r="C206" s="275" t="str">
        <x:v>Motor_Imagery_and_Execution</x:v>
      </x:c>
      <x:c r="D206" s="275" t="str">
        <x:v>Cross-Environment Multi-Paradigm Motor Imagery EEG</x:v>
      </x:c>
      <x:c r="E206" s="275"/>
      <x:c r="F206" s="275" t="str">
        <x:v>OpenNeuro:ds007221</x:v>
      </x:c>
      <x:c r="G206" s="275" t="str">
        <x:v>DOWNLOAD_PUBLIC</x:v>
      </x:c>
      <x:c r="H206" s="275" t="str">
        <x:v>[OpenNeuro ds007221](https://openneuro.org/datasets/ds007221/versions/1.0.1)</x:v>
      </x:c>
      <x:c r="I206" s="275" t="str">
        <x:v>Graz MI, hybrid online, SSMVEP-MI, hybrid paradigm；cross-environment BCI</x:v>
      </x:c>
      <x:c r="J206" s="275" t="str">
        <x:v>84</x:v>
      </x:c>
      <x:c r="K206" s="275" t="str">
        <x:v>64</x:v>
      </x:c>
      <x:c r="L206" s="275" t="str">
        <x:v>1000Hz</x:v>
      </x:c>
      <x:c r="M206" s="275" t="str">
        <x:v>BIDS</x:v>
      </x:c>
      <x:c r="N206" s="275" t="str">
        <x:v>raw BIDS</x:v>
      </x:c>
      <x:c r="O206" s="275" t="str">
        <x:v>公开下载：OpenNeuro ds007221 v1.0.1；CC0，可网页、OpenNeuro CLI 或 DataLad 获取。</x:v>
      </x:c>
      <x:c r="P206" s="275" t="str">
        <x:v>Sun Xinwei; Wang Kun; Pan Lincong; Cao Yupei; Meng Lin</x:v>
      </x:c>
      <x:c r="Q206" s="275" t="str">
        <x:v>06_Motor_and_Interaction/Motor_Imagery_and_Execution/Cross-Environment_Multi-Paradigm_Motor_Imagery_EEG</x:v>
      </x:c>
      <x:c r="R206" s="275" t="str">
        <x:v>存在公开仓库、官方入口或稳定数据访问号</x:v>
      </x:c>
      <x:c r="S206" s="275"/>
      <x:c r="T206" s="275"/>
      <x:c r="U206" s="276"/>
    </x:row>
    <x:row r="207" ht="60" customHeight="1">
      <x:c r="A207" s="264" t="str">
        <x:v>EEG-0380</x:v>
      </x:c>
      <x:c r="B207" s="257" t="str">
        <x:v>06_Motor_and_Interaction</x:v>
      </x:c>
      <x:c r="C207" s="257" t="str">
        <x:v>Motor_Imagery_and_Execution</x:v>
      </x:c>
      <x:c r="D207" s="257" t="str">
        <x:v>Dreyer-MI</x:v>
      </x:c>
      <x:c r="E207" s="257" t="str">
        <x:v>Dreyer2023</x:v>
      </x:c>
      <x:c r="F207" s="257" t="str">
        <x:v>Zenodo:8089820 | DOI:10.5281/zenodo.8089820</x:v>
      </x:c>
      <x:c r="G207" s="257" t="str">
        <x:v>DOWNLOAD_PUBLIC</x:v>
      </x:c>
      <x:c r="H207" s="257" t="str">
        <x:v>https://doi.org/10.5281/zenodo.8089820</x:v>
      </x:c>
      <x:c r="I207" s="257" t="str">
        <x:v>Motor imagery (left/right hand) + user profiles</x:v>
      </x:c>
      <x:c r="J207" s="257" t="str">
        <x:v>87 (A60/B21/C6)</x:v>
      </x:c>
      <x:c r="K207" s="257" t="str">
        <x:v>27 (+EOG)</x:v>
      </x:c>
      <x:c r="L207" s="257" t="str">
        <x:v>512 Hz</x:v>
      </x:c>
      <x:c r="M207" s="257" t="str">
        <x:v>GDF (OpenViBE)</x:v>
      </x:c>
      <x:c r="N207" s="257" t="str">
        <x:v>Raw (+ questionnaires/performance)</x:v>
      </x:c>
      <x:c r="O207" s="257" t="str">
        <x:v>Open (Zenodo 8089820), CC-BY 4.0</x:v>
      </x:c>
      <x:c r="P207" s="257" t="str">
        <x:v>A large EEG database with users' profile information for motor imagery brain-computer interface research. Dreyer et al., 2023, Scientific Data 10:580.</x:v>
      </x:c>
      <x:c r="Q207" s="257" t="str">
        <x:v>06_Motor_and_Interaction/Motor_Imagery_and_Execution/Dreyer-MI</x:v>
      </x:c>
      <x:c r="R207" s="257" t="str">
        <x:v>存在公开仓库、官方入口或稳定数据访问号</x:v>
      </x:c>
      <x:c r="S207" s="257"/>
      <x:c r="T207" s="257"/>
      <x:c r="U207" s="213"/>
    </x:row>
    <x:row r="208" ht="60" customHeight="1">
      <x:c r="A208" s="274" t="str">
        <x:v>EEG-0383</x:v>
      </x:c>
      <x:c r="B208" s="275" t="str">
        <x:v>06_Motor_and_Interaction</x:v>
      </x:c>
      <x:c r="C208" s="275" t="str">
        <x:v>Motor_Imagery_and_Execution</x:v>
      </x:c>
      <x:c r="D208" s="275" t="str">
        <x:v>EEGMMIDB (PhysioNet-MI)</x:v>
      </x:c>
      <x:c r="E208" s="275"/>
      <x:c r="F208" s="275" t="str">
        <x:v>PhysioNet:eegmmidb</x:v>
      </x:c>
      <x:c r="G208" s="275" t="str">
        <x:v>DOWNLOAD_APPLICATION_REQUIRED</x:v>
      </x:c>
      <x:c r="H208" s="275" t="str">
        <x:v>https://physionet.org/content/eegmmidb/1.0.0/</x:v>
      </x:c>
      <x:c r="I208" s="275" t="str">
        <x:v>Motor imagery &amp; movement (OmniEEG: MI 4-class)</x:v>
      </x:c>
      <x:c r="J208" s="275" t="str">
        <x:v>109</x:v>
      </x:c>
      <x:c r="K208" s="275" t="str">
        <x:v>64</x:v>
      </x:c>
      <x:c r="L208" s="275" t="str">
        <x:v>160 Hz</x:v>
      </x:c>
      <x:c r="M208" s="275" t="str">
        <x:v>EDF+</x:v>
      </x:c>
      <x:c r="N208" s="275" t="str">
        <x:v>Raw</x:v>
      </x:c>
      <x:c r="O208" s="275" t="str">
        <x:v>Open, ODC-By v1.0, no application</x:v>
      </x:c>
      <x:c r="P208" s="275" t="str">
        <x:v>BCI2000: a general-purpose brain-computer interface (BCI) system. Schalk et al., 2004, IEEE TBME 51(6):1034-1043 (PhysioNet EEG Motor Movement/Imagery Database).</x:v>
      </x:c>
      <x:c r="Q208" s="275" t="str">
        <x:v>06_Motor_and_Interaction/Motor_Imagery_and_Execution/EEGMMIDB_PhysioNet-MI</x:v>
      </x:c>
      <x:c r="R208" s="275" t="str">
        <x:v>官方数据存在，但需申请、签署协议或获得权限</x:v>
      </x:c>
      <x:c r="S208" s="275"/>
      <x:c r="T208" s="275"/>
      <x:c r="U208" s="276"/>
    </x:row>
    <x:row r="209" ht="60" customHeight="1">
      <x:c r="A209" s="264" t="str">
        <x:v>EEG-0385</x:v>
      </x:c>
      <x:c r="B209" s="257" t="str">
        <x:v>06_Motor_and_Interaction</x:v>
      </x:c>
      <x:c r="C209" s="257" t="str">
        <x:v>Motor_Imagery_and_Execution</x:v>
      </x:c>
      <x:c r="D209" s="257" t="str">
        <x:v>free walking study</x:v>
      </x:c>
      <x:c r="E209" s="257"/>
      <x:c r="F209" s="257" t="str">
        <x:v>OpenNeuro:ds003039 | DOI:10.1111/ejn.14965</x:v>
      </x:c>
      <x:c r="G209" s="257" t="str">
        <x:v>DOWNLOAD_PUBLIC</x:v>
      </x:c>
      <x:c r="H209" s="257" t="str">
        <x:v>https://openneuro.org/datasets/ds003039</x:v>
      </x:c>
      <x:c r="I209" s="257" t="str">
        <x:v>outdoor mobile EEG gait task</x:v>
      </x:c>
      <x:c r="J209" s="257" t="str">
        <x:v>19</x:v>
      </x:c>
      <x:c r="K209" s="257" t="str">
        <x:v>64</x:v>
      </x:c>
      <x:c r="L209" s="257" t="str">
        <x:v>500 Hz</x:v>
      </x:c>
      <x:c r="M209" s="257" t="str">
        <x:v>BIDS</x:v>
      </x:c>
      <x:c r="N209" s="257" t="str">
        <x:v>RAW</x:v>
      </x:c>
      <x:c r="O209" s="257" t="str">
        <x:v>Fully open</x:v>
      </x:c>
      <x:c r="P209" s="257" t="str">
        <x:v>DOI: 10.1111/ejn.14965</x:v>
      </x:c>
      <x:c r="Q209" s="257" t="str">
        <x:v>06_Motor_and_Interaction/Motor_Imagery_and_Execution/free_walking_study</x:v>
      </x:c>
      <x:c r="R209" s="257" t="str">
        <x:v>存在公开仓库、官方入口或稳定数据访问号</x:v>
      </x:c>
      <x:c r="S209" s="257"/>
      <x:c r="T209" s="257"/>
      <x:c r="U209" s="213"/>
    </x:row>
    <x:row r="210" ht="60" customHeight="1">
      <x:c r="A210" s="274" t="str">
        <x:v>EEG-0386</x:v>
      </x:c>
      <x:c r="B210" s="275" t="str">
        <x:v>06_Motor_and_Interaction</x:v>
      </x:c>
      <x:c r="C210" s="275" t="str">
        <x:v>Motor_Imagery_and_Execution</x:v>
      </x:c>
      <x:c r="D210" s="275" t="str">
        <x:v>Grasp-and-Lift EEG Challenge</x:v>
      </x:c>
      <x:c r="E210" s="275"/>
      <x:c r="F210" s="275" t="str">
        <x:v>Figshare:988376</x:v>
      </x:c>
      <x:c r="G210" s="275" t="str">
        <x:v>DOWNLOAD_PUBLIC</x:v>
      </x:c>
      <x:c r="H210" s="275" t="str">
        <x:v>[Kaggle Grasp-and-Lift EEG Detection](https://www.kaggle.com/competitions/grasp-and-lift-eeg-detection/data)</x:v>
      </x:c>
      <x:c r="I210" s="275" t="str">
        <x:v>Grasp-and-lift event detection；常见事件包括 HandStart, FirstDigitTouch, BothStartLoadPhase, LiftOff, Replace, BothReleased</x:v>
      </x:c>
      <x:c r="J210" s="275" t="str">
        <x:v>12.0</x:v>
      </x:c>
      <x:c r="K210" s="275" t="str">
        <x:v>32.0</x:v>
      </x:c>
      <x:c r="L210" s="275" t="str">
        <x:v>500.0</x:v>
      </x:c>
      <x:c r="M210" s="275" t="str">
        <x:v>CSV (*_data.csv EEG + *_events.csv labels, Kaggle competition distribution)</x:v>
      </x:c>
      <x:c r="N210" s="275" t="str">
        <x:v>both</x:v>
      </x:c>
      <x:c r="O210" s="275" t="str">
        <x:v>公开下载：Kaggle Grasp-and-Lift EEG Detection (https://www.kaggle.com/competitions/grasp-and-lift-eeg-detection/data)；原始 WAY-EEG-GAL 也可从 Figshare collection (https://figshare.com/collections/WAY_EEG_GAL_Multi_channel_EEG_Recordings_During_3_936_Grasp_and_Lift_Trials_with_Varying_Weight_and_Friction/988376) 获取。</x:v>
      </x:c>
      <x:c r="P210" s="275" t="str">
        <x:v>Luciw, Jarocka &amp; Edin (2014). Multi-channel EEG Recordings During 3,936 Grasp and Lift Trials with Varying Weight and Friction. Scientific Data, 1, 140047.</x:v>
      </x:c>
      <x:c r="Q210" s="275" t="str">
        <x:v>06_Motor_and_Interaction/Motor_Imagery_and_Execution/Grasp-and-Lift_EEG_Challenge</x:v>
      </x:c>
      <x:c r="R210" s="275" t="str">
        <x:v>存在公开仓库、官方入口或稳定数据访问号</x:v>
      </x:c>
      <x:c r="S210" s="275"/>
      <x:c r="T210" s="275"/>
      <x:c r="U210" s="276"/>
    </x:row>
    <x:row r="211" ht="60" customHeight="1">
      <x:c r="A211" s="264" t="str">
        <x:v>EEG-0390</x:v>
      </x:c>
      <x:c r="B211" s="257" t="str">
        <x:v>06_Motor_and_Interaction</x:v>
      </x:c>
      <x:c r="C211" s="257" t="str">
        <x:v>Motor_Imagery_and_Execution</x:v>
      </x:c>
      <x:c r="D211" s="257" t="str">
        <x:v>HD-SMR-BMI</x:v>
      </x:c>
      <x:c r="E211" s="257"/>
      <x:c r="F211" s="257" t="str">
        <x:v>OpenNeuro:ds004444</x:v>
      </x:c>
      <x:c r="G211" s="257" t="str">
        <x:v>DOWNLOAD_PUBLIC</x:v>
      </x:c>
      <x:c r="H211" s="257" t="str">
        <x:v>https://openneuro.org/datasets/ds004444</x:v>
      </x:c>
      <x:c r="I211" s="257" t="str">
        <x:v>Sensorimotor-rhythm BMI neurofeedback</x:v>
      </x:c>
      <x:c r="J211" s="257" t="str">
        <x:v>30 (138 across set*)</x:v>
      </x:c>
      <x:c r="K211" s="257" t="str">
        <x:v>128</x:v>
      </x:c>
      <x:c r="L211" s="257" t="str">
        <x:v>1000 Hz</x:v>
      </x:c>
      <x:c r="M211" s="257" t="str">
        <x:v>EDF / BIDS</x:v>
      </x:c>
      <x:c r="N211" s="257" t="str">
        <x:v>Raw (EDF, EEG-BIDS)</x:v>
      </x:c>
      <x:c r="O211" s="257" t="str">
        <x:v>Open (OpenNeuro ds004444), CC0</x:v>
      </x:c>
      <x:c r="P211" s="257" t="str">
        <x:v>High-density scalp electroencephalogram dataset during sensorimotor rhythm-based brain-computer interfacing. Iwama et al., 2023, Scientific Data 10:385.</x:v>
      </x:c>
      <x:c r="Q211" s="257" t="str">
        <x:v>06_Motor_and_Interaction/Motor_Imagery_and_Execution/HD-SMR-BMI</x:v>
      </x:c>
      <x:c r="R211" s="257" t="str">
        <x:v>存在公开仓库、官方入口或稳定数据访问号</x:v>
      </x:c>
      <x:c r="S211" s="257"/>
      <x:c r="T211" s="257"/>
      <x:c r="U211" s="213"/>
    </x:row>
    <x:row r="212" ht="60" customHeight="1">
      <x:c r="A212" s="274" t="str">
        <x:v>EEG-0392</x:v>
      </x:c>
      <x:c r="B212" s="275" t="str">
        <x:v>06_Motor_and_Interaction</x:v>
      </x:c>
      <x:c r="C212" s="275" t="str">
        <x:v>Motor_Imagery_and_Execution</x:v>
      </x:c>
      <x:c r="D212" s="275" t="str">
        <x:v>Kaya-MI</x:v>
      </x:c>
      <x:c r="E212" s="275" t="str">
        <x:v>Kaya (2017)</x:v>
      </x:c>
      <x:c r="F212" s="275" t="str">
        <x:v>Figshare:3917698 | DOI:10.6084/m9.figshare.c.3917698.v1</x:v>
      </x:c>
      <x:c r="G212" s="275" t="str">
        <x:v>DOWNLOAD_APPLICATION_REQUIRED</x:v>
      </x:c>
      <x:c r="H212" s="275" t="str">
        <x:v>https://figshare.com/collections/A_large_electroencephalographic_motor_imagery_dataset.../3917698</x:v>
      </x:c>
      <x:c r="I212" s="275" t="str">
        <x:v>Motor imagery (large 4-paradigm MI)</x:v>
      </x:c>
      <x:c r="J212" s="275" t="str">
        <x:v>13</x:v>
      </x:c>
      <x:c r="K212" s="275" t="str">
        <x:v>22 (19 EEG +A1/A2)</x:v>
      </x:c>
      <x:c r="L212" s="275" t="str">
        <x:v>1000/200 Hz</x:v>
      </x:c>
      <x:c r="M212" s="275" t="str">
        <x:v>MAT</x:v>
      </x:c>
      <x:c r="N212" s="275" t="str">
        <x:v>Both (raw ASCII-&gt;MAT + scripts)</x:v>
      </x:c>
      <x:c r="O212" s="275" t="str">
        <x:v>Open (figshare c.3917698), CC-BY</x:v>
      </x:c>
      <x:c r="P212" s="275" t="str">
        <x:v>A large electroencephalographic motor imagery dataset for electroencephalographic brain computer interfaces. Kaya et al., 2018, Scientific Data 5:180211.</x:v>
      </x:c>
      <x:c r="Q212" s="275" t="str">
        <x:v>06_Motor_and_Interaction/Motor_Imagery_and_Execution/Kaya-MI</x:v>
      </x:c>
      <x:c r="R212" s="275" t="str">
        <x:v>官方数据存在，但需申请、签署协议或获得权限</x:v>
      </x:c>
      <x:c r="S212" s="275"/>
      <x:c r="T212" s="275"/>
      <x:c r="U212" s="276"/>
    </x:row>
    <x:row r="213" ht="60" customHeight="1">
      <x:c r="A213" s="264" t="str">
        <x:v>EEG-0398</x:v>
      </x:c>
      <x:c r="B213" s="257" t="str">
        <x:v>06_Motor_and_Interaction</x:v>
      </x:c>
      <x:c r="C213" s="257" t="str">
        <x:v>Motor_Imagery_and_Execution</x:v>
      </x:c>
      <x:c r="D213" s="257" t="str">
        <x:v>Ma (2020)</x:v>
      </x:c>
      <x:c r="E213" s="257" t="str">
        <x:v>Ma2020</x:v>
      </x:c>
      <x:c r="F213" s="257" t="str">
        <x:v>BNCI:020-0535 | DOI:10.1038/s41597-020-0535-2,10.7910/DVN/RBN3XG</x:v>
      </x:c>
      <x:c r="G213" s="257" t="str">
        <x:v>DOWNLOAD_APPLICATION_REQUIRED</x:v>
      </x:c>
      <x:c r="H213" s="257" t="str">
        <x:v>https://doi.org/10.7910/DVN/RBN3XG</x:v>
      </x:c>
      <x:c r="I213" s="257" t="str">
        <x:v>MI</x:v>
      </x:c>
      <x:c r="J213" s="257" t="str">
        <x:v>25</x:v>
      </x:c>
      <x:c r="K213" s="257" t="str">
        <x:v>62 EEG data channels; 65 total electrodes, HEO/VEO/M2 dropped</x:v>
      </x:c>
      <x:c r="L213" s="257" t="str">
        <x:v>1000</x:v>
      </x:c>
      <x:c r="M213" s="257" t="str">
        <x:v>CNT(Neuroscan)</x:v>
      </x:c>
      <x:c r="N213" s="257" t="str">
        <x:v>All three: raw, preprocessed, and ready-to-use trial data + preprocessing code</x:v>
      </x:c>
      <x:c r="O213" s="257" t="str">
        <x:v>Open access on Harvard Dataverse, no application needed</x:v>
      </x:c>
      <x:c r="P213" s="257" t="str">
        <x:v>X. Ma, S. Qiu, C. Du, J. Xing, and H. He, "Multi-channel EEG recording during motor imagery of different joints from the same limb,"DOI: 10.1038/s41597-020-0535-2</x:v>
      </x:c>
      <x:c r="Q213" s="257" t="str">
        <x:v>06_Motor_and_Interaction/Motor_Imagery_and_Execution/Ma_2020</x:v>
      </x:c>
      <x:c r="R213" s="257" t="str">
        <x:v>官方数据存在，但需申请、签署协议或获得权限</x:v>
      </x:c>
      <x:c r="S213" s="257"/>
      <x:c r="T213" s="257"/>
      <x:c r="U213" s="213"/>
    </x:row>
    <x:row r="214" ht="60" customHeight="1">
      <x:c r="A214" s="274" t="str">
        <x:v>EEG-0399</x:v>
      </x:c>
      <x:c r="B214" s="275" t="str">
        <x:v>06_Motor_and_Interaction</x:v>
      </x:c>
      <x:c r="C214" s="275" t="str">
        <x:v>Motor_Imagery_and_Execution</x:v>
      </x:c>
      <x:c r="D214" s="275" t="str">
        <x:v>MI-Joints (EEG-fNIRS)</x:v>
      </x:c>
      <x:c r="E214" s="275" t="str">
        <x:v>Yi (2025) [EEG-0417]</x:v>
      </x:c>
      <x:c r="F214" s="275" t="str">
        <x:v>Figshare:24123303 | DOI:10.6084/m9.figshare.24123303 | DOI:10.1038/s41597-025-05286-0</x:v>
      </x:c>
      <x:c r="G214" s="275" t="str">
        <x:v>DOWNLOAD_PUBLIC</x:v>
      </x:c>
      <x:c r="H214" s="275" t="str">
        <x:v>https://doi.org/10.6084/m9.figshare.24123303 | https://figshare.com/articles/dataset/Data/24123303</x:v>
      </x:c>
      <x:c r="I214" s="275" t="str">
        <x:v>Motor imagery of multi-type joints (unilateral upper limb)；MI</x:v>
      </x:c>
      <x:c r="J214" s="275" t="str">
        <x:v>18</x:v>
      </x:c>
      <x:c r="K214" s="275" t="str">
        <x:v>64 (60 scalp)</x:v>
      </x:c>
      <x:c r="L214" s="275" t="str">
        <x:v>1000 Hz</x:v>
      </x:c>
      <x:c r="M214" s="275" t="str">
        <x:v>Neuroscan (.cnt)</x:v>
      </x:c>
      <x:c r="N214" s="275" t="str">
        <x:v>Both (raw .cnt/.wl + preprocessed .mat)</x:v>
      </x:c>
      <x:c r="O214" s="275" t="str">
        <x:v>Open (figshare 24123303); data CC BY 4.0</x:v>
      </x:c>
      <x:c r="P214" s="275" t="str">
        <x:v>A multi-modal dataset of electroencephalography and functional near-infrared spectroscopy recordings for motor imagery of multi-types of joints from unilateral upper limb. Yi et al., 2025, Scientific Data 12:953.；Yi, W., Chen, J., Wang, D., et al. (2025). A multi-modal dataset of EEG and fNIRS for motor imagery of multi-types of joints from unilateral upper limb. Scientific Data, 12, 953. https://doi.org/10.1038/s41597-025-05286-0</x:v>
      </x:c>
      <x:c r="Q214" s="275" t="str">
        <x:v>06_Motor_and_Interaction/Motor_Imagery_and_Execution/MI-Joints_EEG-fNIRS</x:v>
      </x:c>
      <x:c r="R214" s="275" t="str">
        <x:v>存在公开仓库、官方入口或稳定数据访问号；2026-08-04去重：EEG-0417并入EEG-0399（Figshare article 24123303）</x:v>
      </x:c>
      <x:c r="S214" s="275"/>
      <x:c r="T214" s="275"/>
      <x:c r="U214" s="276"/>
    </x:row>
    <x:row r="215" ht="60" customHeight="1">
      <x:c r="A215" s="264" t="str">
        <x:v>EEG-0400</x:v>
      </x:c>
      <x:c r="B215" s="257" t="str">
        <x:v>06_Motor_and_Interaction</x:v>
      </x:c>
      <x:c r="C215" s="257" t="str">
        <x:v>Motor_Imagery_and_Execution</x:v>
      </x:c>
      <x:c r="D215" s="257" t="str">
        <x:v>MI-Joints (same limb)</x:v>
      </x:c>
      <x:c r="E215" s="257"/>
      <x:c r="F215" s="257" t="str">
        <x:v>Figshare:12278444 | DOI:10.6084/m9.figshare.12278444</x:v>
      </x:c>
      <x:c r="G215" s="257" t="str">
        <x:v>DOWNLOAD_PUBLIC</x:v>
      </x:c>
      <x:c r="H215" s="257" t="str">
        <x:v>https://doi.org/10.6084/m9.figshare.12278444</x:v>
      </x:c>
      <x:c r="I215" s="257" t="str">
        <x:v>Motor imagery of different joints (same limb)</x:v>
      </x:c>
      <x:c r="J215" s="257" t="str">
        <x:v>25</x:v>
      </x:c>
      <x:c r="K215" s="257" t="str">
        <x:v>64</x:v>
      </x:c>
      <x:c r="L215" s="257" t="str">
        <x:v>500/1000 Hz</x:v>
      </x:c>
      <x:c r="M215" s="257" t="str">
        <x:v>Neuroscan</x:v>
      </x:c>
      <x:c r="N215" s="257" t="str">
        <x:v>Three stages: raw, preprocessed, trial data</x:v>
      </x:c>
      <x:c r="O215" s="257" t="str">
        <x:v>Open (figshare 12278444 / Dataverse)</x:v>
      </x:c>
      <x:c r="P215" s="257" t="str">
        <x:v>Multi-channel EEG recording during motor imagery of different joints from the same limb. Ma et al., 2020, Scientific Data 7:191.</x:v>
      </x:c>
      <x:c r="Q215" s="257" t="str">
        <x:v>06_Motor_and_Interaction/Motor_Imagery_and_Execution/MI-Joints_same_limb</x:v>
      </x:c>
      <x:c r="R215" s="257" t="str">
        <x:v>存在公开仓库、官方入口或稳定数据访问号</x:v>
      </x:c>
      <x:c r="S215" s="257"/>
      <x:c r="T215" s="257"/>
      <x:c r="U215" s="213"/>
    </x:row>
    <x:row r="216" ht="60" customHeight="1">
      <x:c r="A216" s="274" t="str">
        <x:v>EEG-0403</x:v>
      </x:c>
      <x:c r="B216" s="275" t="str">
        <x:v>06_Motor_and_Interaction</x:v>
      </x:c>
      <x:c r="C216" s="275" t="str">
        <x:v>Motor_Imagery_and_Execution</x:v>
      </x:c>
      <x:c r="D216" s="275" t="str">
        <x:v>Mimul-11</x:v>
      </x:c>
      <x:c r="E216" s="275"/>
      <x:c r="F216" s="275" t="str">
        <x:v>Zenodo:19021436</x:v>
      </x:c>
      <x:c r="G216" s="275" t="str">
        <x:v>DOWNLOAD_APPLICATION_REQUIRED</x:v>
      </x:c>
      <x:c r="H216" s="275" t="str">
        <x:v>https://zenodo.org/records/19021436</x:v>
      </x:c>
      <x:c r="I216" s="275" t="str">
        <x:v>3-class motor imagery in EEG-FM-Bench: reaching, grasping, twisting; original dataset covers 11 intuitive upper-limb movement tasks</x:v>
      </x:c>
      <x:c r="J216" s="275" t="str">
        <x:v>25.0</x:v>
      </x:c>
      <x:c r="K216" s="275" t="str">
        <x:v>60.0</x:v>
      </x:c>
      <x:c r="L216" s="275" t="str">
        <x:v>1000 Hz</x:v>
      </x:c>
      <x:c r="M216" s="275" t="str">
        <x:v>BrainVision (.vhdr/.vmrk/.eeg)</x:v>
      </x:c>
      <x:c r="N216" s="275" t="str">
        <x:v>raw / resampled public release</x:v>
      </x:c>
      <x:c r="O216" s="275" t="str">
        <x:v>Open dataset on Zenodo / MOABB; citation requested</x:v>
      </x:c>
      <x:c r="P216" s="275" t="str">
        <x:v>Jeong et al. (2020). Multimodal signal dataset for 11 intuitive movement tasks from single upper extremity during multiple recording sessions. GigaScience.</x:v>
      </x:c>
      <x:c r="Q216" s="275" t="str">
        <x:v>06_Motor_and_Interaction/Motor_Imagery_and_Execution/Mimul-11</x:v>
      </x:c>
      <x:c r="R216" s="275" t="str">
        <x:v>官方数据存在，但需申请、签署协议或获得权限</x:v>
      </x:c>
      <x:c r="S216" s="275"/>
      <x:c r="T216" s="275"/>
      <x:c r="U216" s="276"/>
    </x:row>
    <x:row r="217" ht="60" customHeight="1">
      <x:c r="A217" s="264" t="str">
        <x:v>EEG-0404</x:v>
      </x:c>
      <x:c r="B217" s="257" t="str">
        <x:v>06_Motor_and_Interaction</x:v>
      </x:c>
      <x:c r="C217" s="257" t="str">
        <x:v>Motor_Imagery_and_Execution</x:v>
      </x:c>
      <x:c r="D217" s="257" t="str">
        <x:v>MoBI Treadmill Walking BCI Dataset</x:v>
      </x:c>
      <x:c r="E217" s="257"/>
      <x:c r="F217" s="257" t="str">
        <x:v>DOI:10.6084/m9.figshare.c.3894013</x:v>
      </x:c>
      <x:c r="G217" s="257" t="str">
        <x:v>DOWNLOAD_APPLICATION_REQUIRED</x:v>
      </x:c>
      <x:c r="H217" s="257" t="str">
        <x:v>https://doi.org/10.6084/m9.figshare.c.3894013</x:v>
      </x:c>
      <x:c r="I217" s="257" t="str">
        <x:v>standing；treadmill walking；treadmill walking with closed-loop BCI；EEG-to-gait / joint-angle decoding；mobile BCI</x:v>
      </x:c>
      <x:c r="J217" s="257" t="str">
        <x:v>8</x:v>
      </x:c>
      <x:c r="K217" s="257" t="str">
        <x:v>60 EEG + 4 EOG</x:v>
      </x:c>
      <x:c r="L217" s="257" t="str">
        <x:v>100 Hz</x:v>
      </x:c>
      <x:c r="M217" s="257" t="str">
        <x:v>TXT files in Figshare zip</x:v>
      </x:c>
      <x:c r="N217" s="257" t="str">
        <x:v>raw synchronized EEG/EOG + goniometer joint-angle data</x:v>
      </x:c>
      <x:c r="O217" s="257" t="str">
        <x:v>Open access；data archived on Figshare；article under CC BY 4.0；authors request citation when using data</x:v>
      </x:c>
      <x:c r="P217" s="257" t="str">
        <x:v>He, Luu, Nathan, Nakagome &amp; Contreras-Vidal, Scientific Data, 2018</x:v>
      </x:c>
      <x:c r="Q217" s="257" t="str">
        <x:v>06_Motor_and_Interaction/Motor_Imagery_and_Execution/MoBI_Treadmill_Walking_BCI_Dataset</x:v>
      </x:c>
      <x:c r="R217" s="257" t="str">
        <x:v>官方数据存在，但需申请、签署协议或获得权限</x:v>
      </x:c>
      <x:c r="S217" s="257"/>
      <x:c r="T217" s="257"/>
      <x:c r="U217" s="213"/>
    </x:row>
    <x:row r="218" ht="60" customHeight="1">
      <x:c r="A218" s="274" t="str">
        <x:v>EEG-0405</x:v>
      </x:c>
      <x:c r="B218" s="275" t="str">
        <x:v>06_Motor_and_Interaction</x:v>
      </x:c>
      <x:c r="C218" s="275" t="str">
        <x:v>Motor_Imagery_and_Execution</x:v>
      </x:c>
      <x:c r="D218" s="275" t="str">
        <x:v>MoBI-Gait</x:v>
      </x:c>
      <x:c r="E218" s="275"/>
      <x:c r="F218" s="275" t="str">
        <x:v>OpenNeuro:ds001971</x:v>
      </x:c>
      <x:c r="G218" s="275" t="str">
        <x:v>DOWNLOAD_PUBLIC</x:v>
      </x:c>
      <x:c r="H218" s="275" t="str">
        <x:v>https://openneuro.org/datasets/ds001971</x:v>
      </x:c>
      <x:c r="I218" s="275" t="str">
        <x:v>Mobile brain/body imaging during auditory gait pacing (walking)</x:v>
      </x:c>
      <x:c r="J218" s="275" t="str">
        <x:v>20</x:v>
      </x:c>
      <x:c r="K218" s="275" t="str">
        <x:v>108</x:v>
      </x:c>
      <x:c r="L218" s="275" t="str">
        <x:v>512 Hz</x:v>
      </x:c>
      <x:c r="M218" s="275" t="str">
        <x:v>EEGLAB / BIDS</x:v>
      </x:c>
      <x:c r="N218" s="275" t="str">
        <x:v>Raw (BIDS)</x:v>
      </x:c>
      <x:c r="O218" s="275" t="str">
        <x:v>Open (OpenNeuro ds001971), CC0</x:v>
      </x:c>
      <x:c r="P218" s="275" t="str">
        <x:v>High-density EEG mobile brain/body imaging data recorded during a challenging auditory gait pacing task. Wagner et al., 2019, Scientific Data 6:211.</x:v>
      </x:c>
      <x:c r="Q218" s="275" t="str">
        <x:v>06_Motor_and_Interaction/Motor_Imagery_and_Execution/MoBI-Gait</x:v>
      </x:c>
      <x:c r="R218" s="275" t="str">
        <x:v>存在公开仓库、官方入口或稳定数据访问号</x:v>
      </x:c>
      <x:c r="S218" s="275"/>
      <x:c r="T218" s="275"/>
      <x:c r="U218" s="276"/>
    </x:row>
    <x:row r="219" ht="60" customHeight="1">
      <x:c r="A219" s="264" t="str">
        <x:v>EEG-0411</x:v>
      </x:c>
      <x:c r="B219" s="257" t="str">
        <x:v>06_Motor_and_Interaction</x:v>
      </x:c>
      <x:c r="C219" s="257" t="str">
        <x:v>Motor_Imagery_and_Execution</x:v>
      </x:c>
      <x:c r="D219" s="257" t="str">
        <x:v>SHU-MI</x:v>
      </x:c>
      <x:c r="E219" s="257"/>
      <x:c r="F219" s="257" t="str">
        <x:v>Figshare:19228725 | DOI:10.6084/m9.figshare.19228725.v1</x:v>
      </x:c>
      <x:c r="G219" s="257" t="str">
        <x:v>DOWNLOAD_PUBLIC</x:v>
      </x:c>
      <x:c r="H219" s="257" t="str">
        <x:v>https://doi.org/10.6084/m9.figshare.19228725.v1</x:v>
      </x:c>
      <x:c r="I219" s="257" t="str">
        <x:v>Motor imagery (left/right hand, 2-class)</x:v>
      </x:c>
      <x:c r="J219" s="257" t="str">
        <x:v>25</x:v>
      </x:c>
      <x:c r="K219" s="257" t="str">
        <x:v>32</x:v>
      </x:c>
      <x:c r="L219" s="257" t="str">
        <x:v>250 Hz</x:v>
      </x:c>
      <x:c r="M219" s="257" t="str">
        <x:v>MAT / EDF</x:v>
      </x:c>
      <x:c r="N219" s="257" t="str">
        <x:v>Both (raw + preprocessed)</x:v>
      </x:c>
      <x:c r="O219" s="257" t="str">
        <x:v>Open (figshare 19228725), CC-BY</x:v>
      </x:c>
      <x:c r="P219" s="257" t="str">
        <x:v>A large EEG dataset for studying cross-session variability in motor imagery brain-computer interface. Ma et al., 2022, Scientific Data 9:531.</x:v>
      </x:c>
      <x:c r="Q219" s="257" t="str">
        <x:v>06_Motor_and_Interaction/Motor_Imagery_and_Execution/SHU-MI</x:v>
      </x:c>
      <x:c r="R219" s="257" t="str">
        <x:v>存在公开仓库、官方入口或稳定数据访问号</x:v>
      </x:c>
      <x:c r="S219" s="257"/>
      <x:c r="T219" s="257"/>
      <x:c r="U219" s="213"/>
    </x:row>
    <x:row r="220" ht="60" customHeight="1">
      <x:c r="A220" s="274" t="str">
        <x:v>EEG-0412</x:v>
      </x:c>
      <x:c r="B220" s="275" t="str">
        <x:v>06_Motor_and_Interaction</x:v>
      </x:c>
      <x:c r="C220" s="275" t="str">
        <x:v>Motor_Imagery_and_Execution</x:v>
      </x:c>
      <x:c r="D220" s="275" t="str">
        <x:v>SparrKULee</x:v>
      </x:c>
      <x:c r="E220" s="275"/>
      <x:c r="F220" s="275" t="str">
        <x:v>DOI:10.48804/K3VSND</x:v>
      </x:c>
      <x:c r="G220" s="275" t="str">
        <x:v>DOWNLOAD_APPLICATION_REQUIRED</x:v>
      </x:c>
      <x:c r="H220" s="275" t="str">
        <x:v>[KU Leuven RDR DOI](https://rdr.kuleuven.be/dataset.xhtml?persistentId=doi:10.48804/K3VSND)</x:v>
      </x:c>
      <x:c r="I220" s="275" t="str">
        <x:v>speech EEG encoding / decoding; match-mismatch; AAD</x:v>
      </x:c>
      <x:c r="J220" s="275" t="str">
        <x:v>85</x:v>
      </x:c>
      <x:c r="K220" s="275" t="str">
        <x:v>64</x:v>
      </x:c>
      <x:c r="L220" s="275" t="str">
        <x:v>8192Hz; preprocessed 64Hz</x:v>
      </x:c>
      <x:c r="M220" s="275" t="str">
        <x:v>BDF / TSV / NPZ / JSON / PKL</x:v>
      </x:c>
      <x:c r="N220" s="275" t="str">
        <x:v>raw + preprocessed</x:v>
      </x:c>
      <x:c r="O220" s="275" t="str">
        <x:v>KU Leuven RDR; CC-BY-NC-4.0; some restricted files require email request.</x:v>
      </x:c>
      <x:c r="P220" s="275" t="str">
        <x:v>Accou et al. (2024); Bollens et al. KU Leuven RDR (2023)</x:v>
      </x:c>
      <x:c r="Q220" s="275" t="str">
        <x:v>06_Motor_and_Interaction/Motor_Imagery_and_Execution/SparrKULee</x:v>
      </x:c>
      <x:c r="R220" s="275" t="str">
        <x:v>官方数据存在，但需申请、签署协议或获得权限</x:v>
      </x:c>
      <x:c r="S220" s="275"/>
      <x:c r="T220" s="275"/>
      <x:c r="U220" s="276"/>
    </x:row>
    <x:row r="221" ht="60" customHeight="1">
      <x:c r="A221" s="264" t="str">
        <x:v>EEG-0414</x:v>
      </x:c>
      <x:c r="B221" s="257" t="str">
        <x:v>06_Motor_and_Interaction</x:v>
      </x:c>
      <x:c r="C221" s="257" t="str">
        <x:v>Motor_Imagery_and_Execution</x:v>
      </x:c>
      <x:c r="D221" s="257" t="str">
        <x:v>WBCIC-MI</x:v>
      </x:c>
      <x:c r="E221" s="257"/>
      <x:c r="F221" s="257" t="str">
        <x:v>DOI:10.25452/figshare.plus.22671172</x:v>
      </x:c>
      <x:c r="G221" s="257" t="str">
        <x:v>DOWNLOAD_PUBLIC</x:v>
      </x:c>
      <x:c r="H221" s="257" t="str">
        <x:v>https://doi.org/10.25452/figshare.plus.22671172</x:v>
      </x:c>
      <x:c r="I221" s="257" t="str">
        <x:v>Multi-day motor imagery (2- &amp; 3-class)</x:v>
      </x:c>
      <x:c r="J221" s="257" t="str">
        <x:v>62 (51 in 2-class, 11 in 3-class)</x:v>
      </x:c>
      <x:c r="K221" s="257" t="str">
        <x:v>59 EEG (64-ch cap)</x:v>
      </x:c>
      <x:c r="L221" s="257" t="str">
        <x:v>1000 Hz (down 250)</x:v>
      </x:c>
      <x:c r="M221" s="257" t="str">
        <x:v>BDF (raw) / MAT</x:v>
      </x:c>
      <x:c r="N221" s="257" t="str">
        <x:v>Both (raw .bdf + preprocessed .mat)</x:v>
      </x:c>
      <x:c r="O221" s="257" t="str">
        <x:v>Open (figshare+ 22671172)</x:v>
      </x:c>
      <x:c r="P221" s="257" t="str">
        <x:v>A multi-day and high-quality EEG dataset for motor imagery brain-computer interface. Yang et al., 2025, Scientific Data 12:488.</x:v>
      </x:c>
      <x:c r="Q221" s="257" t="str">
        <x:v>06_Motor_and_Interaction/Motor_Imagery_and_Execution/WBCIC-MI</x:v>
      </x:c>
      <x:c r="R221" s="257" t="str">
        <x:v>存在公开仓库、官方入口或稳定数据访问号</x:v>
      </x:c>
      <x:c r="S221" s="257"/>
      <x:c r="T221" s="257"/>
      <x:c r="U221" s="213"/>
    </x:row>
    <x:row r="222" ht="60" customHeight="1">
      <x:c r="A222" s="274" t="str">
        <x:v>EEG-0415</x:v>
      </x:c>
      <x:c r="B222" s="275" t="str">
        <x:v>06_Motor_and_Interaction</x:v>
      </x:c>
      <x:c r="C222" s="275" t="str">
        <x:v>Motor_Imagery_and_Execution</x:v>
      </x:c>
      <x:c r="D222" s="275" t="str">
        <x:v>Weibo 2014 (Yi 2014) Motor Imagery Dataset</x:v>
      </x:c>
      <x:c r="E222" s="275"/>
      <x:c r="F222" s="275" t="str">
        <x:v>Zenodo:14188593 | DOI:10.5281/zenodo.14188593</x:v>
      </x:c>
      <x:c r="G222" s="275" t="str">
        <x:v>DOWNLOAD_PUBLIC</x:v>
      </x:c>
      <x:c r="H222" s="275" t="str">
        <x:v>https://doi.org/10.5281/zenodo.14188593</x:v>
      </x:c>
      <x:c r="I222" s="275" t="str">
        <x:v>Simple and compound limb motor imagery</x:v>
      </x:c>
      <x:c r="J222" s="275" t="str">
        <x:v>10</x:v>
      </x:c>
      <x:c r="K222" s="275" t="str">
        <x:v>60 EEG channels</x:v>
      </x:c>
      <x:c r="L222" s="275" t="str">
        <x:v>200 Hz</x:v>
      </x:c>
      <x:c r="M222" s="275" t="str">
        <x:v>MAT</x:v>
      </x:c>
      <x:c r="N222" s="275" t="str">
        <x:v>Raw EEG</x:v>
      </x:c>
      <x:c r="O222" s="275" t="str">
        <x:v>Open Access</x:v>
      </x:c>
      <x:c r="P222" s="275" t="str">
        <x:v>Yi et al. 2014</x:v>
      </x:c>
      <x:c r="Q222" s="275" t="str">
        <x:v>06_Motor_and_Interaction/Motor_Imagery_and_Execution/Weibo_2014_Yi_2014_Motor_Imagery_Dataset</x:v>
      </x:c>
      <x:c r="R222" s="275" t="str">
        <x:v>存在公开仓库、官方入口或稳定数据访问号</x:v>
      </x:c>
      <x:c r="S222" s="275"/>
      <x:c r="T222" s="275"/>
      <x:c r="U222" s="276"/>
    </x:row>
    <x:row r="223" ht="60" customHeight="1">
      <x:c r="A223" s="264" t="str">
        <x:v>EEG-0418</x:v>
      </x:c>
      <x:c r="B223" s="257" t="str">
        <x:v>06_Motor_and_Interaction</x:v>
      </x:c>
      <x:c r="C223" s="257" t="str">
        <x:v>Motor_Imagery_and_Execution</x:v>
      </x:c>
      <x:c r="D223" s="257" t="str">
        <x:v>Zhou 2016 Motor Imagery Dataset</x:v>
      </x:c>
      <x:c r="E223" s="257" t="str">
        <x:v>Zhou2016</x:v>
      </x:c>
      <x:c r="F223" s="257" t="str">
        <x:v>Figshare:1490216</x:v>
      </x:c>
      <x:c r="G223" s="257" t="str">
        <x:v>DOWNLOAD_PUBLIC</x:v>
      </x:c>
      <x:c r="H223" s="257" t="str">
        <x:v>https://figshare.com/articles/EEG_data/1490216</x:v>
      </x:c>
      <x:c r="I223" s="257" t="str">
        <x:v>Motor imagery</x:v>
      </x:c>
      <x:c r="J223" s="257" t="str">
        <x:v>4</x:v>
      </x:c>
      <x:c r="K223" s="257" t="str">
        <x:v>14 EEG channels</x:v>
      </x:c>
      <x:c r="L223" s="257" t="str">
        <x:v>250 Hz</x:v>
      </x:c>
      <x:c r="M223" s="257" t="str">
        <x:v>MAT</x:v>
      </x:c>
      <x:c r="N223" s="257" t="str">
        <x:v>Raw EEG</x:v>
      </x:c>
      <x:c r="O223" s="257" t="str">
        <x:v>Open Access</x:v>
      </x:c>
      <x:c r="P223" s="257" t="str">
        <x:v>Zhou et al. 2016</x:v>
      </x:c>
      <x:c r="Q223" s="257" t="str">
        <x:v>06_Motor_and_Interaction/Motor_Imagery_and_Execution/Zhou_2016_Motor_Imagery_Dataset</x:v>
      </x:c>
      <x:c r="R223" s="257" t="str">
        <x:v>存在公开仓库、官方入口或稳定数据访问号</x:v>
      </x:c>
      <x:c r="S223" s="257"/>
      <x:c r="T223" s="257"/>
      <x:c r="U223" s="213"/>
    </x:row>
    <x:row r="224" ht="60" customHeight="1">
      <x:c r="A224" s="274" t="str">
        <x:v>EEG-0420</x:v>
      </x:c>
      <x:c r="B224" s="275" t="str">
        <x:v>06_Motor_and_Interaction</x:v>
      </x:c>
      <x:c r="C224" s="275" t="str">
        <x:v>SSVEP_and_Evoked_BCI</x:v>
      </x:c>
      <x:c r="D224" s="275" t="str">
        <x:v>BETA SSVEP Dataset</x:v>
      </x:c>
      <x:c r="E224" s="275" t="str">
        <x:v>BETA (SSVEP); Tsinghua BETA SSVEP [EEG-0450]</x:v>
      </x:c>
      <x:c r="F224" s="275" t="str">
        <x:v>Figshare:12264401</x:v>
      </x:c>
      <x:c r="G224" s="275" t="str">
        <x:v>DOWNLOAD_PUBLIC</x:v>
      </x:c>
      <x:c r="H224" s="275" t="str">
        <x:v>[The BETA database Figshare](https://figshare.com/articles/dataset/The_BETA_database/12264401) | http://bci.med.tsinghua.edu.cn/download.html</x:v>
      </x:c>
      <x:c r="I224" s="275" t="str">
        <x:v>40-class SSVEP target identification；SSVEP (40-target spelling)</x:v>
      </x:c>
      <x:c r="J224" s="275" t="str">
        <x:v>70</x:v>
      </x:c>
      <x:c r="K224" s="275" t="str">
        <x:v>64</x:v>
      </x:c>
      <x:c r="L224" s="275" t="str">
        <x:v>250Hz</x:v>
      </x:c>
      <x:c r="M224" s="275" t="str">
        <x:v>MAT</x:v>
      </x:c>
      <x:c r="N224" s="275" t="str">
        <x:v>raw MAT</x:v>
      </x:c>
      <x:c r="O224" s="275" t="str">
        <x:v>公开下载：The BETA database Figshare (https://figshare.com/articles/dataset/The_BETA_database/12264401)；也可从 Tsinghua BCI Lab download (http://bci.med.tsinghua.edu.cn/download.html) 获取。</x:v>
      </x:c>
      <x:c r="P224" s="275" t="str">
        <x:v>Liu et al. (2020)；Liu et al. 2020, Tsinghua</x:v>
      </x:c>
      <x:c r="Q224" s="275" t="str">
        <x:v>06_Motor_and_Interaction/SSVEP_and_Evoked_BCI/BETA_SSVEP_Dataset</x:v>
      </x:c>
      <x:c r="R224" s="275" t="str">
        <x:v>存在公开仓库、官方入口或稳定数据访问号；2026-08-04去重：EEG-0450并入EEG-0420（BETA SSVEP official dataset / Figshare 12264401）</x:v>
      </x:c>
      <x:c r="S224" s="275"/>
      <x:c r="T224" s="275"/>
      <x:c r="U224" s="276"/>
    </x:row>
    <x:row r="225" ht="60" customHeight="1">
      <x:c r="A225" s="264" t="str">
        <x:v>EEG-0421</x:v>
      </x:c>
      <x:c r="B225" s="257" t="str">
        <x:v>06_Motor_and_Interaction</x:v>
      </x:c>
      <x:c r="C225" s="257" t="str">
        <x:v>SSVEP_and_Evoked_BCI</x:v>
      </x:c>
      <x:c r="D225" s="257" t="str">
        <x:v>BNCI 007-2015 (Motion VEP Speller)</x:v>
      </x:c>
      <x:c r="E225" s="257" t="str">
        <x:v>BNCI2015_007 (mVEP Speller)</x:v>
      </x:c>
      <x:c r="F225" s="257" t="str">
        <x:v>BNCI:BNCI 007-2015</x:v>
      </x:c>
      <x:c r="G225" s="257" t="str">
        <x:v>DOWNLOAD_APPLICATION_REQUIRED</x:v>
      </x:c>
      <x:c r="H225" s="257" t="str">
        <x:v>http://bnci-horizon-2020.eu/database/data-sets</x:v>
      </x:c>
      <x:c r="I225" s="257" t="str">
        <x:v>Motion Visual Evoked Potential (mVEP) speller spelling</x:v>
      </x:c>
      <x:c r="J225" s="257" t="str">
        <x:v>16</x:v>
      </x:c>
      <x:c r="K225" s="257" t="str">
        <x:v>63 EEG channels</x:v>
      </x:c>
      <x:c r="L225" s="257" t="str">
        <x:v>250 Hz</x:v>
      </x:c>
      <x:c r="M225" s="257" t="str">
        <x:v>MAT</x:v>
      </x:c>
      <x:c r="N225" s="257" t="str">
        <x:v>Raw EEG</x:v>
      </x:c>
      <x:c r="O225" s="257" t="str">
        <x:v>Open, CC BY-NC-ND 4.0, no application</x:v>
      </x:c>
      <x:c r="P225" s="257" t="str">
        <x:v>TU Berlin Neurotech Group</x:v>
      </x:c>
      <x:c r="Q225" s="257" t="str">
        <x:v>06_Motor_and_Interaction/SSVEP_and_Evoked_BCI/BNCI_007-2015_Motion_VEP_Speller</x:v>
      </x:c>
      <x:c r="R225" s="257" t="str">
        <x:v>官方数据存在，但需申请、签署协议或获得权限</x:v>
      </x:c>
      <x:c r="S225" s="257"/>
      <x:c r="T225" s="257"/>
      <x:c r="U225" s="213"/>
    </x:row>
    <x:row r="226" ht="60" customHeight="1">
      <x:c r="A226" s="274" t="str">
        <x:v>EEG-0429</x:v>
      </x:c>
      <x:c r="B226" s="275" t="str">
        <x:v>06_Motor_and_Interaction</x:v>
      </x:c>
      <x:c r="C226" s="275" t="str">
        <x:v>SSVEP_and_Evoked_BCI</x:v>
      </x:c>
      <x:c r="D226" s="275" t="str">
        <x:v>Dong2023</x:v>
      </x:c>
      <x:c r="E226" s="275" t="str">
        <x:v>Dong2023 - SSVEP EEG Dataset [EEG-0430]</x:v>
      </x:c>
      <x:c r="F226" s="275" t="str">
        <x:v>Zenodo:18847318 | DOI:10.26599/BSA.2023.9050020</x:v>
      </x:c>
      <x:c r="G226" s="275" t="str">
        <x:v>DOWNLOAD_PUBLIC</x:v>
      </x:c>
      <x:c r="H226" s="275" t="str">
        <x:v>https://moabb.neurotechx.com/docs/generated/moabb.datasets.Dong2023.html | https://zenodo.org/records/18847318</x:v>
      </x:c>
      <x:c r="I226" s="275" t="str">
        <x:v>40-class SSVEP target identification；40-target SSVEP BCI speller / steady-state visual evoked potential brain-computer interface task</x:v>
      </x:c>
      <x:c r="J226" s="275" t="str">
        <x:v>59</x:v>
      </x:c>
      <x:c r="K226" s="275" t="str">
        <x:v>8</x:v>
      </x:c>
      <x:c r="L226" s="275" t="str">
        <x:v>250 Hz</x:v>
      </x:c>
      <x:c r="M226" s="275" t="str">
        <x:v>MOABB-supported / 原始格式</x:v>
      </x:c>
      <x:c r="N226" s="275" t="str">
        <x:v>raw / 原始发布数据</x:v>
      </x:c>
      <x:c r="O226" s="275" t="str">
        <x:v>Open, CC BY-NC 4.0, no application</x:v>
      </x:c>
      <x:c r="P226" s="275" t="str">
        <x:v>Yue Dong, Jiangsu JITRI；DOI：10.26599/BSA.2023.9050020</x:v>
      </x:c>
      <x:c r="Q226" s="275" t="str">
        <x:v>06_Motor_and_Interaction/SSVEP_and_Evoked_BCI/Dong2023</x:v>
      </x:c>
      <x:c r="R226" s="275" t="str">
        <x:v>官方数据存在，但需申请、签署协议或获得权限；2026-08-04去重：EEG-0430并入EEG-0429（Dong2023 MOABB wrapper and Zenodo 18847318）</x:v>
      </x:c>
      <x:c r="S226" s="275"/>
      <x:c r="T226" s="275"/>
      <x:c r="U226" s="276"/>
    </x:row>
    <x:row r="227" ht="60" customHeight="1">
      <x:c r="A227" s="264" t="str">
        <x:v>EEG-0432</x:v>
      </x:c>
      <x:c r="B227" s="257" t="str">
        <x:v>06_Motor_and_Interaction</x:v>
      </x:c>
      <x:c r="C227" s="257" t="str">
        <x:v>SSVEP_and_Evoked_BCI</x:v>
      </x:c>
      <x:c r="D227" s="257" t="str">
        <x:v>Dual-Frequency SSVEP</x:v>
      </x:c>
      <x:c r="E227" s="257" t="str">
        <x:v>Dual-Freq-SSVEP</x:v>
      </x:c>
      <x:c r="F227" s="257" t="str">
        <x:v>DOI:10.5524/102563</x:v>
      </x:c>
      <x:c r="G227" s="257" t="str">
        <x:v>DOWNLOAD_PUBLIC</x:v>
      </x:c>
      <x:c r="H227" s="257" t="str">
        <x:v>http://dx.doi.org/10.5524/102563</x:v>
      </x:c>
      <x:c r="I227" s="257" t="str">
        <x:v>Dual-frequency SSVEP 40-target</x:v>
      </x:c>
      <x:c r="J227" s="257" t="str">
        <x:v>14 (set has 100+ across paradigms*)</x:v>
      </x:c>
      <x:c r="K227" s="257" t="str">
        <x:v>64</x:v>
      </x:c>
      <x:c r="L227" s="257" t="str">
        <x:v>N.A.</x:v>
      </x:c>
      <x:c r="M227" s="257" t="str">
        <x:v>MAT</x:v>
      </x:c>
      <x:c r="N227" s="257" t="str">
        <x:v>N.A.</x:v>
      </x:c>
      <x:c r="O227" s="257" t="str">
        <x:v>Open (GigaDB), CC</x:v>
      </x:c>
      <x:c r="P227" s="257" t="str">
        <x:v>A dual-frequency SSVEP EEG dataset (GigaDB 102563). Sun et al., 2024, GigaScience.</x:v>
      </x:c>
      <x:c r="Q227" s="257" t="str">
        <x:v>06_Motor_and_Interaction/SSVEP_and_Evoked_BCI/Dual-Frequency_SSVEP</x:v>
      </x:c>
      <x:c r="R227" s="257" t="str">
        <x:v>存在公开仓库、官方入口或稳定数据访问号</x:v>
      </x:c>
      <x:c r="S227" s="257"/>
      <x:c r="T227" s="257"/>
      <x:c r="U227" s="213"/>
    </x:row>
    <x:row r="228" ht="60" customHeight="1">
      <x:c r="A228" s="274" t="str">
        <x:v>EEG-0433</x:v>
      </x:c>
      <x:c r="B228" s="275" t="str">
        <x:v>06_Motor_and_Interaction</x:v>
      </x:c>
      <x:c r="C228" s="275" t="str">
        <x:v>SSVEP_and_Evoked_BCI</x:v>
      </x:c>
      <x:c r="D228" s="275" t="str">
        <x:v>eldBETA</x:v>
      </x:c>
      <x:c r="E228" s="275" t="str">
        <x:v>Liu2022EldBETA (elderly BETA)
eldBETA Database</x:v>
      </x:c>
      <x:c r="F228" s="275" t="str">
        <x:v>Figshare:18032669 | DOI:10.6084/m9.figshare.18032669</x:v>
      </x:c>
      <x:c r="G228" s="275" t="str">
        <x:v>DOWNLOAD_APPLICATION_REQUIRED</x:v>
      </x:c>
      <x:c r="H228" s="275" t="str">
        <x:v>https://doi.org/10.6084/m9.figshare.18032669</x:v>
      </x:c>
      <x:c r="I228" s="275" t="str">
        <x:v>SSVEP BCI (elderly benchmark, 9 targets)</x:v>
      </x:c>
      <x:c r="J228" s="275" t="str">
        <x:v>100</x:v>
      </x:c>
      <x:c r="K228" s="275" t="str">
        <x:v>64</x:v>
      </x:c>
      <x:c r="L228" s="275" t="str">
        <x:v>1000 Hz (epochs 250)</x:v>
      </x:c>
      <x:c r="M228" s="275" t="str">
        <x:v>EDF / MAT</x:v>
      </x:c>
      <x:c r="N228" s="275" t="str">
        <x:v>Both (epoched .mat + raw .edf)</x:v>
      </x:c>
      <x:c r="O228" s="275" t="str">
        <x:v>Open (figshare 18032669 / Tsinghua mirror), CC BY 4.0</x:v>
      </x:c>
      <x:c r="P228" s="275" t="str">
        <x:v>eldBETA: A large eldercare-oriented benchmark database of SSVEP-BCI for the aging population. Liu et al., 2022, Scientific Data 9:252.</x:v>
      </x:c>
      <x:c r="Q228" s="275" t="str">
        <x:v>06_Motor_and_Interaction/SSVEP_and_Evoked_BCI/eldBETA</x:v>
      </x:c>
      <x:c r="R228" s="275" t="str">
        <x:v>官方数据存在，但需申请、签署协议或获得权限</x:v>
      </x:c>
      <x:c r="S228" s="275"/>
      <x:c r="T228" s="275"/>
      <x:c r="U228" s="276"/>
    </x:row>
    <x:row r="229" ht="60" customHeight="1">
      <x:c r="A229" s="264" t="str">
        <x:v>EEG-0435</x:v>
      </x:c>
      <x:c r="B229" s="257" t="str">
        <x:v>06_Motor_and_Interaction</x:v>
      </x:c>
      <x:c r="C229" s="257" t="str">
        <x:v>SSVEP_and_Evoked_BCI</x:v>
      </x:c>
      <x:c r="D229" s="257" t="str">
        <x:v>Gu (2024)</x:v>
      </x:c>
      <x:c r="E229" s="257" t="str">
        <x:v>Gu2024</x:v>
      </x:c>
      <x:c r="F229" s="257" t="str">
        <x:v>DOI:10.6084/m9.figshare.c.6752910.v1</x:v>
      </x:c>
      <x:c r="G229" s="257" t="str">
        <x:v>DOWNLOAD_APPLICATION_REQUIRED</x:v>
      </x:c>
      <x:c r="H229" s="257" t="str">
        <x:v>https://doi.org/10.6084/m9.figshare.c.6752910.v1</x:v>
      </x:c>
      <x:c r="I229" s="257" t="str">
        <x:v>SSVEP</x:v>
      </x:c>
      <x:c r="J229" s="257" t="str">
        <x:v>30</x:v>
      </x:c>
      <x:c r="K229" s="257" t="str">
        <x:v>64</x:v>
      </x:c>
      <x:c r="L229" s="257" t="str">
        <x:v>1000</x:v>
      </x:c>
      <x:c r="M229" s="257" t="str">
        <x:v>EDF, MAT</x:v>
      </x:c>
      <x:c r="N229" s="257" t="str">
        <x:v>Raw EEG (2 file formats) + questionnaire results + MATLAB processing/validation code</x:v>
      </x:c>
      <x:c r="O229" s="257" t="str">
        <x:v>Open access on Figshare, no application needed</x:v>
      </x:c>
      <x:c r="P229" s="257" t="str">
        <x:v>M. Gu et al., “An open dataset for human SSVEPs in the frequency range of 1-60 Hz,” Sci. Data, vol. 11, no. 1, p. 196, 2024.</x:v>
      </x:c>
      <x:c r="Q229" s="257" t="str">
        <x:v>06_Motor_and_Interaction/SSVEP_and_Evoked_BCI/Gu_2024</x:v>
      </x:c>
      <x:c r="R229" s="257" t="str">
        <x:v>官方数据存在，但需申请、签署协议或获得权限</x:v>
      </x:c>
      <x:c r="S229" s="257"/>
      <x:c r="T229" s="257"/>
      <x:c r="U229" s="213"/>
    </x:row>
    <x:row r="230" ht="60" customHeight="1">
      <x:c r="A230" s="274" t="str">
        <x:v>EEG-0441</x:v>
      </x:c>
      <x:c r="B230" s="275" t="str">
        <x:v>06_Motor_and_Interaction</x:v>
      </x:c>
      <x:c r="C230" s="275" t="str">
        <x:v>SSVEP_and_Evoked_BCI</x:v>
      </x:c>
      <x:c r="D230" s="275" t="str">
        <x:v>MAMEM EEG SSVEP Dataset</x:v>
      </x:c>
      <x:c r="E230" s="275" t="str">
        <x:v>MAMEM SSVEP I
MAMEM1</x:v>
      </x:c>
      <x:c r="F230" s="275" t="str">
        <x:v>Figshare:2068677,PhysioNet:mssvepdb | DOI:10.6084/m9.figshare.2068677</x:v>
      </x:c>
      <x:c r="G230" s="275" t="str">
        <x:v>DOWNLOAD_APPLICATION_REQUIRED</x:v>
      </x:c>
      <x:c r="H230" s="275" t="str">
        <x:v>https://doi.org/10.6084/m9.figshare.2068677</x:v>
      </x:c>
      <x:c r="I230" s="275" t="str">
        <x:v>SSVEP BCI with 5 visual flicker frequencies (6.66, 7.50, 8.57, 10.00, 12.00 Hz)</x:v>
      </x:c>
      <x:c r="J230" s="275" t="str">
        <x:v>11</x:v>
      </x:c>
      <x:c r="K230" s="275" t="str">
        <x:v>256 EEG channels (Dataset I &amp; II) / 14 channels (Dataset III)</x:v>
      </x:c>
      <x:c r="L230" s="275" t="str">
        <x:v>250 Hz</x:v>
      </x:c>
      <x:c r="M230" s="275" t="str">
        <x:v>MAT / CSV</x:v>
      </x:c>
      <x:c r="N230" s="275" t="str">
        <x:v>Raw EEG with frequency stimulus triggers</x:v>
      </x:c>
      <x:c r="O230" s="275" t="str">
        <x:v>Open Access (Figshare + Zenodo)</x:v>
      </x:c>
      <x:c r="P230" s="275" t="str">
        <x:v>Oikonomou et al. 2016</x:v>
      </x:c>
      <x:c r="Q230" s="275" t="str">
        <x:v>06_Motor_and_Interaction/SSVEP_and_Evoked_BCI/MAMEM_EEG_SSVEP_Dataset</x:v>
      </x:c>
      <x:c r="R230" s="275" t="str">
        <x:v>官方数据存在，但需申请、签署协议或获得权限</x:v>
      </x:c>
      <x:c r="S230" s="275"/>
      <x:c r="T230" s="275"/>
      <x:c r="U230" s="276"/>
    </x:row>
    <x:row r="231" ht="60" customHeight="1">
      <x:c r="A231" s="264" t="str">
        <x:v>EEG-0446</x:v>
      </x:c>
      <x:c r="B231" s="257" t="str">
        <x:v>06_Motor_and_Interaction</x:v>
      </x:c>
      <x:c r="C231" s="257" t="str">
        <x:v>SSVEP_and_Evoked_BCI</x:v>
      </x:c>
      <x:c r="D231" s="257" t="str">
        <x:v>Human SSVEPs 1-60 Hz - Complete Collection</x:v>
      </x:c>
      <x:c r="E231" s="257" t="str">
        <x:v>Human SSVEPs 1–60 Hz Dataset [EEG-0437]</x:v>
      </x:c>
      <x:c r="F231" s="257" t="str">
        <x:v>DOI:10.6084/m9.figshare.c.6752910 | Figshare:23641017</x:v>
      </x:c>
      <x:c r="G231" s="257" t="str">
        <x:v>DOWNLOAD_PUBLIC</x:v>
      </x:c>
      <x:c r="H231" s="257" t="str">
        <x:v>https://doi.org/10.6084/m9.figshare.c.6752910 | [Figshare 1–60 Hz SSVEP dataset](https://figshare.com/articles/dataset/An_open_dataset_for_human_SSVEPs_in_the_frequency_range_of_1-60_Hz/23641017)</x:v>
      </x:c>
      <x:c r="I231" s="257" t="str">
        <x:v>ERP oddball / wide-band SSVEP (1-60 Hz)；SSVEP frequency decoding；1–60 Hz wide-frequency response；frequency generalization</x:v>
      </x:c>
      <x:c r="J231" s="257" t="str">
        <x:v>30 (s1-s30)</x:v>
      </x:c>
      <x:c r="K231" s="257" t="str">
        <x:v>64</x:v>
      </x:c>
      <x:c r="L231" s="257" t="str">
        <x:v>1000 Hz (epochs 250)</x:v>
      </x:c>
      <x:c r="M231" s="257" t="str">
        <x:v>Continuous BIDS/EDF + segmented MAT</x:v>
      </x:c>
      <x:c r="N231" s="257" t="str">
        <x:v>Both (raw EDF + segmented .mat)</x:v>
      </x:c>
      <x:c r="O231" s="257" t="str">
        <x:v>Open (figshare c.6752910), CC-BY 4.0</x:v>
      </x:c>
      <x:c r="P231" s="257" t="str">
        <x:v>An open dataset for human SSVEPs in the frequency range of 1-60 Hz. Gu et al., 2024, Scientific Data 11:196.；Gu et al. (2024)</x:v>
      </x:c>
      <x:c r="Q231" s="257" t="str">
        <x:v>06_Motor_and_Interaction/SSVEP_and_Evoked_BCI/SSVEP-1-60Hz</x:v>
      </x:c>
      <x:c r="R231" s="257" t="str">
        <x:v>Formal complete 2024 collection. EEG-0437/Figshare 23641017 is the early 15-subject partial release and has been merged into this canonical entry.</x:v>
      </x:c>
      <x:c r="S231" s="257"/>
      <x:c r="T231" s="257"/>
      <x:c r="U231" s="213"/>
    </x:row>
    <x:row r="232" ht="60" customHeight="1">
      <x:c r="A232" s="274" t="str">
        <x:v>EEG-0447</x:v>
      </x:c>
      <x:c r="B232" s="275" t="str">
        <x:v>06_Motor_and_Interaction</x:v>
      </x:c>
      <x:c r="C232" s="275" t="str">
        <x:v>SSVEP_and_Evoked_BCI</x:v>
      </x:c>
      <x:c r="D232" s="275" t="str">
        <x:v>SSVEP-9-ch</x:v>
      </x:c>
      <x:c r="E232" s="275"/>
      <x:c r="F232" s="275" t="str">
        <x:v>DOI:10.1088/1741-2552/ac0bfa</x:v>
      </x:c>
      <x:c r="G232" s="275" t="str">
        <x:v>DOWNLOAD_APPLICATION_REQUIRED</x:v>
      </x:c>
      <x:c r="H232" s="275" t="str">
        <x:v>https://iopscience.iop.org/article/10.1088/1741-2552/ac0bfa (data on request)</x:v>
      </x:c>
      <x:c r="I232" s="275" t="str">
        <x:v>SSVEP 160-target speller (FBCCA, calibration-free)</x:v>
      </x:c>
      <x:c r="J232" s="275" t="str">
        <x:v>20 (8 offline + 12 online)</x:v>
      </x:c>
      <x:c r="K232" s="275" t="str">
        <x:v>9</x:v>
      </x:c>
      <x:c r="L232" s="275" t="str">
        <x:v>250 Hz</x:v>
      </x:c>
      <x:c r="M232" s="275" t="str">
        <x:v>MAT (likely)</x:v>
      </x:c>
      <x:c r="N232" s="275" t="str">
        <x:v>N.A.</x:v>
      </x:c>
      <x:c r="O232" s="275" t="str">
        <x:v>On request (contact authors)</x:v>
      </x:c>
      <x:c r="P232" s="275" t="str">
        <x:v>A 160-target SSVEP-based BCI speller. Chen et al., 2021, Journal of Neural Engineering 18(4):046094.</x:v>
      </x:c>
      <x:c r="Q232" s="275" t="str">
        <x:v>06_Motor_and_Interaction/SSVEP_and_Evoked_BCI/SSVEP-9-ch</x:v>
      </x:c>
      <x:c r="R232" s="275" t="str">
        <x:v>官方数据存在，但需申请、签署协议或获得权限</x:v>
      </x:c>
      <x:c r="S232" s="275"/>
      <x:c r="T232" s="275"/>
      <x:c r="U232" s="276"/>
    </x:row>
    <x:row r="233" ht="60" customHeight="1">
      <x:c r="A233" s="264" t="str">
        <x:v>EEG-0453</x:v>
      </x:c>
      <x:c r="B233" s="257" t="str">
        <x:v>06_Motor_and_Interaction</x:v>
      </x:c>
      <x:c r="C233" s="257" t="str">
        <x:v>Interaction_and_Control</x:v>
      </x:c>
      <x:c r="D233" s="257" t="str">
        <x:v>Adaptive P300-Based Brain-Computer Interface for Attention Training</x:v>
      </x:c>
      <x:c r="E233" s="257"/>
      <x:c r="F233" s="257" t="str">
        <x:v>Zenodo:8183397 | DOI:10.1088/1741-2552/ad2c9e</x:v>
      </x:c>
      <x:c r="G233" s="257" t="str">
        <x:v>DOWNLOAD_PUBLIC</x:v>
      </x:c>
      <x:c r="H233" s="257" t="str">
        <x:v>https://zenodo.org/records/8183397</x:v>
      </x:c>
      <x:c r="I233" s="257" t="str">
        <x:v>neurofeedback task</x:v>
      </x:c>
      <x:c r="J233" s="257" t="str">
        <x:v>47</x:v>
      </x:c>
      <x:c r="K233" s="257" t="str">
        <x:v>32</x:v>
      </x:c>
      <x:c r="L233" s="257" t="str">
        <x:v>500 Hz</x:v>
      </x:c>
      <x:c r="M233" s="257" t="str">
        <x:v>.mat</x:v>
      </x:c>
      <x:c r="N233" s="257" t="str">
        <x:v>Both</x:v>
      </x:c>
      <x:c r="O233" s="257" t="str">
        <x:v>Fully open</x:v>
      </x:c>
      <x:c r="P233" s="257" t="str">
        <x:v>DOI: 10.1088/1741-2552/ad2c9e</x:v>
      </x:c>
      <x:c r="Q233" s="257" t="str">
        <x:v>06_Motor_and_Interaction/Interaction_and_Control/Adaptive_P300-Based_Brain-Computer_Interface_for_Attention_Training</x:v>
      </x:c>
      <x:c r="R233" s="257" t="str">
        <x:v>存在公开仓库、官方入口或稳定数据访问号</x:v>
      </x:c>
      <x:c r="S233" s="257"/>
      <x:c r="T233" s="257"/>
      <x:c r="U233" s="213"/>
    </x:row>
    <x:row r="234" ht="60" customHeight="1">
      <x:c r="A234" s="274" t="str">
        <x:v>EEG-0454</x:v>
      </x:c>
      <x:c r="B234" s="275" t="str">
        <x:v>06_Motor_and_Interaction</x:v>
      </x:c>
      <x:c r="C234" s="275" t="str">
        <x:v>Interaction_and_Control</x:v>
      </x:c>
      <x:c r="D234" s="275" t="str">
        <x:v>An EEG dataset for cross-session mental workload estimation: Passive BCI competition of the Neuroergonomics Conference 2021</x:v>
      </x:c>
      <x:c r="E234" s="275"/>
      <x:c r="F234" s="275" t="str">
        <x:v>Zenodo:5055046 | DOI:10.1038/s41597-022-01898-y</x:v>
      </x:c>
      <x:c r="G234" s="275" t="str">
        <x:v>DOWNLOAD_PUBLIC</x:v>
      </x:c>
      <x:c r="H234" s="275" t="str">
        <x:v>https://zenodo.org/records/5055046</x:v>
      </x:c>
      <x:c r="I234" s="275" t="str">
        <x:v>MATB-II mental workload estimation</x:v>
      </x:c>
      <x:c r="J234" s="275" t="str">
        <x:v>15</x:v>
      </x:c>
      <x:c r="K234" s="275" t="str">
        <x:v>62</x:v>
      </x:c>
      <x:c r="L234" s="275" t="str">
        <x:v>500 Hz</x:v>
      </x:c>
      <x:c r="M234" s="275" t="str">
        <x:v>.set .fdt</x:v>
      </x:c>
      <x:c r="N234" s="275" t="str">
        <x:v>RAW</x:v>
      </x:c>
      <x:c r="O234" s="275" t="str">
        <x:v>Fully open</x:v>
      </x:c>
      <x:c r="P234" s="275" t="str">
        <x:v>DOI: 10.1038/s41597-022-01898-y;</x:v>
      </x:c>
      <x:c r="Q234" s="275" t="str">
        <x:v>06_Motor_and_Interaction/Interaction_and_Control/An_EEG_dataset_for_cross-session_mental_workload_estimation_Passive_BCI_competition_of_the</x:v>
      </x:c>
      <x:c r="R234" s="275" t="str">
        <x:v>存在公开仓库、官方入口或稳定数据访问号</x:v>
      </x:c>
      <x:c r="S234" s="275"/>
      <x:c r="T234" s="275"/>
      <x:c r="U234" s="276"/>
    </x:row>
    <x:row r="235" ht="60" customHeight="1">
      <x:c r="A235" s="264" t="str">
        <x:v>EEG-0461</x:v>
      </x:c>
      <x:c r="B235" s="257" t="str">
        <x:v>06_Motor_and_Interaction</x:v>
      </x:c>
      <x:c r="C235" s="257" t="str">
        <x:v>Interaction_and_Control</x:v>
      </x:c>
      <x:c r="D235" s="257" t="str">
        <x:v>BI.EEG.2012-GIPSA (Brain Invaders 2012)</x:v>
      </x:c>
      <x:c r="E235" s="257"/>
      <x:c r="F235" s="257" t="str">
        <x:v>Zenodo:2649069 | DOI:10.5281/zenodo.2649069</x:v>
      </x:c>
      <x:c r="G235" s="257" t="str">
        <x:v>DOWNLOAD_PUBLIC</x:v>
      </x:c>
      <x:c r="H235" s="257" t="str">
        <x:v>https://doi.org/10.5281/zenodo.2649069</x:v>
      </x:c>
      <x:c r="I235" s="257" t="str">
        <x:v>Visual P300 BCI (Brain Invaders oddball paradigm; target vs non-target)</x:v>
      </x:c>
      <x:c r="J235" s="257" t="str">
        <x:v>25</x:v>
      </x:c>
      <x:c r="K235" s="257" t="str">
        <x:v>16 EEG channels</x:v>
      </x:c>
      <x:c r="L235" s="257" t="str">
        <x:v>512 Hz</x:v>
      </x:c>
      <x:c r="M235" s="257" t="str">
        <x:v>MAT / CSV</x:v>
      </x:c>
      <x:c r="N235" s="257" t="str">
        <x:v>Raw EEG with event markers</x:v>
      </x:c>
      <x:c r="O235" s="257" t="str">
        <x:v>Open Access (Zenodo)</x:v>
      </x:c>
      <x:c r="P235" s="257" t="str">
        <x:v>Van Veen et al. 2019</x:v>
      </x:c>
      <x:c r="Q235" s="257" t="str">
        <x:v>06_Motor_and_Interaction/Interaction_and_Control/BI.EEG.2012-GIPSA_Brain_Invaders_2012</x:v>
      </x:c>
      <x:c r="R235" s="257" t="str">
        <x:v>存在公开仓库、官方入口或稳定数据访问号</x:v>
      </x:c>
      <x:c r="S235" s="257"/>
      <x:c r="T235" s="257"/>
      <x:c r="U235" s="213"/>
    </x:row>
    <x:row r="236" ht="60" customHeight="1">
      <x:c r="A236" s="274" t="str">
        <x:v>EEG-0462</x:v>
      </x:c>
      <x:c r="B236" s="275" t="str">
        <x:v>06_Motor_and_Interaction</x:v>
      </x:c>
      <x:c r="C236" s="275" t="str">
        <x:v>Interaction_and_Control</x:v>
      </x:c>
      <x:c r="D236" s="275" t="str">
        <x:v>BI.EEG.2013-GIPSA (Brain Invaders 2013)</x:v>
      </x:c>
      <x:c r="E236" s="275"/>
      <x:c r="F236" s="275" t="str">
        <x:v>Zenodo:1494163 | DOI:10.5281/zenodo.1494163</x:v>
      </x:c>
      <x:c r="G236" s="275" t="str">
        <x:v>DOWNLOAD_PUBLIC</x:v>
      </x:c>
      <x:c r="H236" s="275" t="str">
        <x:v>https://doi.org/10.5281/zenodo.1494163</x:v>
      </x:c>
      <x:c r="I236" s="275" t="str">
        <x:v>Visual P300 BCI (Brain Invaders; adaptive vs non-adaptive calibration)</x:v>
      </x:c>
      <x:c r="J236" s="275" t="str">
        <x:v>24</x:v>
      </x:c>
      <x:c r="K236" s="275" t="str">
        <x:v>16 EEG channels</x:v>
      </x:c>
      <x:c r="L236" s="275" t="str">
        <x:v>512 Hz</x:v>
      </x:c>
      <x:c r="M236" s="275" t="str">
        <x:v>MAT / CSV</x:v>
      </x:c>
      <x:c r="N236" s="275" t="str">
        <x:v>Raw EEG with event markers</x:v>
      </x:c>
      <x:c r="O236" s="275" t="str">
        <x:v>Open Access (Zenodo)</x:v>
      </x:c>
      <x:c r="P236" s="275" t="str">
        <x:v>Vaineau et al. 2019</x:v>
      </x:c>
      <x:c r="Q236" s="275" t="str">
        <x:v>06_Motor_and_Interaction/Interaction_and_Control/BI.EEG.2013-GIPSA_Brain_Invaders_2013</x:v>
      </x:c>
      <x:c r="R236" s="275" t="str">
        <x:v>存在公开仓库、官方入口或稳定数据访问号</x:v>
      </x:c>
      <x:c r="S236" s="275"/>
      <x:c r="T236" s="275"/>
      <x:c r="U236" s="276"/>
    </x:row>
    <x:row r="237" ht="60" customHeight="1">
      <x:c r="A237" s="264" t="str">
        <x:v>EEG-0468</x:v>
      </x:c>
      <x:c r="B237" s="257" t="str">
        <x:v>06_Motor_and_Interaction</x:v>
      </x:c>
      <x:c r="C237" s="257" t="str">
        <x:v>Interaction_and_Control</x:v>
      </x:c>
      <x:c r="D237" s="257" t="str">
        <x:v>BNCI 003-2015 (Visual P300 speller)</x:v>
      </x:c>
      <x:c r="E237" s="257" t="str">
        <x:v>BNCI2015_003 [EEG-0477]</x:v>
      </x:c>
      <x:c r="F237" s="257" t="str">
        <x:v>BNCI:BNCI 003-2015</x:v>
      </x:c>
      <x:c r="G237" s="257" t="str">
        <x:v>DOWNLOAD_PUBLIC</x:v>
      </x:c>
      <x:c r="H237" s="257" t="str">
        <x:v>http://bnci-horizon-2020.eu/database/data-sets | [MOABB BNCI2015_003](https://moabb.neurotechx.com/docs/generated/moabb.datasets.BNCI2015_003.html)</x:v>
      </x:c>
      <x:c r="I237" s="257" t="str">
        <x:v>Visual P300 speller row/column spelling task；auditory BCI speller / AMUSE P300; Target vs NonTarget</x:v>
      </x:c>
      <x:c r="J237" s="257" t="str">
        <x:v>10</x:v>
      </x:c>
      <x:c r="K237" s="257" t="str">
        <x:v>8 EEG channels</x:v>
      </x:c>
      <x:c r="L237" s="257" t="str">
        <x:v>256 Hz</x:v>
      </x:c>
      <x:c r="M237" s="257" t="str">
        <x:v>MAT</x:v>
      </x:c>
      <x:c r="N237" s="257" t="str">
        <x:v>Raw EEG</x:v>
      </x:c>
      <x:c r="O237" s="257" t="str">
        <x:v>Open, CC BY-NC-ND 4.0, no application</x:v>
      </x:c>
      <x:c r="P237" s="257" t="str">
        <x:v>g.tec medical engineering；Schreuder et al. (2011); REVE Appendix B</x:v>
      </x:c>
      <x:c r="Q237" s="257" t="str">
        <x:v>06_Motor_and_Interaction/Interaction_and_Control/BNCI_003-2015_Visual_P300_speller</x:v>
      </x:c>
      <x:c r="R237" s="257" t="str">
        <x:v>官方数据存在，但需申请、签署协议或获得权限；2026-08-04去重：EEG-0477并入EEG-0468（BNCI 003-2015 / BNCI2015_003）</x:v>
      </x:c>
      <x:c r="S237" s="257"/>
      <x:c r="T237" s="257"/>
      <x:c r="U237" s="213"/>
    </x:row>
    <x:row r="238" ht="60" customHeight="1">
      <x:c r="A238" s="274" t="str">
        <x:v>EEG-0469</x:v>
      </x:c>
      <x:c r="B238" s="275" t="str">
        <x:v>06_Motor_and_Interaction</x:v>
      </x:c>
      <x:c r="C238" s="275" t="str">
        <x:v>Interaction_and_Control</x:v>
      </x:c>
      <x:c r="D238" s="275" t="str">
        <x:v>BNCI 006-2015 (Music BCI)</x:v>
      </x:c>
      <x:c r="E238" s="275" t="str">
        <x:v>BNCI2015_006 (Music BCI)</x:v>
      </x:c>
      <x:c r="F238" s="275" t="str">
        <x:v>BNCI:BNCI 006-2015</x:v>
      </x:c>
      <x:c r="G238" s="275" t="str">
        <x:v>DOWNLOAD_APPLICATION_REQUIRED</x:v>
      </x:c>
      <x:c r="H238" s="275" t="str">
        <x:v>http://bnci-horizon-2020.eu/database/data-sets</x:v>
      </x:c>
      <x:c r="I238" s="275" t="str">
        <x:v>Music-based visual BCI speller spelling</x:v>
      </x:c>
      <x:c r="J238" s="275" t="str">
        <x:v>11</x:v>
      </x:c>
      <x:c r="K238" s="275" t="str">
        <x:v>64 EEG channels</x:v>
      </x:c>
      <x:c r="L238" s="275" t="str">
        <x:v>250 Hz</x:v>
      </x:c>
      <x:c r="M238" s="275" t="str">
        <x:v>MAT</x:v>
      </x:c>
      <x:c r="N238" s="275" t="str">
        <x:v>Raw EEG</x:v>
      </x:c>
      <x:c r="O238" s="275" t="str">
        <x:v>Open Access</x:v>
      </x:c>
      <x:c r="P238" s="275" t="str">
        <x:v>Sturm et al. 2014</x:v>
      </x:c>
      <x:c r="Q238" s="275" t="str">
        <x:v>06_Motor_and_Interaction/Interaction_and_Control/BNCI_006-2015_Music_BCI</x:v>
      </x:c>
      <x:c r="R238" s="275" t="str">
        <x:v>官方数据存在，但需申请、签署协议或获得权限</x:v>
      </x:c>
      <x:c r="S238" s="275"/>
      <x:c r="T238" s="275"/>
      <x:c r="U238" s="276"/>
    </x:row>
    <x:row r="239" ht="60" customHeight="1">
      <x:c r="A239" s="264" t="str">
        <x:v>EEG-0470</x:v>
      </x:c>
      <x:c r="B239" s="257" t="str">
        <x:v>06_Motor_and_Interaction</x:v>
      </x:c>
      <x:c r="C239" s="257" t="str">
        <x:v>Interaction_and_Control</x:v>
      </x:c>
      <x:c r="D239" s="257" t="str">
        <x:v>BNCI 008-2015 (Center Speller)</x:v>
      </x:c>
      <x:c r="E239" s="257" t="str">
        <x:v>BNCI2015_008 (Center Speller)</x:v>
      </x:c>
      <x:c r="F239" s="257" t="str">
        <x:v>BNCI:BNCI 008-2015</x:v>
      </x:c>
      <x:c r="G239" s="257" t="str">
        <x:v>DOWNLOAD_APPLICATION_REQUIRED</x:v>
      </x:c>
      <x:c r="H239" s="257" t="str">
        <x:v>http://bnci-horizon-2020.eu/database/data-sets</x:v>
      </x:c>
      <x:c r="I239" s="257" t="str">
        <x:v>Gaze-independent Center Speller item selection</x:v>
      </x:c>
      <x:c r="J239" s="257" t="str">
        <x:v>13</x:v>
      </x:c>
      <x:c r="K239" s="257" t="str">
        <x:v>63 EEG channels</x:v>
      </x:c>
      <x:c r="L239" s="257" t="str">
        <x:v>250 Hz</x:v>
      </x:c>
      <x:c r="M239" s="257" t="str">
        <x:v>MAT</x:v>
      </x:c>
      <x:c r="N239" s="257" t="str">
        <x:v>Raw EEG</x:v>
      </x:c>
      <x:c r="O239" s="257" t="str">
        <x:v>Open, CC BY-NC-ND 4.0, no application</x:v>
      </x:c>
      <x:c r="P239" s="257" t="str">
        <x:v>Treder/Blankertz, TU Berlin</x:v>
      </x:c>
      <x:c r="Q239" s="257" t="str">
        <x:v>06_Motor_and_Interaction/Interaction_and_Control/BNCI_008-2015_Center_Speller</x:v>
      </x:c>
      <x:c r="R239" s="257" t="str">
        <x:v>官方数据存在，但需申请、签署协议或获得权限</x:v>
      </x:c>
      <x:c r="S239" s="257"/>
      <x:c r="T239" s="257"/>
      <x:c r="U239" s="213"/>
    </x:row>
    <x:row r="240" ht="60" customHeight="1">
      <x:c r="A240" s="274" t="str">
        <x:v>EEG-0471</x:v>
      </x:c>
      <x:c r="B240" s="275" t="str">
        <x:v>06_Motor_and_Interaction</x:v>
      </x:c>
      <x:c r="C240" s="275" t="str">
        <x:v>Interaction_and_Control</x:v>
      </x:c>
      <x:c r="D240" s="275" t="str">
        <x:v>BNCI 009-2014 (Covert and overt ERP)</x:v>
      </x:c>
      <x:c r="E240" s="275" t="str">
        <x:v>BNCI2014_009 [EEG-0476]</x:v>
      </x:c>
      <x:c r="F240" s="275" t="str">
        <x:v>BNCI:BNCI 009-2014</x:v>
      </x:c>
      <x:c r="G240" s="275" t="str">
        <x:v>DOWNLOAD_PUBLIC</x:v>
      </x:c>
      <x:c r="H240" s="275" t="str">
        <x:v>http://bnci-horizon-2020.eu/database/data-sets | [MOABB BNCI2014_009](https://moabb.neurotechx.com/docs/generated/moabb.datasets.BNCI2014_009.html)</x:v>
      </x:c>
      <x:c r="I240" s="275" t="str">
        <x:v>Visual speller overt vs covert attention spelling；P300 / ERP target vs non-target; P300 speller / GeoSpell</x:v>
      </x:c>
      <x:c r="J240" s="275" t="str">
        <x:v>10</x:v>
      </x:c>
      <x:c r="K240" s="275" t="str">
        <x:v>16 EEG channels</x:v>
      </x:c>
      <x:c r="L240" s="275" t="str">
        <x:v>256 Hz</x:v>
      </x:c>
      <x:c r="M240" s="275" t="str">
        <x:v>MAT</x:v>
      </x:c>
      <x:c r="N240" s="275" t="str">
        <x:v>Raw EEG</x:v>
      </x:c>
      <x:c r="O240" s="275" t="str">
        <x:v>Open, CC BY-NC-ND 4.0, no application</x:v>
      </x:c>
      <x:c r="P240" s="275" t="str">
        <x:v>Aloise/Riccio, IRCCS Santa Lucia；Arico et al.; Aloise et al.; EEG-FM-Compass Table IV (2026)</x:v>
      </x:c>
      <x:c r="Q240" s="275" t="str">
        <x:v>06_Motor_and_Interaction/Interaction_and_Control/BNCI_009-2014_Covert_and_overt_ERP</x:v>
      </x:c>
      <x:c r="R240" s="275" t="str">
        <x:v>官方数据存在，但需申请、签署协议或获得权限；2026-08-04去重：EEG-0476并入EEG-0471（BNCI 009-2014 / BNCI2014_009）</x:v>
      </x:c>
      <x:c r="S240" s="275"/>
      <x:c r="T240" s="275"/>
      <x:c r="U240" s="276"/>
    </x:row>
    <x:row r="241" ht="60" customHeight="1">
      <x:c r="A241" s="264" t="str">
        <x:v>EEG-0472</x:v>
      </x:c>
      <x:c r="B241" s="257" t="str">
        <x:v>06_Motor_and_Interaction</x:v>
      </x:c>
      <x:c r="C241" s="257" t="str">
        <x:v>Interaction_and_Control</x:v>
      </x:c>
      <x:c r="D241" s="257" t="str">
        <x:v>BNCI 009-2015 (AMUSE auditory speller)</x:v>
      </x:c>
      <x:c r="E241" s="257" t="str">
        <x:v>BNCI2015_009 (AMUSE auditory ERP)</x:v>
      </x:c>
      <x:c r="F241" s="257" t="str">
        <x:v>BNCI:BNCI 009-2015</x:v>
      </x:c>
      <x:c r="G241" s="257" t="str">
        <x:v>DOWNLOAD_APPLICATION_REQUIRED</x:v>
      </x:c>
      <x:c r="H241" s="257" t="str">
        <x:v>http://bnci-horizon-2020.eu/database/data-sets</x:v>
      </x:c>
      <x:c r="I241" s="257" t="str">
        <x:v>Auditory speller gaze-independent spelling</x:v>
      </x:c>
      <x:c r="J241" s="257" t="str">
        <x:v>21</x:v>
      </x:c>
      <x:c r="K241" s="257" t="str">
        <x:v>62 EEG channels</x:v>
      </x:c>
      <x:c r="L241" s="257" t="str">
        <x:v>250 Hz</x:v>
      </x:c>
      <x:c r="M241" s="257" t="str">
        <x:v>MAT</x:v>
      </x:c>
      <x:c r="N241" s="257" t="str">
        <x:v>Raw EEG</x:v>
      </x:c>
      <x:c r="O241" s="257" t="str">
        <x:v>Open, CC BY-NC-ND 4.0, no application</x:v>
      </x:c>
      <x:c r="P241" s="257" t="str">
        <x:v>Schreuder et al., TU Berlin</x:v>
      </x:c>
      <x:c r="Q241" s="257" t="str">
        <x:v>06_Motor_and_Interaction/Interaction_and_Control/BNCI_009-2015_AMUSE_auditory_speller</x:v>
      </x:c>
      <x:c r="R241" s="257" t="str">
        <x:v>官方数据存在，但需申请、签署协议或获得权限</x:v>
      </x:c>
      <x:c r="S241" s="257"/>
      <x:c r="T241" s="257"/>
      <x:c r="U241" s="213"/>
    </x:row>
    <x:row r="242" ht="60" customHeight="1">
      <x:c r="A242" s="274" t="str">
        <x:v>EEG-0473</x:v>
      </x:c>
      <x:c r="B242" s="275" t="str">
        <x:v>06_Motor_and_Interaction</x:v>
      </x:c>
      <x:c r="C242" s="275" t="str">
        <x:v>Interaction_and_Control</x:v>
      </x:c>
      <x:c r="D242" s="275" t="str">
        <x:v>BNCI 010-2015 (RSVP speller)</x:v>
      </x:c>
      <x:c r="E242" s="275" t="str">
        <x:v>BNCI2015_010 (RSVP speller)</x:v>
      </x:c>
      <x:c r="F242" s="275" t="str">
        <x:v>BNCI:BNCI 010-2015</x:v>
      </x:c>
      <x:c r="G242" s="275" t="str">
        <x:v>DOWNLOAD_APPLICATION_REQUIRED</x:v>
      </x:c>
      <x:c r="H242" s="275" t="str">
        <x:v>http://bnci-horizon-2020.eu/database/data-sets</x:v>
      </x:c>
      <x:c r="I242" s="275" t="str">
        <x:v>Rapid Serial Visual Presentation (RSVP) speller spelling</x:v>
      </x:c>
      <x:c r="J242" s="275" t="str">
        <x:v>12</x:v>
      </x:c>
      <x:c r="K242" s="275" t="str">
        <x:v>63 EEG channels</x:v>
      </x:c>
      <x:c r="L242" s="275" t="str">
        <x:v>250 Hz</x:v>
      </x:c>
      <x:c r="M242" s="275" t="str">
        <x:v>MAT</x:v>
      </x:c>
      <x:c r="N242" s="275" t="str">
        <x:v>Raw EEG</x:v>
      </x:c>
      <x:c r="O242" s="275" t="str">
        <x:v>Open, CC BY-NC-ND 4.0, no application</x:v>
      </x:c>
      <x:c r="P242" s="275" t="str">
        <x:v>Acqualagna/Blankertz, TU Berlin</x:v>
      </x:c>
      <x:c r="Q242" s="275" t="str">
        <x:v>06_Motor_and_Interaction/Interaction_and_Control/BNCI_010-2015_RSVP_speller</x:v>
      </x:c>
      <x:c r="R242" s="275" t="str">
        <x:v>官方数据存在，但需申请、签署协议或获得权限</x:v>
      </x:c>
      <x:c r="S242" s="275"/>
      <x:c r="T242" s="275"/>
      <x:c r="U242" s="276"/>
    </x:row>
    <x:row r="243" ht="60" customHeight="1">
      <x:c r="A243" s="264" t="str">
        <x:v>EEG-0474</x:v>
      </x:c>
      <x:c r="B243" s="257" t="str">
        <x:v>06_Motor_and_Interaction</x:v>
      </x:c>
      <x:c r="C243" s="257" t="str">
        <x:v>Interaction_and_Control</x:v>
      </x:c>
      <x:c r="D243" s="257" t="str">
        <x:v>BNCI 011-2015 (ECoG-based BCI based on cognitive control)</x:v>
      </x:c>
      <x:c r="E243" s="257"/>
      <x:c r="F243" s="257" t="str">
        <x:v>BNCI:BNCI 011-2015</x:v>
      </x:c>
      <x:c r="G243" s="257" t="str">
        <x:v>DOWNLOAD_PUBLIC</x:v>
      </x:c>
      <x:c r="H243" s="257" t="str">
        <x:v>http://bnci-horizon-2020.eu/database/data-sets</x:v>
      </x:c>
      <x:c r="I243" s="257" t="str">
        <x:v>DLPFC gamma-power modulation for ECoG cursor control</x:v>
      </x:c>
      <x:c r="J243" s="257" t="str">
        <x:v>1</x:v>
      </x:c>
      <x:c r="K243" s="257" t="str">
        <x:v>Subdural ECoG grid electrodes</x:v>
      </x:c>
      <x:c r="L243" s="257" t="str">
        <x:v>512 Hz</x:v>
      </x:c>
      <x:c r="M243" s="257" t="str">
        <x:v>MAT</x:v>
      </x:c>
      <x:c r="N243" s="257" t="str">
        <x:v>Raw ECoG</x:v>
      </x:c>
      <x:c r="O243" s="257" t="str">
        <x:v>Open Access</x:v>
      </x:c>
      <x:c r="P243" s="257" t="str">
        <x:v>Vansteensel et al. 2010</x:v>
      </x:c>
      <x:c r="Q243" s="257" t="str">
        <x:v>06_Motor_and_Interaction/Interaction_and_Control/BNCI_011-2015_ECoG-based_BCI_based_on_cognitive_control</x:v>
      </x:c>
      <x:c r="R243" s="257" t="str">
        <x:v>存在公开仓库、官方入口或稳定数据访问号</x:v>
      </x:c>
      <x:c r="S243" s="257"/>
      <x:c r="T243" s="257"/>
      <x:c r="U243" s="213"/>
    </x:row>
    <x:row r="244" ht="60" customHeight="1">
      <x:c r="A244" s="274" t="str">
        <x:v>EEG-0475</x:v>
      </x:c>
      <x:c r="B244" s="275" t="str">
        <x:v>06_Motor_and_Interaction</x:v>
      </x:c>
      <x:c r="C244" s="275" t="str">
        <x:v>Interaction_and_Control</x:v>
      </x:c>
      <x:c r="D244" s="275" t="str">
        <x:v>BNCI 012-2015 (PASS2D auditory ERP Speller)</x:v>
      </x:c>
      <x:c r="E244" s="275" t="str">
        <x:v>BNCI2015_012 (PASS2D auditory ERP)</x:v>
      </x:c>
      <x:c r="F244" s="275" t="str">
        <x:v>BNCI:BNCI 012-2015</x:v>
      </x:c>
      <x:c r="G244" s="275" t="str">
        <x:v>DOWNLOAD_APPLICATION_REQUIRED</x:v>
      </x:c>
      <x:c r="H244" s="275" t="str">
        <x:v>http://bnci-horizon-2020.eu/database/data-sets</x:v>
      </x:c>
      <x:c r="I244" s="275" t="str">
        <x:v>Auditory spatial speller gaze-independent spelling</x:v>
      </x:c>
      <x:c r="J244" s="275" t="str">
        <x:v>10</x:v>
      </x:c>
      <x:c r="K244" s="275" t="str">
        <x:v>63 EEG channels</x:v>
      </x:c>
      <x:c r="L244" s="275" t="str">
        <x:v>250 Hz</x:v>
      </x:c>
      <x:c r="M244" s="275" t="str">
        <x:v>MAT</x:v>
      </x:c>
      <x:c r="N244" s="275" t="str">
        <x:v>Raw EEG</x:v>
      </x:c>
      <x:c r="O244" s="275" t="str">
        <x:v>Open, CC BY-NC-ND 4.0, no application</x:v>
      </x:c>
      <x:c r="P244" s="275" t="str">
        <x:v>TU Berlin Neurotech Group</x:v>
      </x:c>
      <x:c r="Q244" s="275" t="str">
        <x:v>06_Motor_and_Interaction/Interaction_and_Control/BNCI_012-2015_PASS2D_auditory_ERP_Speller</x:v>
      </x:c>
      <x:c r="R244" s="275" t="str">
        <x:v>官方数据存在，但需申请、签署协议或获得权限</x:v>
      </x:c>
      <x:c r="S244" s="275"/>
      <x:c r="T244" s="275"/>
      <x:c r="U244" s="276"/>
    </x:row>
    <x:row r="245" ht="60" customHeight="1">
      <x:c r="A245" s="264" t="str">
        <x:v>EEG-0480</x:v>
      </x:c>
      <x:c r="B245" s="257" t="str">
        <x:v>06_Motor_and_Interaction</x:v>
      </x:c>
      <x:c r="C245" s="257" t="str">
        <x:v>Interaction_and_Control</x:v>
      </x:c>
      <x:c r="D245" s="257" t="str">
        <x:v>Dataset of an EEG-based BCI experiment in Virtual Reality and on a Personal Computer</x:v>
      </x:c>
      <x:c r="E245" s="257"/>
      <x:c r="F245" s="257" t="str">
        <x:v>Zenodo:2605205 | DOI:10.48550/arXiv.1903.11297</x:v>
      </x:c>
      <x:c r="G245" s="257" t="str">
        <x:v>DOWNLOAD_PUBLIC</x:v>
      </x:c>
      <x:c r="H245" s="257" t="str">
        <x:v>https://zenodo.org/records/2605205</x:v>
      </x:c>
      <x:c r="I245" s="257" t="str">
        <x:v>Visual P300 BCI task</x:v>
      </x:c>
      <x:c r="J245" s="257" t="str">
        <x:v>21</x:v>
      </x:c>
      <x:c r="K245" s="257" t="str">
        <x:v>16</x:v>
      </x:c>
      <x:c r="L245" s="257" t="str">
        <x:v>512 Hz</x:v>
      </x:c>
      <x:c r="M245" s="257" t="str">
        <x:v>.mat</x:v>
      </x:c>
      <x:c r="N245" s="257" t="str">
        <x:v>Raw</x:v>
      </x:c>
      <x:c r="O245" s="257" t="str">
        <x:v>Fully open</x:v>
      </x:c>
      <x:c r="P245" s="257" t="str">
        <x:v>DOI: 10.48550/arXiv.1903.11297</x:v>
      </x:c>
      <x:c r="Q245" s="257" t="str">
        <x:v>06_Motor_and_Interaction/Interaction_and_Control/Dataset_of_an_EEG-based_BCI_experiment_in_Virtual_Reality_and_on_a_Personal_Computer</x:v>
      </x:c>
      <x:c r="R245" s="257" t="str">
        <x:v>存在公开仓库、官方入口或稳定数据访问号</x:v>
      </x:c>
      <x:c r="S245" s="257"/>
      <x:c r="T245" s="257"/>
      <x:c r="U245" s="213"/>
    </x:row>
    <x:row r="246" ht="60" customHeight="1">
      <x:c r="A246" s="274" t="str">
        <x:v>EEG-0481</x:v>
      </x:c>
      <x:c r="B246" s="275" t="str">
        <x:v>06_Motor_and_Interaction</x:v>
      </x:c>
      <x:c r="C246" s="275" t="str">
        <x:v>Interaction_and_Control</x:v>
      </x:c>
      <x:c r="D246" s="275" t="str">
        <x:v>EEG Data for Emotive Response to Robot Facial Expressions</x:v>
      </x:c>
      <x:c r="E246" s="275"/>
      <x:c r="F246" s="275" t="str">
        <x:v>Zenodo:5784856 | DOI:10.1109/JIOT.2021.3097592</x:v>
      </x:c>
      <x:c r="G246" s="275" t="str">
        <x:v>DOWNLOAD_PUBLIC</x:v>
      </x:c>
      <x:c r="H246" s="275" t="str">
        <x:v>https://zenodo.org/records/5784856</x:v>
      </x:c>
      <x:c r="I246" s="275" t="str">
        <x:v>Visual human–robot interaction</x:v>
      </x:c>
      <x:c r="J246" s="275" t="str">
        <x:v>10</x:v>
      </x:c>
      <x:c r="K246" s="275" t="str">
        <x:v>16</x:v>
      </x:c>
      <x:c r="L246" s="275" t="str">
        <x:v>128 Hz</x:v>
      </x:c>
      <x:c r="M246" s="275" t="str">
        <x:v>.mat</x:v>
      </x:c>
      <x:c r="N246" s="275" t="str">
        <x:v>RAW</x:v>
      </x:c>
      <x:c r="O246" s="275" t="str">
        <x:v>Fully open</x:v>
      </x:c>
      <x:c r="P246" s="275" t="str">
        <x:v>DOI: 10.1109/JIOT.2021.3097592</x:v>
      </x:c>
      <x:c r="Q246" s="275" t="str">
        <x:v>06_Motor_and_Interaction/Interaction_and_Control/EEG_Data_for_Emotive_Response_to_Robot_Facial_Expressions</x:v>
      </x:c>
      <x:c r="R246" s="275" t="str">
        <x:v>存在公开仓库、官方入口或稳定数据访问号</x:v>
      </x:c>
      <x:c r="S246" s="275"/>
      <x:c r="T246" s="275"/>
      <x:c r="U246" s="276"/>
    </x:row>
    <x:row r="247" ht="60" customHeight="1">
      <x:c r="A247" s="264" t="str">
        <x:v>EEG-0482</x:v>
      </x:c>
      <x:c r="B247" s="257" t="str">
        <x:v>06_Motor_and_Interaction</x:v>
      </x:c>
      <x:c r="C247" s="257" t="str">
        <x:v>Interaction_and_Control</x:v>
      </x:c>
      <x:c r="D247" s="257" t="str">
        <x:v>EEG data recorded during spoken and imagined speech interaction with a simulated robot</x:v>
      </x:c>
      <x:c r="E247" s="257"/>
      <x:c r="F247" s="257" t="str">
        <x:v>Zenodo:15516012 | DOI:10.1109/SMC53654.2022.9945447</x:v>
      </x:c>
      <x:c r="G247" s="257" t="str">
        <x:v>DOWNLOAD_PUBLIC</x:v>
      </x:c>
      <x:c r="H247" s="257" t="str">
        <x:v>https://zenodo.org/records/15516012</x:v>
      </x:c>
      <x:c r="I247" s="257" t="str">
        <x:v>Visual/Auditory object recognition</x:v>
      </x:c>
      <x:c r="J247" s="257" t="str">
        <x:v>15</x:v>
      </x:c>
      <x:c r="K247" s="257" t="str">
        <x:v>64</x:v>
      </x:c>
      <x:c r="L247" s="257" t="str">
        <x:v>500 Hz</x:v>
      </x:c>
      <x:c r="M247" s="257" t="str">
        <x:v>FIF</x:v>
      </x:c>
      <x:c r="N247" s="257" t="str">
        <x:v>Raw data</x:v>
      </x:c>
      <x:c r="O247" s="257" t="str">
        <x:v>Fully open</x:v>
      </x:c>
      <x:c r="P247" s="257" t="str">
        <x:v>DOI： 10.1109/SMC53654.2022.9945447</x:v>
      </x:c>
      <x:c r="Q247" s="257" t="str">
        <x:v>06_Motor_and_Interaction/Interaction_and_Control/EEG_data_recorded_during_spoken_and_imagined_speech_interaction_with_a_simulated_robot</x:v>
      </x:c>
      <x:c r="R247" s="257" t="str">
        <x:v>存在公开仓库、官方入口或稳定数据访问号</x:v>
      </x:c>
      <x:c r="S247" s="257"/>
      <x:c r="T247" s="257"/>
      <x:c r="U247" s="213"/>
    </x:row>
    <x:row r="248" ht="60" customHeight="1">
      <x:c r="A248" s="274" t="str">
        <x:v>EEG-0485</x:v>
      </x:c>
      <x:c r="B248" s="275" t="str">
        <x:v>06_Motor_and_Interaction</x:v>
      </x:c>
      <x:c r="C248" s="275" t="str">
        <x:v>Interaction_and_Control</x:v>
      </x:c>
      <x:c r="D248" s="275" t="str">
        <x:v>Inner-Speech (Thinking-Out-Loud)</x:v>
      </x:c>
      <x:c r="E248" s="275" t="str">
        <x:v>Thinking Out Loud (Inner Speech EEG-based BCI dataset)
Thinking Out Loud Inner Speech dataset (Nieto et al., 2022)</x:v>
      </x:c>
      <x:c r="F248" s="275" t="str">
        <x:v>OpenNeuro:ds003626</x:v>
      </x:c>
      <x:c r="G248" s="275" t="str">
        <x:v>DOWNLOAD_PUBLIC</x:v>
      </x:c>
      <x:c r="H248" s="275" t="str">
        <x:v>https://openneuro.org/datasets/ds003626</x:v>
      </x:c>
      <x:c r="I248" s="275" t="str">
        <x:v>Inner speech BCI (Thinking out loud)</x:v>
      </x:c>
      <x:c r="J248" s="275" t="str">
        <x:v>10</x:v>
      </x:c>
      <x:c r="K248" s="275" t="str">
        <x:v>128 (+8 ext)</x:v>
      </x:c>
      <x:c r="L248" s="275" t="str">
        <x:v>1024 Hz</x:v>
      </x:c>
      <x:c r="M248" s="275" t="str">
        <x:v>Biosemi (.bdf) / .fif</x:v>
      </x:c>
      <x:c r="N248" s="275" t="str">
        <x:v>Both (raw .bdf + processed .fif)</x:v>
      </x:c>
      <x:c r="O248" s="275" t="str">
        <x:v>Open (OpenNeuro ds003626), CC</x:v>
      </x:c>
      <x:c r="P248" s="275" t="str">
        <x:v>Thinking out loud, an open-access EEG-based BCI dataset for inner speech recognition. Nieto et al., 2022, Scientific Data 9:52.</x:v>
      </x:c>
      <x:c r="Q248" s="275" t="str">
        <x:v>06_Motor_and_Interaction/Interaction_and_Control/Inner-Speech_Thinking-Out-Loud</x:v>
      </x:c>
      <x:c r="R248" s="275" t="str">
        <x:v>存在公开仓库、官方入口或稳定数据访问号</x:v>
      </x:c>
      <x:c r="S248" s="275"/>
      <x:c r="T248" s="275"/>
      <x:c r="U248" s="276"/>
    </x:row>
    <x:row r="249" ht="60" customHeight="1">
      <x:c r="A249" s="264" t="str">
        <x:v>EEG-0487</x:v>
      </x:c>
      <x:c r="B249" s="257" t="str">
        <x:v>06_Motor_and_Interaction</x:v>
      </x:c>
      <x:c r="C249" s="257" t="str">
        <x:v>Interaction_and_Control</x:v>
      </x:c>
      <x:c r="D249" s="257" t="str">
        <x:v>KUL-AAD-NFB: Dataset of Auditory Attention Decoding with Neurofeedback, KU Leuven</x:v>
      </x:c>
      <x:c r="E249" s="257"/>
      <x:c r="F249" s="257" t="str">
        <x:v>Zenodo:20442638 | DOI:10.64898/2026.04.28.721343</x:v>
      </x:c>
      <x:c r="G249" s="257" t="str">
        <x:v>DOWNLOAD_PUBLIC</x:v>
      </x:c>
      <x:c r="H249" s="257" t="str">
        <x:v>https://zenodo.org/records/20442638</x:v>
      </x:c>
      <x:c r="I249" s="257" t="str">
        <x:v>uditory Attention Decoding (AAD) with neurofeedback</x:v>
      </x:c>
      <x:c r="J249" s="257" t="str">
        <x:v>19</x:v>
      </x:c>
      <x:c r="K249" s="257" t="str">
        <x:v>64</x:v>
      </x:c>
      <x:c r="L249" s="257" t="str">
        <x:v>64 Hz -1024 Hz</x:v>
      </x:c>
      <x:c r="M249" s="257" t="str">
        <x:v>.bdf</x:v>
      </x:c>
      <x:c r="N249" s="257" t="str">
        <x:v>Both</x:v>
      </x:c>
      <x:c r="O249" s="257" t="str">
        <x:v>Fully open</x:v>
      </x:c>
      <x:c r="P249" s="257" t="str">
        <x:v>DOI: 10.64898/2026.04.28.721343</x:v>
      </x:c>
      <x:c r="Q249" s="257" t="str">
        <x:v>06_Motor_and_Interaction/Interaction_and_Control/KUL-AAD-NFB_Dataset_of_Auditory_Attention_Decoding_with_Neurofeedback_KU_Leuven</x:v>
      </x:c>
      <x:c r="R249" s="257" t="str">
        <x:v>存在公开仓库、官方入口或稳定数据访问号</x:v>
      </x:c>
      <x:c r="S249" s="257"/>
      <x:c r="T249" s="257"/>
      <x:c r="U249" s="213"/>
    </x:row>
    <x:row r="250" ht="60" customHeight="1">
      <x:c r="A250" s="274" t="str">
        <x:v>EEG-0490</x:v>
      </x:c>
      <x:c r="B250" s="275" t="str">
        <x:v>06_Motor_and_Interaction</x:v>
      </x:c>
      <x:c r="C250" s="275" t="str">
        <x:v>Interaction_and_Control</x:v>
      </x:c>
      <x:c r="D250" s="275" t="str">
        <x:v>RSVP &amp; P300 Speller</x:v>
      </x:c>
      <x:c r="E250" s="275" t="str">
        <x:v>Won (2022)
Won2022</x:v>
      </x:c>
      <x:c r="F250" s="275" t="str">
        <x:v>Figshare:5769449 | DOI:10.6084/m9.figshare.c.5769449.v1</x:v>
      </x:c>
      <x:c r="G250" s="275" t="str">
        <x:v>DOWNLOAD_APPLICATION_REQUIRED</x:v>
      </x:c>
      <x:c r="H250" s="275" t="str">
        <x:v>https://springernature.figshare.com/collections/EEG_Dataset_for_RSVP_and_P300_Speller_Brain-Computer_Interfaces/5769449</x:v>
      </x:c>
      <x:c r="I250" s="275" t="str">
        <x:v>P300 / RSVP speller</x:v>
      </x:c>
      <x:c r="J250" s="275" t="str">
        <x:v>55</x:v>
      </x:c>
      <x:c r="K250" s="275" t="str">
        <x:v>32</x:v>
      </x:c>
      <x:c r="L250" s="275" t="str">
        <x:v>512 Hz</x:v>
      </x:c>
      <x:c r="M250" s="275" t="str">
        <x:v>EEGLAB / MAT</x:v>
      </x:c>
      <x:c r="N250" s="275" t="str">
        <x:v>Both (raw .mat)</x:v>
      </x:c>
      <x:c r="O250" s="275" t="str">
        <x:v>Open (figshare c.5769449), CC-BY 4.0</x:v>
      </x:c>
      <x:c r="P250" s="275" t="str">
        <x:v>EEG dataset for RSVP and P300 speller brain-computer interfaces. Won et al., 2022, Scientific Data 9:388.</x:v>
      </x:c>
      <x:c r="Q250" s="275" t="str">
        <x:v>06_Motor_and_Interaction/Interaction_and_Control/RSVP_P300_Speller</x:v>
      </x:c>
      <x:c r="R250" s="275" t="str">
        <x:v>官方数据存在，但需申请、签署协议或获得权限</x:v>
      </x:c>
      <x:c r="S250" s="275"/>
      <x:c r="T250" s="275"/>
      <x:c r="U250" s="276"/>
    </x:row>
    <x:row r="251" ht="60" customHeight="1">
      <x:c r="A251" s="264" t="str">
        <x:v>EEG-0493</x:v>
      </x:c>
      <x:c r="B251" s="257" t="str">
        <x:v>02_Healthcare_and_Disease</x:v>
      </x:c>
      <x:c r="C251" s="257" t="str">
        <x:v>Cross_Diagnostic_Clinical</x:v>
      </x:c>
      <x:c r="D251" s="257" t="str">
        <x:v>ADSZ</x:v>
      </x:c>
      <x:c r="E251" s="257"/>
      <x:c r="F251" s="257" t="str">
        <x:v>Figshare:19091771</x:v>
      </x:c>
      <x:c r="G251" s="257" t="str">
        <x:v>DOWNLOAD_PUBLIC</x:v>
      </x:c>
      <x:c r="H251" s="257" t="str">
        <x:v>[Figshare ADSZ](https://figshare.com/articles/dataset/Alzheimer_s_disease_and_Schizophrenia/19091771)</x:v>
      </x:c>
      <x:c r="I251" s="257" t="str">
        <x:v>AD vs healthy elderly resting-state EEG subset; eyes-open and eyes-closed</x:v>
      </x:c>
      <x:c r="J251" s="257" t="str">
        <x:v>48</x:v>
      </x:c>
      <x:c r="K251" s="257" t="str">
        <x:v>19</x:v>
      </x:c>
      <x:c r="L251" s="257" t="str">
        <x:v>128Hz</x:v>
      </x:c>
      <x:c r="M251" s="257" t="str">
        <x:v>Figshare files; format release-dependent</x:v>
      </x:c>
      <x:c r="N251" s="257" t="str">
        <x:v>processed / artifact-cleaned</x:v>
      </x:c>
      <x:c r="O251" s="257" t="str">
        <x:v>public Figshare dataset; cite original paper</x:v>
      </x:c>
      <x:c r="P251" s="257" t="str">
        <x:v>Alves et al. (2022); LEAD (2026)</x:v>
      </x:c>
      <x:c r="Q251" s="257" t="str">
        <x:v>03_Consciousness_and_State/Resting_State/ADSZ</x:v>
      </x:c>
      <x:c r="R251" s="257" t="str">
        <x:v>存在公开仓库、官方入口或稳定数据访问号</x:v>
      </x:c>
      <x:c r="S251" s="257"/>
      <x:c r="T251" s="257"/>
      <x:c r="U251" s="213"/>
    </x:row>
    <x:row r="252" ht="60" customHeight="1">
      <x:c r="A252" s="274" t="str">
        <x:v>EEG-0495</x:v>
      </x:c>
      <x:c r="B252" s="275" t="str">
        <x:v>03_Consciousness_and_State</x:v>
      </x:c>
      <x:c r="C252" s="275" t="str">
        <x:v>Resting_State</x:v>
      </x:c>
      <x:c r="D252" s="275" t="str">
        <x:v>BNCI 001-2017 (Upper limb movement decoding)</x:v>
      </x:c>
      <x:c r="E252" s="275"/>
      <x:c r="F252" s="275" t="str">
        <x:v>BNCI:BNCI 001-2017</x:v>
      </x:c>
      <x:c r="G252" s="275" t="str">
        <x:v>DOWNLOAD_APPLICATION_REQUIRED</x:v>
      </x:c>
      <x:c r="H252" s="275" t="str">
        <x:v>http://bnci-horizon-2020.eu/database/data-sets</x:v>
      </x:c>
      <x:c r="I252" s="275" t="str">
        <x:v>Decoding 6 upper limb movement classes vs rest</x:v>
      </x:c>
      <x:c r="J252" s="275" t="str">
        <x:v>15</x:v>
      </x:c>
      <x:c r="K252" s="275" t="str">
        <x:v>61 EEG + 3 EOG channels</x:v>
      </x:c>
      <x:c r="L252" s="275" t="str">
        <x:v>256 Hz</x:v>
      </x:c>
      <x:c r="M252" s="275" t="str">
        <x:v>MAT</x:v>
      </x:c>
      <x:c r="N252" s="275" t="str">
        <x:v>Raw EEG + EOG</x:v>
      </x:c>
      <x:c r="O252" s="275" t="str">
        <x:v>Open, CC BY 4.0, no application</x:v>
      </x:c>
      <x:c r="P252" s="275" t="str">
        <x:v>Ofner et al., TU Graz</x:v>
      </x:c>
      <x:c r="Q252" s="275" t="str">
        <x:v>03_Consciousness_and_State/Resting_State/BNCI_001-2017_Upper_limb_movement_decoding</x:v>
      </x:c>
      <x:c r="R252" s="275" t="str">
        <x:v>官方数据存在，但需申请、签署协议或获得权限</x:v>
      </x:c>
      <x:c r="S252" s="275"/>
      <x:c r="T252" s="275"/>
      <x:c r="U252" s="276"/>
    </x:row>
    <x:row r="253" ht="60" customHeight="1">
      <x:c r="A253" s="264" t="str">
        <x:v>EEG-0499</x:v>
      </x:c>
      <x:c r="B253" s="257" t="str">
        <x:v>03_Consciousness_and_State</x:v>
      </x:c>
      <x:c r="C253" s="257" t="str">
        <x:v>Resting_State</x:v>
      </x:c>
      <x:c r="D253" s="257" t="str">
        <x:v>Delving into the relationship between regular physical exercise and cardiac interoception in two cross-sectional studies</x:v>
      </x:c>
      <x:c r="E253" s="257"/>
      <x:c r="F253" s="257" t="str">
        <x:v>Zenodo:8130405 | DOI:10.1016/j.neuropsychologia.2024.108867</x:v>
      </x:c>
      <x:c r="G253" s="257" t="str">
        <x:v>DOWNLOAD_PUBLIC</x:v>
      </x:c>
      <x:c r="H253" s="257" t="str">
        <x:v>https://zenodo.org/records/8130405</x:v>
      </x:c>
      <x:c r="I253" s="257" t="str">
        <x:v>resting-state EEG</x:v>
      </x:c>
      <x:c r="J253" s="257" t="str">
        <x:v>210</x:v>
      </x:c>
      <x:c r="K253" s="257" t="str">
        <x:v>64</x:v>
      </x:c>
      <x:c r="L253" s="257" t="str">
        <x:v>256 Hz–1024 Hz</x:v>
      </x:c>
      <x:c r="M253" s="257" t="str">
        <x:v>.set .fdt</x:v>
      </x:c>
      <x:c r="N253" s="257" t="str">
        <x:v>RAW</x:v>
      </x:c>
      <x:c r="O253" s="257" t="str">
        <x:v>Fully open</x:v>
      </x:c>
      <x:c r="P253" s="257" t="str">
        <x:v>DOI: 10.1016/j.neuropsychologia.2024.108867</x:v>
      </x:c>
      <x:c r="Q253" s="257" t="str">
        <x:v>03_Consciousness_and_State/Resting_State/Delving_into_the_relationship_between_regular_physical_exercise_and_cardiac_interoception_</x:v>
      </x:c>
      <x:c r="R253" s="257" t="str">
        <x:v>存在公开仓库、官方入口或稳定数据访问号</x:v>
      </x:c>
      <x:c r="S253" s="257"/>
      <x:c r="T253" s="257"/>
      <x:c r="U253" s="213"/>
    </x:row>
    <x:row r="254" ht="60" customHeight="1">
      <x:c r="A254" s="274" t="str">
        <x:v>EEG-0500</x:v>
      </x:c>
      <x:c r="B254" s="275" t="str">
        <x:v>03_Consciousness_and_State</x:v>
      </x:c>
      <x:c r="C254" s="275" t="str">
        <x:v>Resting_State</x:v>
      </x:c>
      <x:c r="D254" s="275" t="str">
        <x:v>EEG Pre</x:v>
      </x:c>
      <x:c r="E254" s="275"/>
      <x:c r="F254" s="275" t="str">
        <x:v>OpenNeuro:ds007558</x:v>
      </x:c>
      <x:c r="G254" s="275" t="str">
        <x:v>DOWNLOAD_PUBLIC</x:v>
      </x:c>
      <x:c r="H254" s="275" t="str">
        <x:v>[OpenNeuro ds007558](https://openneuro.org/datasets/ds007558/versions/1.0.0)</x:v>
      </x:c>
      <x:c r="I254" s="275" t="str">
        <x:v>pre/post intervention resting-state EEG；longitudinal clinical change</x:v>
      </x:c>
      <x:c r="J254" s="275" t="str">
        <x:v>67</x:v>
      </x:c>
      <x:c r="K254" s="275" t="str">
        <x:v>19</x:v>
      </x:c>
      <x:c r="L254" s="275" t="str">
        <x:v>200Hz</x:v>
      </x:c>
      <x:c r="M254" s="275" t="str">
        <x:v>BIDS</x:v>
      </x:c>
      <x:c r="N254" s="275" t="str">
        <x:v>raw BIDS</x:v>
      </x:c>
      <x:c r="O254" s="275" t="str">
        <x:v>公开下载：OpenNeuro ds007558 v1.0.0；CC0，可网页、OpenNeuro CLI 或 DataLad 获取。</x:v>
      </x:c>
      <x:c r="P254" s="275" t="str">
        <x:v>Mengsha Qi</x:v>
      </x:c>
      <x:c r="Q254" s="275" t="str">
        <x:v>03_Consciousness_and_State/Resting_State/EEG_Pre</x:v>
      </x:c>
      <x:c r="R254" s="275" t="str">
        <x:v>存在公开仓库、官方入口或稳定数据访问号</x:v>
      </x:c>
      <x:c r="S254" s="275"/>
      <x:c r="T254" s="275"/>
      <x:c r="U254" s="276"/>
    </x:row>
    <x:row r="255" ht="60" customHeight="1">
      <x:c r="A255" s="264" t="str">
        <x:v>EEG-0501</x:v>
      </x:c>
      <x:c r="B255" s="257" t="str">
        <x:v>03_Consciousness_and_State</x:v>
      </x:c>
      <x:c r="C255" s="257" t="str">
        <x:v>Resting_State</x:v>
      </x:c>
      <x:c r="D255" s="257" t="str">
        <x:v>Fractionation of parietal function in bistable perception probed with concurrent TMS-EEG</x:v>
      </x:c>
      <x:c r="E255" s="257"/>
      <x:c r="F255" s="257" t="str">
        <x:v>Zenodo:4990628 | DOI:10.1038/sdata.2016.65</x:v>
      </x:c>
      <x:c r="G255" s="257" t="str">
        <x:v>DOWNLOAD_PUBLIC</x:v>
      </x:c>
      <x:c r="H255" s="257" t="str">
        <x:v>https://zenodo.org/records/4990628</x:v>
      </x:c>
      <x:c r="I255" s="257" t="str">
        <x:v>ambiguous/bistable rotating sphere、disambiguated replay sphere、resting-state fixation</x:v>
      </x:c>
      <x:c r="J255" s="257" t="str">
        <x:v>16</x:v>
      </x:c>
      <x:c r="K255" s="257" t="str">
        <x:v>64</x:v>
      </x:c>
      <x:c r="L255" s="257" t="str">
        <x:v>2048 Hz</x:v>
      </x:c>
      <x:c r="M255" s="257" t="str">
        <x:v>.mat</x:v>
      </x:c>
      <x:c r="N255" s="257" t="str">
        <x:v>Processed Data</x:v>
      </x:c>
      <x:c r="O255" s="257" t="str">
        <x:v>Fully open</x:v>
      </x:c>
      <x:c r="P255" s="257" t="str">
        <x:v>DOI: 10.1038/sdata.2016.65</x:v>
      </x:c>
      <x:c r="Q255" s="257" t="str">
        <x:v>03_Consciousness_and_State/Resting_State/Fractionation_of_parietal_function_in_bistable_perception_probed_with_concurrent_TMS-EEG</x:v>
      </x:c>
      <x:c r="R255" s="257" t="str">
        <x:v>存在公开仓库、官方入口或稳定数据访问号</x:v>
      </x:c>
      <x:c r="S255" s="257"/>
      <x:c r="T255" s="257"/>
      <x:c r="U255" s="213"/>
    </x:row>
    <x:row r="256" ht="60" customHeight="1">
      <x:c r="A256" s="274" t="str">
        <x:v>EEG-0504</x:v>
      </x:c>
      <x:c r="B256" s="275" t="str">
        <x:v>03_Consciousness_and_State</x:v>
      </x:c>
      <x:c r="C256" s="275" t="str">
        <x:v>Resting_State</x:v>
      </x:c>
      <x:c r="D256" s="275" t="str">
        <x:v>MCEF-RS</x:v>
      </x:c>
      <x:c r="E256" s="275"/>
      <x:c r="F256" s="275" t="str">
        <x:v>OpenNeuro:ds005305</x:v>
      </x:c>
      <x:c r="G256" s="275" t="str">
        <x:v>DOWNLOAD_PUBLIC</x:v>
      </x:c>
      <x:c r="H256" s="275" t="str">
        <x:v>[OpenNeuro ds005305](https://openneuro.org/datasets/ds005305/versions/1.0.1)</x:v>
      </x:c>
      <x:c r="I256" s="275" t="str">
        <x:v>resting-state microstates；executive-function correlates</x:v>
      </x:c>
      <x:c r="J256" s="275" t="str">
        <x:v>165</x:v>
      </x:c>
      <x:c r="K256" s="275" t="str">
        <x:v>64</x:v>
      </x:c>
      <x:c r="L256" s="275" t="str">
        <x:v>512Hz</x:v>
      </x:c>
      <x:c r="M256" s="275" t="str">
        <x:v>EEGLAB SET</x:v>
      </x:c>
      <x:c r="N256" s="275" t="str">
        <x:v>raw / release-dependent</x:v>
      </x:c>
      <x:c r="O256" s="275" t="str">
        <x:v>Reported by LEAD; public acquisition route needs manual confirmation.</x:v>
      </x:c>
      <x:c r="P256" s="275" t="str">
        <x:v>Chenot Quentin; Hamery Caroline; Truninger Moritz; De Boissezon Xavier; Langer Nicolas; Scannella Sébastien</x:v>
      </x:c>
      <x:c r="Q256" s="275" t="str">
        <x:v>03_Consciousness_and_State/Resting_State/MCEF-RS</x:v>
      </x:c>
      <x:c r="R256" s="275" t="str">
        <x:v>存在公开仓库、官方入口或稳定数据访问号</x:v>
      </x:c>
      <x:c r="S256" s="275"/>
      <x:c r="T256" s="275"/>
      <x:c r="U256" s="276"/>
    </x:row>
    <x:row r="257" ht="60" customHeight="1">
      <x:c r="A257" s="264" t="str">
        <x:v>EEG-0505</x:v>
      </x:c>
      <x:c r="B257" s="257" t="str">
        <x:v>03_Consciousness_and_State</x:v>
      </x:c>
      <x:c r="C257" s="257" t="str">
        <x:v>Resting_State</x:v>
      </x:c>
      <x:c r="D257" s="257" t="str">
        <x:v>Moffa (2022)</x:v>
      </x:c>
      <x:c r="E257" s="257" t="str">
        <x:v>TBS TMS-EEG (prefrontal)</x:v>
      </x:c>
      <x:c r="F257" s="257" t="str">
        <x:v>Figshare:5910329 | DOI:10.25452/figshare.plus.c.5910329</x:v>
      </x:c>
      <x:c r="G257" s="257" t="str">
        <x:v>DOWNLOAD_APPLICATION_REQUIRED</x:v>
      </x:c>
      <x:c r="H257" s="257" t="str">
        <x:v>https://doi.org/10.25452/figshare.plus.c.5910329</x:v>
      </x:c>
      <x:c r="I257" s="257" t="str">
        <x:v>TMS-EEG + eyes-open resting-state</x:v>
      </x:c>
      <x:c r="J257" s="257" t="str">
        <x:v>24</x:v>
      </x:c>
      <x:c r="K257" s="257" t="str">
        <x:v>64 EEG channels + ECG + HEOG + VEOG + trigger (68 total)</x:v>
      </x:c>
      <x:c r="L257" s="257" t="str">
        <x:v>2048</x:v>
      </x:c>
      <x:c r="M257" s="257" t="str">
        <x:v>MAT</x:v>
      </x:c>
      <x:c r="N257" s="257" t="str">
        <x:v>Raw EEG/ECG + structural MRI/DTI, BIDS-EEG format</x:v>
      </x:c>
      <x:c r="O257" s="257" t="str">
        <x:v>Open access on Figshare+, no application needed</x:v>
      </x:c>
      <x:c r="P257" s="257" t="str">
        <x:v>A. H. Moffa et al., “Neuromodulatory effects of theta burst stimulation to the prefrontal cortex,” Sci. Data, vol. 9, no. 1, p. 717, 2022.</x:v>
      </x:c>
      <x:c r="Q257" s="257" t="str">
        <x:v>03_Consciousness_and_State/Resting_State/Moffa_2022</x:v>
      </x:c>
      <x:c r="R257" s="257" t="str">
        <x:v>官方数据存在，但需申请、签署协议或获得权限</x:v>
      </x:c>
      <x:c r="S257" s="257"/>
      <x:c r="T257" s="257"/>
      <x:c r="U257" s="213"/>
    </x:row>
    <x:row r="258" ht="60" customHeight="1">
      <x:c r="A258" s="274" t="str">
        <x:v>EEG-0507</x:v>
      </x:c>
      <x:c r="B258" s="275" t="str">
        <x:v>03_Consciousness_and_State</x:v>
      </x:c>
      <x:c r="C258" s="275" t="str">
        <x:v>Resting_State</x:v>
      </x:c>
      <x:c r="D258" s="275" t="str">
        <x:v>Multi-session simultaneous EEG-fMRI with experience sampling</x:v>
      </x:c>
      <x:c r="E258" s="275"/>
      <x:c r="F258" s="275" t="str">
        <x:v>OpenNeuro:ds007216</x:v>
      </x:c>
      <x:c r="G258" s="275" t="str">
        <x:v>DOWNLOAD_PUBLIC</x:v>
      </x:c>
      <x:c r="H258" s="275" t="str">
        <x:v>[OpenNeuro ds007216](https://openneuro.org/datasets/ds007216/versions/1.0.0)</x:v>
      </x:c>
      <x:c r="I258" s="275" t="str">
        <x:v>online experience sampling；rest / cognition；EEG-fMRI coupling</x:v>
      </x:c>
      <x:c r="J258" s="275" t="str">
        <x:v>24</x:v>
      </x:c>
      <x:c r="K258" s="275" t="str">
        <x:v>31</x:v>
      </x:c>
      <x:c r="L258" s="275" t="str">
        <x:v>5000Hz</x:v>
      </x:c>
      <x:c r="M258" s="275" t="str">
        <x:v>BIDS</x:v>
      </x:c>
      <x:c r="N258" s="275" t="str">
        <x:v>raw BIDS</x:v>
      </x:c>
      <x:c r="O258" s="275" t="str">
        <x:v>公开下载：OpenNeuro ds007216 v1.0.0；可网页、OpenNeuro CLI 或 DataLad 获取。</x:v>
      </x:c>
      <x:c r="P258" s="275" t="str">
        <x:v>Aaron Kucyi; Lotus Shareef-Trudeau; David Braun; Huiling Peng; Tiara Bounyarith; Janet Z. Li</x:v>
      </x:c>
      <x:c r="Q258" s="275" t="str">
        <x:v>03_Consciousness_and_State/Resting_State/Multi-session_simultaneous_EEG-fMRI_with_experience_sampling</x:v>
      </x:c>
      <x:c r="R258" s="275" t="str">
        <x:v>存在公开仓库、官方入口或稳定数据访问号</x:v>
      </x:c>
      <x:c r="S258" s="275" t="str">
        <x:v>2</x:v>
      </x:c>
      <x:c r="T258" s="275" t="str">
        <x:v>GradCPT ~632/run; experience sampling ~603/run; ~4880 total/subject</x:v>
      </x:c>
      <x:c r="U258" s="276" t="str">
        <x:v>8 BOLD runs/subject (4 runs x 2 sessions)</x:v>
      </x:c>
    </x:row>
    <x:row r="259" ht="60" customHeight="1">
      <x:c r="A259" s="264" t="str">
        <x:v>EEG-0508</x:v>
      </x:c>
      <x:c r="B259" s="257" t="str">
        <x:v>03_Consciousness_and_State</x:v>
      </x:c>
      <x:c r="C259" s="257" t="str">
        <x:v>Resting_State</x:v>
      </x:c>
      <x:c r="D259" s="257" t="str">
        <x:v>Oklahoma Resting EEG</x:v>
      </x:c>
      <x:c r="E259" s="257"/>
      <x:c r="F259" s="257" t="str">
        <x:v>OpenNeuro:ds006525</x:v>
      </x:c>
      <x:c r="G259" s="257" t="str">
        <x:v>DOWNLOAD_PUBLIC</x:v>
      </x:c>
      <x:c r="H259" s="257" t="str">
        <x:v>[OpenNeuro ds006525](https://openneuro.org/datasets/ds006525/versions/1.0.0)</x:v>
      </x:c>
      <x:c r="I259" s="257" t="str">
        <x:v>resting-state EEG；group-level resting biomarkers</x:v>
      </x:c>
      <x:c r="J259" s="257" t="str">
        <x:v>34</x:v>
      </x:c>
      <x:c r="K259" s="257" t="str">
        <x:v>128</x:v>
      </x:c>
      <x:c r="L259" s="257" t="str">
        <x:v>250Hz</x:v>
      </x:c>
      <x:c r="M259" s="257" t="str">
        <x:v>BIDS</x:v>
      </x:c>
      <x:c r="N259" s="257" t="str">
        <x:v>raw BIDS</x:v>
      </x:c>
      <x:c r="O259" s="257" t="str">
        <x:v>公开下载：OpenNeuro ds006525 v1.0.0；CC0，可网页、OpenNeuro CLI 或 DataLad 获取。</x:v>
      </x:c>
      <x:c r="P259" s="257" t="str">
        <x:v>Computational Neuroimaging and Neuroengineering Lab, University of Oklahoma</x:v>
      </x:c>
      <x:c r="Q259" s="257" t="str">
        <x:v>03_Consciousness_and_State/Resting_State/Oklahoma_Resting_EEG</x:v>
      </x:c>
      <x:c r="R259" s="257" t="str">
        <x:v>存在公开仓库、官方入口或稳定数据访问号</x:v>
      </x:c>
      <x:c r="S259" s="257"/>
      <x:c r="T259" s="257"/>
      <x:c r="U259" s="213"/>
    </x:row>
    <x:row r="260" ht="60" customHeight="1">
      <x:c r="A260" s="274" t="str">
        <x:v>EEG-0512</x:v>
      </x:c>
      <x:c r="B260" s="275" t="str">
        <x:v>03_Consciousness_and_State</x:v>
      </x:c>
      <x:c r="C260" s="275" t="str">
        <x:v>Resting_State</x:v>
      </x:c>
      <x:c r="D260" s="275" t="str">
        <x:v>Resting-State EEG Dataset (Trujillo 2017)</x:v>
      </x:c>
      <x:c r="E260" s="275"/>
      <x:c r="F260" s="275" t="str">
        <x:v>DOI:10.18738/T8/EG0LJI</x:v>
      </x:c>
      <x:c r="G260" s="275" t="str">
        <x:v>DOWNLOAD_PUBLIC</x:v>
      </x:c>
      <x:c r="H260" s="275" t="str">
        <x:v>https://doi.org/10.18738/T8/EG0LJI</x:v>
      </x:c>
      <x:c r="I260" s="275" t="str">
        <x:v>Resting-state eyes-open / eyes-closed EEG</x:v>
      </x:c>
      <x:c r="J260" s="275" t="str">
        <x:v>21</x:v>
      </x:c>
      <x:c r="K260" s="275" t="str">
        <x:v>72 EEG channels</x:v>
      </x:c>
      <x:c r="L260" s="275" t="str">
        <x:v>256 Hz (originally 2048 Hz)</x:v>
      </x:c>
      <x:c r="M260" s="275" t="str">
        <x:v>MAT</x:v>
      </x:c>
      <x:c r="N260" s="275" t="str">
        <x:v>Raw resting-state EEG recordings</x:v>
      </x:c>
      <x:c r="O260" s="275" t="str">
        <x:v>Open Access (Texas Data Repository)</x:v>
      </x:c>
      <x:c r="P260" s="275" t="str">
        <x:v>Trujillo et al. 2017</x:v>
      </x:c>
      <x:c r="Q260" s="275" t="str">
        <x:v>03_Consciousness_and_State/Resting_State/Resting-State_EEG_Dataset_Trujillo_2017</x:v>
      </x:c>
      <x:c r="R260" s="275" t="str">
        <x:v>存在公开仓库、官方入口或稳定数据访问号</x:v>
      </x:c>
      <x:c r="S260" s="275"/>
      <x:c r="T260" s="275"/>
      <x:c r="U260" s="276"/>
    </x:row>
    <x:row r="261" ht="60" customHeight="1">
      <x:c r="A261" s="264" t="str">
        <x:v>EEG-0514</x:v>
      </x:c>
      <x:c r="B261" s="257" t="str">
        <x:v>03_Consciousness_and_State</x:v>
      </x:c>
      <x:c r="C261" s="257" t="str">
        <x:v>Resting_State</x:v>
      </x:c>
      <x:c r="D261" s="257" t="str">
        <x:v>RSEEG</x:v>
      </x:c>
      <x:c r="E261" s="257"/>
      <x:c r="F261" s="257" t="str">
        <x:v>DOI:10.18738/T8/QVPRMX</x:v>
      </x:c>
      <x:c r="G261" s="257" t="str">
        <x:v>DOWNLOAD_PUBLIC</x:v>
      </x:c>
      <x:c r="H261" s="257" t="str">
        <x:v>[Texas Data Repository RSEEG](https://dataverse.tdl.org/dataset.xhtml?persistentId=doi:10.18738/T8/QVPRMX)</x:v>
      </x:c>
      <x:c r="I261" s="257" t="str">
        <x:v>resting-state eyes-open/eyes-closed; EEG reference / complexity / integration</x:v>
      </x:c>
      <x:c r="J261" s="257" t="str">
        <x:v>22</x:v>
      </x:c>
      <x:c r="K261" s="257" t="str">
        <x:v>72</x:v>
      </x:c>
      <x:c r="L261" s="257" t="str">
        <x:v>2048Hz raw; 256Hz online-downsampled</x:v>
      </x:c>
      <x:c r="M261" s="257" t="str">
        <x:v>MAT / repository files</x:v>
      </x:c>
      <x:c r="N261" s="257" t="str">
        <x:v>processed empirical EEG / raw-derived</x:v>
      </x:c>
      <x:c r="O261" s="257" t="str">
        <x:v>Texas Data Repository public dataset; cite Frontiers paper.</x:v>
      </x:c>
      <x:c r="P261" s="257" t="str">
        <x:v>Trujillo et al. (2017); LaBraM/NeuroLM dataset table</x:v>
      </x:c>
      <x:c r="Q261" s="257" t="str">
        <x:v>03_Consciousness_and_State/Resting_State/RSEEG</x:v>
      </x:c>
      <x:c r="R261" s="257" t="str">
        <x:v>存在公开仓库、官方入口或稳定数据访问号</x:v>
      </x:c>
      <x:c r="S261" s="257"/>
      <x:c r="T261" s="257"/>
      <x:c r="U261" s="213"/>
    </x:row>
    <x:row r="262" ht="60" customHeight="1">
      <x:c r="A262" s="274" t="str">
        <x:v>EEG-0515</x:v>
      </x:c>
      <x:c r="B262" s="275" t="str">
        <x:v>03_Consciousness_and_State</x:v>
      </x:c>
      <x:c r="C262" s="275" t="str">
        <x:v>Resting_State</x:v>
      </x:c>
      <x:c r="D262" s="275" t="str">
        <x:v>Sensitive period for the plasticity of alpha activity in humans</x:v>
      </x:c>
      <x:c r="E262" s="275"/>
      <x:c r="F262" s="275" t="str">
        <x:v>Zenodo:5547291 | DOI:10.1016/j.dcn.2021.100965</x:v>
      </x:c>
      <x:c r="G262" s="275" t="str">
        <x:v>DOWNLOAD_PUBLIC</x:v>
      </x:c>
      <x:c r="H262" s="275" t="str">
        <x:v>https://zenodo.org/records/5547291</x:v>
      </x:c>
      <x:c r="I262" s="275" t="str">
        <x:v>Resting-state EEG spectral power analysis</x:v>
      </x:c>
      <x:c r="J262" s="275" t="str">
        <x:v>126</x:v>
      </x:c>
      <x:c r="K262" s="275" t="str">
        <x:v>72</x:v>
      </x:c>
      <x:c r="L262" s="275" t="str">
        <x:v>512 Hz</x:v>
      </x:c>
      <x:c r="M262" s="275" t="str">
        <x:v>EDF</x:v>
      </x:c>
      <x:c r="N262" s="275" t="str">
        <x:v>RAW</x:v>
      </x:c>
      <x:c r="O262" s="275" t="str">
        <x:v>Fully open</x:v>
      </x:c>
      <x:c r="P262" s="275" t="str">
        <x:v>DOI：10.1016/j.dcn.2021.100965</x:v>
      </x:c>
      <x:c r="Q262" s="275" t="str">
        <x:v>03_Consciousness_and_State/Resting_State/Sensitive_period_for_the_plasticity_of_alpha_activity_in_humans</x:v>
      </x:c>
      <x:c r="R262" s="275" t="str">
        <x:v>存在公开仓库、官方入口或稳定数据访问号</x:v>
      </x:c>
      <x:c r="S262" s="275"/>
      <x:c r="T262" s="275"/>
      <x:c r="U262" s="276"/>
    </x:row>
    <x:row r="263" ht="60" customHeight="1">
      <x:c r="A263" s="264" t="str">
        <x:v>EEG-0519</x:v>
      </x:c>
      <x:c r="B263" s="257" t="str">
        <x:v>08_Health_and_Population</x:v>
      </x:c>
      <x:c r="C263" s="257" t="str">
        <x:v>Lifespan_and_Normative</x:v>
      </x:c>
      <x:c r="D263" s="257" t="str">
        <x:v>Cuban Human Brain Mapping Project (CHBMP)</x:v>
      </x:c>
      <x:c r="E263" s="257" t="str">
        <x:v>Valdes-Sosa (2021) [EEG-0147]; CHBMP [EEG-0498]</x:v>
      </x:c>
      <x:c r="F263" s="257" t="str">
        <x:v>Synapse:syn22324937 | DOI:10.1038/s41597-021-00829-7</x:v>
      </x:c>
      <x:c r="G263" s="257" t="str">
        <x:v>DOWNLOAD_APPLICATION_REQUIRED</x:v>
      </x:c>
      <x:c r="H263" s="257" t="str">
        <x:v>https://chbmp-open.loris.ca/ | https://www.synapse.org/Synapse:syn22324937</x:v>
      </x:c>
      <x:c r="I263" s="257" t="str">
        <x:v>Resting-state EEG normative database (healthy adults; used as reference for pathology detection and aging research)；Resting-state, ognitive assessment (MMSE, WAIS-III), reaction time task (Go/No-Go subset), MRI / DWI structural imaging (partial cohort)；Clinical activation protocol (EO/EC/hyperventilation)</x:v>
      </x:c>
      <x:c r="J263" s="257" t="str">
        <x:v>282</x:v>
      </x:c>
      <x:c r="K263" s="257" t="str">
        <x:v>64 or 120 (MEDICID-5)</x:v>
      </x:c>
      <x:c r="L263" s="257" t="str">
        <x:v>200 Hz</x:v>
      </x:c>
      <x:c r="M263" s="257" t="str">
        <x:v>EDF</x:v>
      </x:c>
      <x:c r="N263" s="257" t="str">
        <x:v>Raw (annotated by neurologists)</x:v>
      </x:c>
      <x:c r="O263" s="257" t="str">
        <x:v>公开下载：注册获取：CHBMP LORIS portal (https://chbmp-open.loris.ca/)；需注册账号，通过 LORIS 下载 EEG / MRI / cognition 数据。</x:v>
      </x:c>
      <x:c r="P263" s="257" t="str">
        <x:v>Valdes-Sosa et al. 2021, Scientific Data (doi: 10.1038/s41597-021-00829-7)；P. A. Valdes-Sosa et al., “The Cuban Human Brain Mapping Project, a young and middle age population-based EEG, MRI, and cognition dataset,” Sci. Data, vol. 8, no. 1, p. 45, 2021.；The Cuban Human Brain Mapping Project, a young and middle age population-based EEG, MRI, and cognition dataset. Valdes-Sosa et al., 2021, Scientific Data 8:45.</x:v>
      </x:c>
      <x:c r="Q263" s="257" t="str">
        <x:v>02_Biometrics_and_Disease/Development_and_Lifespan/Cuban_Human_Brain_Mapping_Project_CHBMP</x:v>
      </x:c>
      <x:c r="R263" s="257" t="str">
        <x:v>Same CHBMP download unit as EEG-0147 and EEG-0498; account/registration required</x:v>
      </x:c>
      <x:c r="S263" s="257"/>
      <x:c r="T263" s="257"/>
      <x:c r="U263" s="213"/>
    </x:row>
    <x:row r="264" ht="60" customHeight="1">
      <x:c r="A264" s="274" t="str">
        <x:v>EEG-0520</x:v>
      </x:c>
      <x:c r="B264" s="275" t="str">
        <x:v>08_Health_and_Population</x:v>
      </x:c>
      <x:c r="C264" s="275" t="str">
        <x:v>Lifespan_and_Normative</x:v>
      </x:c>
      <x:c r="D264" s="275" t="str">
        <x:v>Infant First-year Resting EEG Dataset</x:v>
      </x:c>
      <x:c r="E264" s="275"/>
      <x:c r="F264" s="275" t="str">
        <x:v>OpenNeuro:ds004577</x:v>
      </x:c>
      <x:c r="G264" s="275" t="str">
        <x:v>DOWNLOAD_PUBLIC</x:v>
      </x:c>
      <x:c r="H264" s="275" t="str">
        <x:v>https://openneuro.org/datasets/ds004577</x:v>
      </x:c>
      <x:c r="I264" s="275" t="str">
        <x:v>resting EEG across first year of life；developmental normative EEG</x:v>
      </x:c>
      <x:c r="J264" s="275" t="str">
        <x:v>103</x:v>
      </x:c>
      <x:c r="K264" s="275" t="str">
        <x:v>19</x:v>
      </x:c>
      <x:c r="L264" s="275" t="str">
        <x:v>200Hz</x:v>
      </x:c>
      <x:c r="M264" s="275" t="str">
        <x:v>BIDS</x:v>
      </x:c>
      <x:c r="N264" s="275" t="str">
        <x:v>raw BIDS</x:v>
      </x:c>
      <x:c r="O264" s="275" t="str">
        <x:v>公开下载：OpenNeuro ds004577 v1.0.1；CC0，可网页、OpenNeuro CLI 或 DataLad 获取。</x:v>
      </x:c>
      <x:c r="P264" s="275" t="str">
        <x:v>Thalía Harmony; Gloria Otero-Ojeda; Eduardo Aubert; Thalía Fernández; Lourdes Cubero-Rego</x:v>
      </x:c>
      <x:c r="Q264" s="275" t="str">
        <x:v>02_Biometrics_and_Disease/Development_and_Lifespan/Infant_First-year_Resting_EEG_Dataset</x:v>
      </x:c>
      <x:c r="R264" s="275" t="str">
        <x:v>存在公开仓库、官方入口或稳定数据访问号</x:v>
      </x:c>
      <x:c r="S264" s="275"/>
      <x:c r="T264" s="275"/>
      <x:c r="U264" s="276"/>
    </x:row>
    <x:row r="265" ht="60" customHeight="1">
      <x:c r="A265" s="264" t="str">
        <x:v>EEG-0523</x:v>
      </x:c>
      <x:c r="B265" s="257" t="str">
        <x:v>02_Healthcare_and_Disease</x:v>
      </x:c>
      <x:c r="C265" s="257" t="str">
        <x:v>Development_and_Lifespan</x:v>
      </x:c>
      <x:c r="D265" s="257" t="str">
        <x:v>SFARI_EEG multi-paradigm dataset</x:v>
      </x:c>
      <x:c r="E265" s="257"/>
      <x:c r="F265" s="257" t="str">
        <x:v>OpenNeuro:ds006780</x:v>
      </x:c>
      <x:c r="G265" s="257" t="str">
        <x:v>DOWNLOAD_PUBLIC</x:v>
      </x:c>
      <x:c r="H265" s="257" t="str">
        <x:v>[OpenNeuro ds006780](https://openneuro.org/datasets/ds006780/versions/1.0.0)</x:v>
      </x:c>
      <x:c r="I265" s="257" t="str">
        <x:v>ASSR, AVSRT, Beep-Flash, FAST and other developmental EEG paradigms</x:v>
      </x:c>
      <x:c r="J265" s="257" t="str">
        <x:v>136</x:v>
      </x:c>
      <x:c r="K265" s="257" t="str">
        <x:v>64</x:v>
      </x:c>
      <x:c r="L265" s="257" t="str">
        <x:v>512Hz</x:v>
      </x:c>
      <x:c r="M265" s="257" t="str">
        <x:v>BIDS</x:v>
      </x:c>
      <x:c r="N265" s="257" t="str">
        <x:v>raw BIDS</x:v>
      </x:c>
      <x:c r="O265" s="257" t="str">
        <x:v>公开下载：OpenNeuro ds006780 v1.0.0；CC0，可网页、OpenNeuro CLI 或 DataLad 获取。</x:v>
      </x:c>
      <x:c r="P265" s="257" t="str">
        <x:v>Sophie Molholm; Theo Vanneau; John J. Foxe</x:v>
      </x:c>
      <x:c r="Q265" s="257" t="str">
        <x:v>02_Biometrics_and_Disease/Development_and_Lifespan/SFARI_EEG_multi-paradigm_dataset</x:v>
      </x:c>
      <x:c r="R265" s="257" t="str">
        <x:v>存在公开仓库、官方入口或稳定数据访问号</x:v>
      </x:c>
      <x:c r="S265" s="257"/>
      <x:c r="T265" s="257"/>
      <x:c r="U265" s="213"/>
    </x:row>
    <x:row r="266" ht="60" customHeight="1">
      <x:c r="A266" s="274" t="str">
        <x:v>EEG-0525</x:v>
      </x:c>
      <x:c r="B266" s="275" t="str">
        <x:v>07_General-purpose_and_Multi-paradigm</x:v>
      </x:c>
      <x:c r="C266" s="275" t="str">
        <x:v>Multi-task_EEG</x:v>
      </x:c>
      <x:c r="D266" s="275" t="str">
        <x:v>Average Task Value</x:v>
      </x:c>
      <x:c r="E266" s="275"/>
      <x:c r="F266" s="275" t="str">
        <x:v>OpenNeuro:ds004147 | DOI:10.18112/openneuro.ds004147.v1.0.2</x:v>
      </x:c>
      <x:c r="G266" s="275" t="str">
        <x:v>DOWNLOAD_PUBLIC</x:v>
      </x:c>
      <x:c r="H266" s="275" t="str">
        <x:v>[OpenNeuro ds004147](https://openneuro.org/datasets/ds004147/versions/1.0.2)</x:v>
      </x:c>
      <x:c r="I266" s="275" t="str">
        <x:v>casinos</x:v>
      </x:c>
      <x:c r="J266" s="275" t="str">
        <x:v>12</x:v>
      </x:c>
      <x:c r="K266" s="275" t="str">
        <x:v>31</x:v>
      </x:c>
      <x:c r="L266" s="275" t="str">
        <x:v>1000Hz</x:v>
      </x:c>
      <x:c r="M266" s="275" t="str">
        <x:v>BIDS</x:v>
      </x:c>
      <x:c r="N266" s="275" t="str">
        <x:v>raw BIDS</x:v>
      </x:c>
      <x:c r="O266" s="275" t="str">
        <x:v>OpenNeuro public download; ds004147 v1.0.2; license CC0; use web / OpenNeuro CLI / DataLad.</x:v>
      </x:c>
      <x:c r="P266" s="275" t="str">
        <x:v>Cameron D. Hassall; Laurence T. Hunt; Clay B. Holroyd; doi:10.18112/openneuro.ds004147.v1.0.2</x:v>
      </x:c>
      <x:c r="Q266" s="275" t="str">
        <x:v>07_General-purpose_and_Multi-paradigm/Multi-task_EEG/Average_Task_Value</x:v>
      </x:c>
      <x:c r="R266" s="275" t="str">
        <x:v>存在公开仓库、官方入口或稳定数据访问号</x:v>
      </x:c>
      <x:c r="S266" s="275"/>
      <x:c r="T266" s="275"/>
      <x:c r="U266" s="276"/>
    </x:row>
    <x:row r="267" ht="60" customHeight="1">
      <x:c r="A267" s="264" t="str">
        <x:v>EEG-0530</x:v>
      </x:c>
      <x:c r="B267" s="257" t="str">
        <x:v>07_General-purpose_and_Multi-paradigm</x:v>
      </x:c>
      <x:c r="C267" s="257" t="str">
        <x:v>Multi-task_EEG</x:v>
      </x:c>
      <x:c r="D267" s="257" t="str">
        <x:v>Braille letters - EEG</x:v>
      </x:c>
      <x:c r="E267" s="257"/>
      <x:c r="F267" s="257" t="str">
        <x:v>OpenNeuro:ds004951 | DOI:10.18112/openneuro.ds004951.v1.0.0</x:v>
      </x:c>
      <x:c r="G267" s="257" t="str">
        <x:v>DOWNLOAD_PUBLIC</x:v>
      </x:c>
      <x:c r="H267" s="257" t="str">
        <x:v>[OpenNeuro ds004951](https://openneuro.org/datasets/ds004951/versions/1.0.0)</x:v>
      </x:c>
      <x:c r="I267" s="257" t="str">
        <x:v>letters</x:v>
      </x:c>
      <x:c r="J267" s="257" t="str">
        <x:v>11</x:v>
      </x:c>
      <x:c r="K267" s="257" t="str">
        <x:v>63</x:v>
      </x:c>
      <x:c r="L267" s="257" t="str">
        <x:v>1000Hz</x:v>
      </x:c>
      <x:c r="M267" s="257" t="str">
        <x:v>BIDS</x:v>
      </x:c>
      <x:c r="N267" s="257" t="str">
        <x:v>raw BIDS</x:v>
      </x:c>
      <x:c r="O267" s="257" t="str">
        <x:v>OpenNeuro public download; ds004951 v1.0.0; license CC0; use web / OpenNeuro CLI / DataLad.</x:v>
      </x:c>
      <x:c r="P267" s="257" t="str">
        <x:v>Marleen Haupt; Monika Graumann; Santani Teng; Carina Kaltenbach; Radoslaw M. Cichy; doi:10.18112/openneuro.ds004951.v1.0.0</x:v>
      </x:c>
      <x:c r="Q267" s="257" t="str">
        <x:v>07_General-purpose_and_Multi-paradigm/Multi-task_EEG/Braille_letters_-_EEG</x:v>
      </x:c>
      <x:c r="R267" s="257" t="str">
        <x:v>存在公开仓库、官方入口或稳定数据访问号</x:v>
      </x:c>
      <x:c r="S267" s="257"/>
      <x:c r="T267" s="257"/>
      <x:c r="U267" s="213"/>
    </x:row>
    <x:row r="268" ht="60" customHeight="1">
      <x:c r="A268" s="274" t="str">
        <x:v>EEG-0531</x:v>
      </x:c>
      <x:c r="B268" s="275" t="str">
        <x:v>07_General-purpose_and_Multi-paradigm</x:v>
      </x:c>
      <x:c r="C268" s="275" t="str">
        <x:v>Multi-task_EEG</x:v>
      </x:c>
      <x:c r="D268" s="275" t="str">
        <x:v>Capacity for movement is an organisational principle in object representations: EEG data from Experiment 1</x:v>
      </x:c>
      <x:c r="E268" s="275"/>
      <x:c r="F268" s="275" t="str">
        <x:v>OpenNeuro:ds003885 | DOI:10.18112/openneuro.ds003885.v1.0.8</x:v>
      </x:c>
      <x:c r="G268" s="275" t="str">
        <x:v>DOWNLOAD_PUBLIC</x:v>
      </x:c>
      <x:c r="H268" s="275" t="str">
        <x:v>[OpenNeuro ds003885](https://openneuro.org/datasets/ds003885/versions/1.0.8)</x:v>
      </x:c>
      <x:c r="I268" s="275" t="str">
        <x:v>movement</x:v>
      </x:c>
      <x:c r="J268" s="275" t="str">
        <x:v>24</x:v>
      </x:c>
      <x:c r="K268" s="275" t="str">
        <x:v>128</x:v>
      </x:c>
      <x:c r="L268" s="275" t="str">
        <x:v>1000Hz</x:v>
      </x:c>
      <x:c r="M268" s="275" t="str">
        <x:v>BIDS</x:v>
      </x:c>
      <x:c r="N268" s="275" t="str">
        <x:v>raw BIDS</x:v>
      </x:c>
      <x:c r="O268" s="275" t="str">
        <x:v>OpenNeuro public download; ds003885 v1.0.8; license CC0; use web / OpenNeuro CLI / DataLad.</x:v>
      </x:c>
      <x:c r="P268" s="275" t="str">
        <x:v>Shatek, Sophia M.; Robinson, Amanda K.; Grootswagers, Tijl; Carlson, Thomas A.; doi:10.18112/openneuro.ds003885.v1.0.8</x:v>
      </x:c>
      <x:c r="Q268" s="275" t="str">
        <x:v>07_General-purpose_and_Multi-paradigm/Multi-task_EEG/Capacity_for_movement_is_an_organisational_principle_in_object_representations_EEG_data_fr</x:v>
      </x:c>
      <x:c r="R268" s="275" t="str">
        <x:v>存在公开仓库、官方入口或稳定数据访问号</x:v>
      </x:c>
      <x:c r="S268" s="275"/>
      <x:c r="T268" s="275"/>
      <x:c r="U268" s="276"/>
    </x:row>
    <x:row r="269" ht="60" customHeight="1">
      <x:c r="A269" s="264" t="str">
        <x:v>EEG-0532</x:v>
      </x:c>
      <x:c r="B269" s="257" t="str">
        <x:v>07_General-purpose_and_Multi-paradigm</x:v>
      </x:c>
      <x:c r="C269" s="257" t="str">
        <x:v>Multi-task_EEG</x:v>
      </x:c>
      <x:c r="D269" s="257" t="str">
        <x:v>Capacity for movement is an organisational principle in object representations: EEG data from Experiment 2</x:v>
      </x:c>
      <x:c r="E269" s="257"/>
      <x:c r="F269" s="257" t="str">
        <x:v>OpenNeuro:ds003887 | DOI:10.18112/openneuro.ds003887.v1.2.3</x:v>
      </x:c>
      <x:c r="G269" s="257" t="str">
        <x:v>DOWNLOAD_PUBLIC</x:v>
      </x:c>
      <x:c r="H269" s="257" t="str">
        <x:v>[OpenNeuro ds003887](https://openneuro.org/datasets/ds003887/versions/1.2.3)</x:v>
      </x:c>
      <x:c r="I269" s="257" t="str">
        <x:v>movement</x:v>
      </x:c>
      <x:c r="J269" s="257" t="str">
        <x:v>24</x:v>
      </x:c>
      <x:c r="K269" s="257" t="str">
        <x:v>128</x:v>
      </x:c>
      <x:c r="L269" s="257" t="str">
        <x:v>1000Hz</x:v>
      </x:c>
      <x:c r="M269" s="257" t="str">
        <x:v>BIDS</x:v>
      </x:c>
      <x:c r="N269" s="257" t="str">
        <x:v>raw BIDS</x:v>
      </x:c>
      <x:c r="O269" s="257" t="str">
        <x:v>OpenNeuro public download; ds003887 v1.2.3; license CC0; use web / OpenNeuro CLI / DataLad.</x:v>
      </x:c>
      <x:c r="P269" s="257" t="str">
        <x:v>Shatek, Sophia M.; Robinson, Amanda K.; Grootswagers, Tijl; Carlson, Thomas A.; doi:10.18112/openneuro.ds003887.v1.2.3</x:v>
      </x:c>
      <x:c r="Q269" s="257" t="str">
        <x:v>07_General-purpose_and_Multi-paradigm/Multi-task_EEG/Capacity_for_movement_is_an_organisational_principle_in_object_representations_EEG_data_fr</x:v>
      </x:c>
      <x:c r="R269" s="257" t="str">
        <x:v>存在公开仓库、官方入口或稳定数据访问号</x:v>
      </x:c>
      <x:c r="S269" s="257"/>
      <x:c r="T269" s="257"/>
      <x:c r="U269" s="213"/>
    </x:row>
    <x:row r="270" ht="60" customHeight="1">
      <x:c r="A270" s="274" t="str">
        <x:v>EEG-0533</x:v>
      </x:c>
      <x:c r="B270" s="275" t="str">
        <x:v>07_General-purpose_and_Multi-paradigm</x:v>
      </x:c>
      <x:c r="C270" s="275" t="str">
        <x:v>Multi-task_EEG</x:v>
      </x:c>
      <x:c r="D270" s="275" t="str">
        <x:v>COVID-19 Survivors and Close Contacts EEG</x:v>
      </x:c>
      <x:c r="E270" s="275"/>
      <x:c r="F270" s="275" t="str">
        <x:v>OpenNeuro:ds007823</x:v>
      </x:c>
      <x:c r="G270" s="275" t="str">
        <x:v>DOWNLOAD_PUBLIC</x:v>
      </x:c>
      <x:c r="H270" s="275" t="str">
        <x:v>[OpenNeuro ds007823](https://openneuro.org/datasets/ds007823/versions/1.0.3)</x:v>
      </x:c>
      <x:c r="I270" s="275" t="str">
        <x:v>COVID survivor / close-contact EEG；post-COVID neurophysiology</x:v>
      </x:c>
      <x:c r="J270" s="275" t="str">
        <x:v>173</x:v>
      </x:c>
      <x:c r="K270" s="275" t="str">
        <x:v>21</x:v>
      </x:c>
      <x:c r="L270" s="275" t="str">
        <x:v>200Hz</x:v>
      </x:c>
      <x:c r="M270" s="275" t="str">
        <x:v>BIDS</x:v>
      </x:c>
      <x:c r="N270" s="275" t="str">
        <x:v>raw BIDS</x:v>
      </x:c>
      <x:c r="O270" s="275" t="str">
        <x:v>公开下载：OpenNeuro ds007823 v1.0.3；CC0，可网页、OpenNeuro CLI 或 DataLad 获取。</x:v>
      </x:c>
      <x:c r="P270" s="275" t="str">
        <x:v>Ana Calzada-Reyes; Eduardo Aubert-Vázquez; Lidice Galán-García; Maria Luisa Bringas-Vega; Trinidad Virués-Alba; Lidia Charroó-Ruiz; Yanely Acosta-Imás; Mitchell Valdés-Sosa</x:v>
      </x:c>
      <x:c r="Q270" s="275" t="str">
        <x:v>07_General-purpose_and_Multi-paradigm/Multi-task_EEG/COVID-19_Survivors_and_Close_Contacts_EEG</x:v>
      </x:c>
      <x:c r="R270" s="275" t="str">
        <x:v>存在公开仓库、官方入口或稳定数据访问号</x:v>
      </x:c>
      <x:c r="S270" s="275"/>
      <x:c r="T270" s="275"/>
      <x:c r="U270" s="276"/>
    </x:row>
    <x:row r="271" ht="60" customHeight="1">
      <x:c r="A271" s="264" t="str">
        <x:v>EEG-0536</x:v>
      </x:c>
      <x:c r="B271" s="257" t="str">
        <x:v>07_General-purpose_and_Multi-paradigm</x:v>
      </x:c>
      <x:c r="C271" s="257" t="str">
        <x:v>Multi-task_EEG</x:v>
      </x:c>
      <x:c r="D271" s="257" t="str">
        <x:v>eeg-neuroforecasting</x:v>
      </x:c>
      <x:c r="E271" s="257"/>
      <x:c r="F271" s="257" t="str">
        <x:v>OpenNeuro:ds004284 | DOI:10.18112/openneuro.ds004284.v1.0.0</x:v>
      </x:c>
      <x:c r="G271" s="257" t="str">
        <x:v>DOWNLOAD_PUBLIC</x:v>
      </x:c>
      <x:c r="H271" s="257" t="str">
        <x:v>[OpenNeuro ds004284](https://openneuro.org/datasets/ds004284/versions/1.0.0)</x:v>
      </x:c>
      <x:c r="I271" s="257" t="str">
        <x:v>kickstarter</x:v>
      </x:c>
      <x:c r="J271" s="257" t="str">
        <x:v>18</x:v>
      </x:c>
      <x:c r="K271" s="257" t="str">
        <x:v>129</x:v>
      </x:c>
      <x:c r="L271" s="257" t="str">
        <x:v>1000Hz</x:v>
      </x:c>
      <x:c r="M271" s="257" t="str">
        <x:v>BIDS</x:v>
      </x:c>
      <x:c r="N271" s="257" t="str">
        <x:v>processed BIDS</x:v>
      </x:c>
      <x:c r="O271" s="257" t="str">
        <x:v>OpenNeuro public download; ds004284 v1.0.0; license CC0; use web / OpenNeuro CLI / DataLad.</x:v>
      </x:c>
      <x:c r="P271" s="257" t="str">
        <x:v>Veillette, J.; Heald, S.; Wittenbrink, B.; Nusbaum, H.; doi:10.18112/openneuro.ds004284.v1.0.0</x:v>
      </x:c>
      <x:c r="Q271" s="257" t="str">
        <x:v>07_General-purpose_and_Multi-paradigm/Multi-task_EEG/eeg-neuroforecasting</x:v>
      </x:c>
      <x:c r="R271" s="257" t="str">
        <x:v>存在公开仓库、官方入口或稳定数据访问号</x:v>
      </x:c>
      <x:c r="S271" s="257"/>
      <x:c r="T271" s="257"/>
      <x:c r="U271" s="213"/>
    </x:row>
    <x:row r="272" ht="60" customHeight="1">
      <x:c r="A272" s="274" t="str">
        <x:v>EEG-0539</x:v>
      </x:c>
      <x:c r="B272" s="275" t="str">
        <x:v>07_General-purpose_and_Multi-paradigm</x:v>
      </x:c>
      <x:c r="C272" s="275" t="str">
        <x:v>Multi-task_EEG</x:v>
      </x:c>
      <x:c r="D272" s="275" t="str">
        <x:v>EEGEyeNet Large Grid — ocular-event segmentation subset</x:v>
      </x:c>
      <x:c r="E272" s="275"/>
      <x:c r="F272" s="275" t="str">
        <x:v>DOI:10.48550/arXiv.2111.05100</x:v>
      </x:c>
      <x:c r="G272" s="275" t="str">
        <x:v>DOWNLOAD_APPLICATION_REQUIRED</x:v>
      </x:c>
      <x:c r="H272" s="275" t="str">
        <x:v>http://www.eegeye.net</x:v>
      </x:c>
      <x:c r="I272" s="275" t="str">
        <x:v>eye-tracking</x:v>
      </x:c>
      <x:c r="J272" s="275" t="str">
        <x:v>356</x:v>
      </x:c>
      <x:c r="K272" s="275" t="str">
        <x:v>128</x:v>
      </x:c>
      <x:c r="L272" s="275" t="str">
        <x:v>500 Hz</x:v>
      </x:c>
      <x:c r="M272" s="275" t="str">
        <x:v>.mat</x:v>
      </x:c>
      <x:c r="N272" s="275" t="str">
        <x:v>Both</x:v>
      </x:c>
      <x:c r="O272" s="275" t="str">
        <x:v>Need apply</x:v>
      </x:c>
      <x:c r="P272" s="275" t="str">
        <x:v>DOI: 10.48550/arXiv.2111.05100</x:v>
      </x:c>
      <x:c r="Q272" s="275" t="str">
        <x:v>07_General-purpose_and_Multi-paradigm/Multi-task_EEG/EEGEyeNet_Large_Grid_ocular-event_segmentation_subset</x:v>
      </x:c>
      <x:c r="R272" s="275" t="str">
        <x:v>官方数据存在，但需申请、签署协议或获得权限</x:v>
      </x:c>
      <x:c r="S272" s="275"/>
      <x:c r="T272" s="275"/>
      <x:c r="U272" s="276"/>
    </x:row>
    <x:row r="273" ht="60" customHeight="1">
      <x:c r="A273" s="264" t="str">
        <x:v>EEG-0540</x:v>
      </x:c>
      <x:c r="B273" s="257" t="str">
        <x:v>07_General-purpose_and_Multi-paradigm</x:v>
      </x:c>
      <x:c r="C273" s="257" t="str">
        <x:v>Multi-task_EEG</x:v>
      </x:c>
      <x:c r="D273" s="257" t="str">
        <x:v>Electroencephalographic responses to the number of objects in partially occluded and uncovered scenes</x:v>
      </x:c>
      <x:c r="E273" s="257"/>
      <x:c r="F273" s="257" t="str">
        <x:v>OpenNeuro:ds005586 | DOI:10.18112/openneuro.ds005586.v2.0.0</x:v>
      </x:c>
      <x:c r="G273" s="257" t="str">
        <x:v>DOWNLOAD_PUBLIC</x:v>
      </x:c>
      <x:c r="H273" s="257" t="str">
        <x:v>[OpenNeuro ds005586](https://openneuro.org/datasets/ds005586/versions/2.0.0)</x:v>
      </x:c>
      <x:c r="I273" s="257" t="str">
        <x:v>PassiveViewing</x:v>
      </x:c>
      <x:c r="J273" s="257" t="str">
        <x:v>23</x:v>
      </x:c>
      <x:c r="K273" s="257" t="str">
        <x:v>60</x:v>
      </x:c>
      <x:c r="L273" s="257" t="str">
        <x:v>1000Hz</x:v>
      </x:c>
      <x:c r="M273" s="257" t="str">
        <x:v>BIDS</x:v>
      </x:c>
      <x:c r="N273" s="257" t="str">
        <x:v>raw BIDS</x:v>
      </x:c>
      <x:c r="O273" s="257" t="str">
        <x:v>OpenNeuro public download; ds005586 v2.0.0; license CC0; use web / OpenNeuro CLI / DataLad.</x:v>
      </x:c>
      <x:c r="P273" s="257" t="str">
        <x:v>Cemre Baykan; Alexander C. Schütz; doi:10.18112/openneuro.ds005586.v2.0.0</x:v>
      </x:c>
      <x:c r="Q273" s="257" t="str">
        <x:v>07_General-purpose_and_Multi-paradigm/Multi-task_EEG/Electroencephalographic_responses_to_the_number_of_objects_in_partially_occluded_and_uncov</x:v>
      </x:c>
      <x:c r="R273" s="257" t="str">
        <x:v>存在公开仓库、官方入口或稳定数据访问号</x:v>
      </x:c>
      <x:c r="S273" s="257"/>
      <x:c r="T273" s="257"/>
      <x:c r="U273" s="213"/>
    </x:row>
    <x:row r="274" ht="60" customHeight="1">
      <x:c r="A274" s="274" t="str">
        <x:v>EEG-0541</x:v>
      </x:c>
      <x:c r="B274" s="275" t="str">
        <x:v>07_General-purpose_and_Multi-paradigm</x:v>
      </x:c>
      <x:c r="C274" s="275" t="str">
        <x:v>Multi-task_EEG</x:v>
      </x:c>
      <x:c r="D274" s="275" t="str">
        <x:v>Evidence accumulation Perithreshold Tactile detection task with confidence</x:v>
      </x:c>
      <x:c r="E274" s="275"/>
      <x:c r="F274" s="275" t="str">
        <x:v>OpenNeuro:ds001785 | DOI:10.1038/s41467-021-23540-y</x:v>
      </x:c>
      <x:c r="G274" s="275" t="str">
        <x:v>DOWNLOAD_PUBLIC</x:v>
      </x:c>
      <x:c r="H274" s="275" t="str">
        <x:v>https://openneuro.org/datasets/ds001785</x:v>
      </x:c>
      <x:c r="I274" s="275" t="str">
        <x:v>perithreshold vibrotactile detection with confidence rating</x:v>
      </x:c>
      <x:c r="J274" s="275" t="str">
        <x:v>18</x:v>
      </x:c>
      <x:c r="K274" s="275" t="str">
        <x:v>62</x:v>
      </x:c>
      <x:c r="L274" s="275" t="str">
        <x:v>1024 Hz</x:v>
      </x:c>
      <x:c r="M274" s="275" t="str">
        <x:v>BIDS</x:v>
      </x:c>
      <x:c r="N274" s="275" t="str">
        <x:v>RAW</x:v>
      </x:c>
      <x:c r="O274" s="275" t="str">
        <x:v>Fully open</x:v>
      </x:c>
      <x:c r="P274" s="275" t="str">
        <x:v>DOI: 10.1038/s41467-021-23540-y</x:v>
      </x:c>
      <x:c r="Q274" s="275" t="str">
        <x:v>07_General-purpose_and_Multi-paradigm/Multi-task_EEG/Evidence_accumulation_Perithreshold_Tactile_detection_task_with_confidence</x:v>
      </x:c>
      <x:c r="R274" s="275" t="str">
        <x:v>存在公开仓库、官方入口或稳定数据访问号</x:v>
      </x:c>
      <x:c r="S274" s="275"/>
      <x:c r="T274" s="275"/>
      <x:c r="U274" s="276"/>
    </x:row>
    <x:row r="275" ht="60" customHeight="1">
      <x:c r="A275" s="264" t="str">
        <x:v>EEG-0542</x:v>
      </x:c>
      <x:c r="B275" s="257" t="str">
        <x:v>07_General-purpose_and_Multi-paradigm</x:v>
      </x:c>
      <x:c r="C275" s="257" t="str">
        <x:v>Multi-task_EEG</x:v>
      </x:c>
      <x:c r="D275" s="257" t="str">
        <x:v>Features-EEG</x:v>
      </x:c>
      <x:c r="E275" s="257"/>
      <x:c r="F275" s="257" t="str">
        <x:v>OpenNeuro:ds004357</x:v>
      </x:c>
      <x:c r="G275" s="257" t="str">
        <x:v>DOWNLOAD_PUBLIC</x:v>
      </x:c>
      <x:c r="H275" s="257" t="str">
        <x:v>[OpenNeuro ds004357](https://openneuro.org/datasets/ds004357/versions/1.0.1)</x:v>
      </x:c>
      <x:c r="I275" s="257" t="str">
        <x:v>Viewing oriented gratings varying on four feature dimensions; pretraining</x:v>
      </x:c>
      <x:c r="J275" s="257" t="str">
        <x:v>16.0</x:v>
      </x:c>
      <x:c r="K275" s="257" t="str">
        <x:v>128.0</x:v>
      </x:c>
      <x:c r="L275" s="257" t="str">
        <x:v>1000.0</x:v>
      </x:c>
      <x:c r="M275" s="257" t="str">
        <x:v>BrainVision (.eeg/.vhdr/.vmrk)</x:v>
      </x:c>
      <x:c r="N275" s="257" t="str">
        <x:v>raw BIDS</x:v>
      </x:c>
      <x:c r="O275" s="257" t="str">
        <x:v>OpenNeuro public download; ds004357 v1.0.1; license CC0; use web / OpenNeuro CLI / DataLad.</x:v>
      </x:c>
      <x:c r="P275" s="257" t="str">
        <x:v>Grootswagers, T., Robinson, A. K., Shatek, S. M., &amp; Carlson, T. A. (2024). Mapping the dynamics of visual feature coding: Insights into perception and integration. PLOS Computational Biology, 20(1), e1011760.</x:v>
      </x:c>
      <x:c r="Q275" s="257" t="str">
        <x:v>07_General-purpose_and_Multi-paradigm/Multi-task_EEG/Features-EEG</x:v>
      </x:c>
      <x:c r="R275" s="257" t="str">
        <x:v>存在公开仓库、官方入口或稳定数据访问号</x:v>
      </x:c>
      <x:c r="S275" s="257"/>
      <x:c r="T275" s="257"/>
      <x:c r="U275" s="213"/>
    </x:row>
    <x:row r="276" ht="60" customHeight="1">
      <x:c r="A276" s="274" t="str">
        <x:v>EEG-0543</x:v>
      </x:c>
      <x:c r="B276" s="275" t="str">
        <x:v>07_General-purpose_and_Multi-paradigm</x:v>
      </x:c>
      <x:c r="C276" s="275" t="str">
        <x:v>Multi-task_EEG</x:v>
      </x:c>
      <x:c r="D276" s="275" t="str">
        <x:v>Gebodh (2021)</x:v>
      </x:c>
      <x:c r="E276" s="275"/>
      <x:c r="F276" s="275" t="str">
        <x:v>Zenodo:4456079</x:v>
      </x:c>
      <x:c r="G276" s="275" t="str">
        <x:v>DOWNLOAD_PUBLIC</x:v>
      </x:c>
      <x:c r="H276" s="275" t="str">
        <x:v>https://zenodo.org/records/4456079</x:v>
      </x:c>
      <x:c r="I276" s="275" t="str">
        <x:v>Continuous Compensatory Tracking Task (CTT) under HD-tES stimulation</x:v>
      </x:c>
      <x:c r="J276" s="275" t="str">
        <x:v>20</x:v>
      </x:c>
      <x:c r="K276" s="275" t="str">
        <x:v>32</x:v>
      </x:c>
      <x:c r="L276" s="275" t="str">
        <x:v>2000</x:v>
      </x:c>
      <x:c r="M276" s="275" t="str">
        <x:v>EEGLAB</x:v>
      </x:c>
      <x:c r="N276" s="275" t="str">
        <x:v>Raw</x:v>
      </x:c>
      <x:c r="O276" s="275" t="str">
        <x:v>CC-BY 4.0</x:v>
      </x:c>
      <x:c r="P276" s="275" t="str">
        <x:v>N. Gebodh et al., “Dataset of concurrent EEG, ECG, and behavior with multiple doses of transcranial electrical stimulation,” Sci. Data, vol. 8, no. 1, p. 274, 2021.</x:v>
      </x:c>
      <x:c r="Q276" s="275" t="str">
        <x:v>07_General-purpose_and_Multi-paradigm/Multi-task_EEG/Gebodh_2021</x:v>
      </x:c>
      <x:c r="R276" s="275" t="str">
        <x:v>存在公开仓库、官方入口或稳定数据访问号</x:v>
      </x:c>
      <x:c r="S276" s="275"/>
      <x:c r="T276" s="275"/>
      <x:c r="U276" s="276"/>
    </x:row>
    <x:row r="277" ht="60" customHeight="1">
      <x:c r="A277" s="264" t="str">
        <x:v>EEG-0544</x:v>
      </x:c>
      <x:c r="B277" s="257" t="str">
        <x:v>07_General-purpose_and_Multi-paradigm</x:v>
      </x:c>
      <x:c r="C277" s="257" t="str">
        <x:v>Multi-task_EEG</x:v>
      </x:c>
      <x:c r="D277" s="257" t="str">
        <x:v>Go-nogo Categorization and Detection Task</x:v>
      </x:c>
      <x:c r="E277" s="257"/>
      <x:c r="F277" s="257" t="str">
        <x:v>OpenNeuro:ds002680</x:v>
      </x:c>
      <x:c r="G277" s="257" t="str">
        <x:v>DOWNLOAD_PUBLIC</x:v>
      </x:c>
      <x:c r="H277" s="257" t="str">
        <x:v>[OpenNeuro ds002680](https://openneuro.org/datasets/ds002680/versions/1.2.0)</x:v>
      </x:c>
      <x:c r="I277" s="257" t="str">
        <x:v>go/no-go categorization and detection；response inhibition</x:v>
      </x:c>
      <x:c r="J277" s="257" t="str">
        <x:v>14</x:v>
      </x:c>
      <x:c r="K277" s="257" t="str">
        <x:v>31</x:v>
      </x:c>
      <x:c r="L277" s="257" t="str">
        <x:v>1000Hz</x:v>
      </x:c>
      <x:c r="M277" s="257" t="str">
        <x:v>BIDS</x:v>
      </x:c>
      <x:c r="N277" s="257" t="str">
        <x:v>raw BIDS</x:v>
      </x:c>
      <x:c r="O277" s="257" t="str">
        <x:v>公开下载：OpenNeuro ds002680 v1.2.0；CC0，可网页、OpenNeuro CLI 或 DataLad 获取。</x:v>
      </x:c>
      <x:c r="P277" s="257" t="str">
        <x:v>Arnaud Delorme</x:v>
      </x:c>
      <x:c r="Q277" s="257" t="str">
        <x:v>07_General-purpose_and_Multi-paradigm/Multi-task_EEG/Go-nogo_Categorization_and_Detection_Task</x:v>
      </x:c>
      <x:c r="R277" s="257" t="str">
        <x:v>存在公开仓库、官方入口或稳定数据访问号</x:v>
      </x:c>
      <x:c r="S277" s="257"/>
      <x:c r="T277" s="257"/>
      <x:c r="U277" s="213"/>
    </x:row>
    <x:row r="278" ht="60" customHeight="1">
      <x:c r="A278" s="274" t="str">
        <x:v>EEG-0545</x:v>
      </x:c>
      <x:c r="B278" s="275" t="str">
        <x:v>07_General-purpose_and_Multi-paradigm</x:v>
      </x:c>
      <x:c r="C278" s="275" t="str">
        <x:v>Multi-task_EEG</x:v>
      </x:c>
      <x:c r="D278" s="275" t="str">
        <x:v>HD-EEG Naming/Spelling</x:v>
      </x:c>
      <x:c r="E278" s="275"/>
      <x:c r="F278" s="275" t="str">
        <x:v>OpenNeuro:ds003420</x:v>
      </x:c>
      <x:c r="G278" s="275" t="str">
        <x:v>DOWNLOAD_PUBLIC</x:v>
      </x:c>
      <x:c r="H278" s="275" t="str">
        <x:v>https://openneuro.org/datasets/ds003420</x:v>
      </x:c>
      <x:c r="I278" s="275" t="str">
        <x:v>Sub-second brain dynamics (visual naming/spelling)</x:v>
      </x:c>
      <x:c r="J278" s="275" t="str">
        <x:v>23</x:v>
      </x:c>
      <x:c r="K278" s="275" t="str">
        <x:v>256</x:v>
      </x:c>
      <x:c r="L278" s="275" t="str">
        <x:v>1000 Hz</x:v>
      </x:c>
      <x:c r="M278" s="275" t="str">
        <x:v>BrainVision / BIDS</x:v>
      </x:c>
      <x:c r="N278" s="275" t="str">
        <x:v>Raw (BIDS)</x:v>
      </x:c>
      <x:c r="O278" s="275" t="str">
        <x:v>Open (OpenNeuro ds003420), CC0</x:v>
      </x:c>
      <x:c r="P278" s="275" t="str">
        <x:v>HD-EEG for tracking sub-second brain dynamics during cognitive tasks. Mheich et al., 2021, Scientific Data 8:32.</x:v>
      </x:c>
      <x:c r="Q278" s="275" t="str">
        <x:v>07_General-purpose_and_Multi-paradigm/Multi-task_EEG/HD-EEG_Naming_Spelling</x:v>
      </x:c>
      <x:c r="R278" s="275" t="str">
        <x:v>存在公开仓库、官方入口或稳定数据访问号</x:v>
      </x:c>
      <x:c r="S278" s="275"/>
      <x:c r="T278" s="275"/>
      <x:c r="U278" s="276"/>
    </x:row>
    <x:row r="279" ht="60" customHeight="1">
      <x:c r="A279" s="264" t="str">
        <x:v>EEG-0547</x:v>
      </x:c>
      <x:c r="B279" s="257" t="str">
        <x:v>07_General-purpose_and_Multi-paradigm</x:v>
      </x:c>
      <x:c r="C279" s="257" t="str">
        <x:v>Multi-task_EEG</x:v>
      </x:c>
      <x:c r="D279" s="257" t="str">
        <x:v>Illusion of Agency over Electrically-Actuated Movements</x:v>
      </x:c>
      <x:c r="E279" s="257"/>
      <x:c r="F279" s="257" t="str">
        <x:v>OpenNeuro:ds004561 | DOI:10.18112/openneuro.ds004561.v1.0.0</x:v>
      </x:c>
      <x:c r="G279" s="257" t="str">
        <x:v>DOWNLOAD_PUBLIC</x:v>
      </x:c>
      <x:c r="H279" s="257" t="str">
        <x:v>[OpenNeuro ds004561](https://openneuro.org/datasets/ds004561/versions/1.0.0)</x:v>
      </x:c>
      <x:c r="I279" s="257" t="str">
        <x:v>agencyRT</x:v>
      </x:c>
      <x:c r="J279" s="257" t="str">
        <x:v>23</x:v>
      </x:c>
      <x:c r="K279" s="257" t="str">
        <x:v>62</x:v>
      </x:c>
      <x:c r="L279" s="257" t="str">
        <x:v>10000Hz</x:v>
      </x:c>
      <x:c r="M279" s="257" t="str">
        <x:v>BIDS</x:v>
      </x:c>
      <x:c r="N279" s="257" t="str">
        <x:v>processed BIDS</x:v>
      </x:c>
      <x:c r="O279" s="257" t="str">
        <x:v>OpenNeuro public download; ds004561 v1.0.0; license CC0; use web / OpenNeuro CLI / DataLad.</x:v>
      </x:c>
      <x:c r="P279" s="257" t="str">
        <x:v>John Veillette; Pedro Lopes; Howard Nusbaum; doi:10.18112/openneuro.ds004561.v1.0.0</x:v>
      </x:c>
      <x:c r="Q279" s="257" t="str">
        <x:v>07_General-purpose_and_Multi-paradigm/Multi-task_EEG/Illusion_of_Agency_over_Electrically-Actuated_Movements</x:v>
      </x:c>
      <x:c r="R279" s="257" t="str">
        <x:v>存在公开仓库、官方入口或稳定数据访问号</x:v>
      </x:c>
      <x:c r="S279" s="257"/>
      <x:c r="T279" s="257"/>
      <x:c r="U279" s="213"/>
    </x:row>
    <x:row r="280" ht="60" customHeight="1">
      <x:c r="A280" s="274" t="str">
        <x:v>EEG-0550</x:v>
      </x:c>
      <x:c r="B280" s="275" t="str">
        <x:v>07_General-purpose_and_Multi-paradigm</x:v>
      </x:c>
      <x:c r="C280" s="275" t="str">
        <x:v>Multi-task_EEG</x:v>
      </x:c>
      <x:c r="D280" s="275" t="str">
        <x:v>Neural representation of consciously seen and unseen information</x:v>
      </x:c>
      <x:c r="E280" s="275"/>
      <x:c r="F280" s="275" t="str">
        <x:v>OpenNeuro:ds005273 | DOI:10.18112/openneuro.ds005273.v1.0.0</x:v>
      </x:c>
      <x:c r="G280" s="275" t="str">
        <x:v>DOWNLOAD_PUBLIC</x:v>
      </x:c>
      <x:c r="H280" s="275" t="str">
        <x:v>[OpenNeuro ds005273](https://openneuro.org/datasets/ds005273/versions/1.0.0)</x:v>
      </x:c>
      <x:c r="I280" s="275" t="str">
        <x:v>1</x:v>
      </x:c>
      <x:c r="J280" s="275" t="str">
        <x:v>33</x:v>
      </x:c>
      <x:c r="K280" s="275" t="str">
        <x:v>63</x:v>
      </x:c>
      <x:c r="L280" s="275" t="str">
        <x:v>1000Hz</x:v>
      </x:c>
      <x:c r="M280" s="275" t="str">
        <x:v>BIDS</x:v>
      </x:c>
      <x:c r="N280" s="275" t="str">
        <x:v>raw BIDS</x:v>
      </x:c>
      <x:c r="O280" s="275" t="str">
        <x:v>OpenNeuro public download; ds005273 v1.0.0; license CC0; use web / OpenNeuro CLI / DataLad.</x:v>
      </x:c>
      <x:c r="P280" s="275" t="str">
        <x:v>Pablo Rodríguez-San Esteban; Ana B. Chica; José A. González-López; doi:10.18112/openneuro.ds005273.v1.0.0</x:v>
      </x:c>
      <x:c r="Q280" s="275" t="str">
        <x:v>07_General-purpose_and_Multi-paradigm/Multi-task_EEG/Neural_representation_of_consciously_seen_and_unseen_information</x:v>
      </x:c>
      <x:c r="R280" s="275" t="str">
        <x:v>存在公开仓库、官方入口或稳定数据访问号</x:v>
      </x:c>
      <x:c r="S280" s="275"/>
      <x:c r="T280" s="275"/>
      <x:c r="U280" s="276"/>
    </x:row>
    <x:row r="281" ht="60" customHeight="1">
      <x:c r="A281" s="264" t="str">
        <x:v>EEG-0553</x:v>
      </x:c>
      <x:c r="B281" s="257" t="str">
        <x:v>07_General-purpose_and_Multi-paradigm</x:v>
      </x:c>
      <x:c r="C281" s="257" t="str">
        <x:v>Multi-task_EEG</x:v>
      </x:c>
      <x:c r="D281" s="257" t="str">
        <x:v>OpenNeuro ds006171</x:v>
      </x:c>
      <x:c r="E281" s="257"/>
      <x:c r="F281" s="257" t="str">
        <x:v>OpenNeuro:ds006171</x:v>
      </x:c>
      <x:c r="G281" s="257" t="str">
        <x:v>DOWNLOAD_PUBLIC</x:v>
      </x:c>
      <x:c r="H281" s="257" t="str">
        <x:v>[OpenNeuro ds006171](https://openneuro.org/datasets/ds006171/versions/1.0.0)</x:v>
      </x:c>
      <x:c r="I281" s="257" t="str">
        <x:v>three near-threshold visual detection tasks</x:v>
      </x:c>
      <x:c r="J281" s="257" t="str">
        <x:v>55</x:v>
      </x:c>
      <x:c r="K281" s="257" t="str">
        <x:v>128</x:v>
      </x:c>
      <x:c r="L281" s="257" t="str">
        <x:v>1024Hz</x:v>
      </x:c>
      <x:c r="M281" s="257" t="str">
        <x:v>BIDS</x:v>
      </x:c>
      <x:c r="N281" s="257" t="str">
        <x:v>raw BIDS</x:v>
      </x:c>
      <x:c r="O281" s="257" t="str">
        <x:v>OpenNeuro public download; CC0; use web / OpenNeuro CLI / DataLad.</x:v>
      </x:c>
      <x:c r="P281" s="257" t="str">
        <x:v>OpenNeuro ds006171; DeeperBrain; Liu et al. (2026), EEG Foundation Models Tables VIII-XIV</x:v>
      </x:c>
      <x:c r="Q281" s="257" t="str">
        <x:v>07_General-purpose_and_Multi-paradigm/Multi-task_EEG/OpenNeuro_ds006171</x:v>
      </x:c>
      <x:c r="R281" s="257" t="str">
        <x:v>存在公开仓库、官方入口或稳定数据访问号</x:v>
      </x:c>
      <x:c r="S281" s="257"/>
      <x:c r="T281" s="257"/>
      <x:c r="U281" s="213"/>
    </x:row>
    <x:row r="282" ht="60" customHeight="1">
      <x:c r="A282" s="274" t="str">
        <x:v>EEG-0554</x:v>
      </x:c>
      <x:c r="B282" s="275" t="str">
        <x:v>07_General-purpose_and_Multi-paradigm</x:v>
      </x:c>
      <x:c r="C282" s="275" t="str">
        <x:v>Multi-task_EEG</x:v>
      </x:c>
      <x:c r="D282" s="275" t="str">
        <x:v>OpenNeuro ds006437</x:v>
      </x:c>
      <x:c r="E282" s="275"/>
      <x:c r="F282" s="275" t="str">
        <x:v>OpenNeuro:ds006437</x:v>
      </x:c>
      <x:c r="G282" s="275" t="str">
        <x:v>DOWNLOAD_PUBLIC</x:v>
      </x:c>
      <x:c r="H282" s="275" t="str">
        <x:v>[OpenNeuro ds006437](https://openneuro.org/datasets/ds006437)</x:v>
      </x:c>
      <x:c r="I282" s="275" t="str">
        <x:v>EEG source reported by DeeperBrain</x:v>
      </x:c>
      <x:c r="J282" s="275" t="str">
        <x:v>9</x:v>
      </x:c>
      <x:c r="K282" s="275" t="str">
        <x:v>64</x:v>
      </x:c>
      <x:c r="L282" s="275" t="str">
        <x:v>256Hz</x:v>
      </x:c>
      <x:c r="M282" s="275" t="str">
        <x:v>BIDS</x:v>
      </x:c>
      <x:c r="N282" s="275" t="str">
        <x:v>raw BIDS</x:v>
      </x:c>
      <x:c r="O282" s="275" t="str">
        <x:v>OpenNeuro public dataset if accession is active; metadata needs manual confirmation.</x:v>
      </x:c>
      <x:c r="P282" s="275" t="str">
        <x:v>OpenNeuro ds006437; DeeperBrain; Liu et al. (2026), EEG Foundation Models Tables VIII-XIV</x:v>
      </x:c>
      <x:c r="Q282" s="275" t="str">
        <x:v>07_General-purpose_and_Multi-paradigm/Multi-task_EEG/OpenNeuro_ds006437</x:v>
      </x:c>
      <x:c r="R282" s="275" t="str">
        <x:v>存在公开仓库、官方入口或稳定数据访问号</x:v>
      </x:c>
      <x:c r="S282" s="275"/>
      <x:c r="T282" s="275"/>
      <x:c r="U282" s="276"/>
    </x:row>
    <x:row r="283" ht="60" customHeight="1">
      <x:c r="A283" s="264" t="str">
        <x:v>EEG-0555</x:v>
      </x:c>
      <x:c r="B283" s="257" t="str">
        <x:v>07_General-purpose_and_Multi-paradigm</x:v>
      </x:c>
      <x:c r="C283" s="257" t="str">
        <x:v>Multi-task_EEG</x:v>
      </x:c>
      <x:c r="D283" s="257" t="str">
        <x:v>OpenNeuro ds006446</x:v>
      </x:c>
      <x:c r="E283" s="257"/>
      <x:c r="F283" s="257" t="str">
        <x:v>OpenNeuro:ds006446</x:v>
      </x:c>
      <x:c r="G283" s="257" t="str">
        <x:v>DOWNLOAD_PUBLIC</x:v>
      </x:c>
      <x:c r="H283" s="257" t="str">
        <x:v>[OpenNeuro ds006446](https://openneuro.org/datasets/ds006446/versions/1.0.0)</x:v>
      </x:c>
      <x:c r="I283" s="257" t="str">
        <x:v>episodic future thinking and delay discounting EEG</x:v>
      </x:c>
      <x:c r="J283" s="257" t="str">
        <x:v>29</x:v>
      </x:c>
      <x:c r="K283" s="257" t="str">
        <x:v>64</x:v>
      </x:c>
      <x:c r="L283" s="257" t="str">
        <x:v>2048Hz</x:v>
      </x:c>
      <x:c r="M283" s="257" t="str">
        <x:v>BIDS</x:v>
      </x:c>
      <x:c r="N283" s="257" t="str">
        <x:v>raw BIDS</x:v>
      </x:c>
      <x:c r="O283" s="257" t="str">
        <x:v>OpenNeuro public download; CC0; EEGDash mirror available.</x:v>
      </x:c>
      <x:c r="P283" s="257" t="str">
        <x:v>OpenNeuro ds006446; DeeperBrain; Liu et al. (2026), EEG Foundation Models Tables VIII-XIV</x:v>
      </x:c>
      <x:c r="Q283" s="257" t="str">
        <x:v>07_General-purpose_and_Multi-paradigm/Multi-task_EEG/OpenNeuro_ds006446</x:v>
      </x:c>
      <x:c r="R283" s="257" t="str">
        <x:v>存在公开仓库、官方入口或稳定数据访问号</x:v>
      </x:c>
      <x:c r="S283" s="257"/>
      <x:c r="T283" s="257"/>
      <x:c r="U283" s="213"/>
    </x:row>
    <x:row r="284" ht="60" customHeight="1">
      <x:c r="A284" s="274" t="str">
        <x:v>EEG-0556</x:v>
      </x:c>
      <x:c r="B284" s="275" t="str">
        <x:v>07_General-purpose_and_Multi-paradigm</x:v>
      </x:c>
      <x:c r="C284" s="275" t="str">
        <x:v>Multi-task_EEG</x:v>
      </x:c>
      <x:c r="D284" s="275" t="str">
        <x:v>OpenNeuro ds006547</x:v>
      </x:c>
      <x:c r="E284" s="275"/>
      <x:c r="F284" s="275" t="str">
        <x:v>OpenNeuro:ds006547</x:v>
      </x:c>
      <x:c r="G284" s="275" t="str">
        <x:v>DOWNLOAD_PUBLIC</x:v>
      </x:c>
      <x:c r="H284" s="275" t="str">
        <x:v>[OpenNeuro ds006547](https://openneuro.org/datasets/ds006547/versions/1.0.0)</x:v>
      </x:c>
      <x:c r="I284" s="275" t="str">
        <x:v>high-density visual stimulation EEG</x:v>
      </x:c>
      <x:c r="J284" s="275" t="str">
        <x:v>31</x:v>
      </x:c>
      <x:c r="K284" s="275" t="str">
        <x:v>64</x:v>
      </x:c>
      <x:c r="L284" s="275" t="str">
        <x:v>500Hz</x:v>
      </x:c>
      <x:c r="M284" s="275" t="str">
        <x:v>BIDS / BrainVision</x:v>
      </x:c>
      <x:c r="N284" s="275" t="str">
        <x:v>raw BIDS</x:v>
      </x:c>
      <x:c r="O284" s="275" t="str">
        <x:v>OpenNeuro public download; CC0; use web / OpenNeuro CLI / DataLad.</x:v>
      </x:c>
      <x:c r="P284" s="275" t="str">
        <x:v>Ghaffari et al. (2025); DeeperBrain; Liu et al. (2026), EEG Foundation Models Tables VIII-XIV</x:v>
      </x:c>
      <x:c r="Q284" s="275" t="str">
        <x:v>07_General-purpose_and_Multi-paradigm/Multi-task_EEG/OpenNeuro_ds006547</x:v>
      </x:c>
      <x:c r="R284" s="275" t="str">
        <x:v>存在公开仓库、官方入口或稳定数据访问号</x:v>
      </x:c>
      <x:c r="S284" s="275"/>
      <x:c r="T284" s="275"/>
      <x:c r="U284" s="276"/>
    </x:row>
    <x:row r="285" ht="60" customHeight="1">
      <x:c r="A285" s="264" t="str">
        <x:v>EEG-0557</x:v>
      </x:c>
      <x:c r="B285" s="257" t="str">
        <x:v>07_General-purpose_and_Multi-paradigm</x:v>
      </x:c>
      <x:c r="C285" s="257" t="str">
        <x:v>Multi-task_EEG</x:v>
      </x:c>
      <x:c r="D285" s="257" t="str">
        <x:v>PES - Pandemic Emergency Scenario</x:v>
      </x:c>
      <x:c r="E285" s="257"/>
      <x:c r="F285" s="257" t="str">
        <x:v>OpenNeuro:ds004477 | DOI:10.3389/fnhum.2019.00013</x:v>
      </x:c>
      <x:c r="G285" s="257" t="str">
        <x:v>DOWNLOAD_PUBLIC</x:v>
      </x:c>
      <x:c r="H285" s="257" t="str">
        <x:v>[OpenNeuro ds004477](https://openneuro.org/datasets/ds004477/versions/1.0.2)</x:v>
      </x:c>
      <x:c r="I285" s="257" t="str">
        <x:v>PES</x:v>
      </x:c>
      <x:c r="J285" s="257" t="str">
        <x:v>9</x:v>
      </x:c>
      <x:c r="K285" s="257" t="str">
        <x:v>79</x:v>
      </x:c>
      <x:c r="L285" s="257" t="str">
        <x:v>2048Hz</x:v>
      </x:c>
      <x:c r="M285" s="257" t="str">
        <x:v>BIDS</x:v>
      </x:c>
      <x:c r="N285" s="257" t="str">
        <x:v>raw BIDS</x:v>
      </x:c>
      <x:c r="O285" s="257" t="str">
        <x:v>OpenNeuro public download; ds004477 v1.0.2; license CC0; use web / OpenNeuro CLI / DataLad.</x:v>
      </x:c>
      <x:c r="P285" s="257" t="str">
        <x:v>Tasos Papastylianou; Rodrigo Ramele; Luca Citi; Caterina Cinel; Riccardo Poli; https://doi.org/10.3389/fnhum.2019.00013</x:v>
      </x:c>
      <x:c r="Q285" s="257" t="str">
        <x:v>07_General-purpose_and_Multi-paradigm/Multi-task_EEG/PES_-_Pandemic_Emergency_Scenario</x:v>
      </x:c>
      <x:c r="R285" s="257" t="str">
        <x:v>存在公开仓库、官方入口或稳定数据访问号</x:v>
      </x:c>
      <x:c r="S285" s="257"/>
      <x:c r="T285" s="257"/>
      <x:c r="U285" s="213"/>
    </x:row>
    <x:row r="286" ht="60" customHeight="1">
      <x:c r="A286" s="274" t="str">
        <x:v>EEG-0558</x:v>
      </x:c>
      <x:c r="B286" s="275" t="str">
        <x:v>07_General-purpose_and_Multi-paradigm</x:v>
      </x:c>
      <x:c r="C286" s="275" t="str">
        <x:v>Multi-task_EEG</x:v>
      </x:c>
      <x:c r="D286" s="275" t="str">
        <x:v>Post-hoc labeling of arbitrary EEG recordings for data-efficient evaluation of neural decoding methods</x:v>
      </x:c>
      <x:c r="E286" s="275"/>
      <x:c r="F286" s="275" t="str">
        <x:v>Zenodo:1065107 | DOI:10.3389/fninf.2019.00055</x:v>
      </x:c>
      <x:c r="G286" s="275" t="str">
        <x:v>DOWNLOAD_PUBLIC</x:v>
      </x:c>
      <x:c r="H286" s="275" t="str">
        <x:v>https://zenodo.org/records/1065107</x:v>
      </x:c>
      <x:c r="I286" s="275" t="str">
        <x:v>sequential visual isometric pinch task</x:v>
      </x:c>
      <x:c r="J286" s="275" t="str">
        <x:v>7</x:v>
      </x:c>
      <x:c r="K286" s="275" t="str">
        <x:v>31</x:v>
      </x:c>
      <x:c r="L286" s="275" t="str">
        <x:v>1000 Hz</x:v>
      </x:c>
      <x:c r="M286" s="275" t="str">
        <x:v>.mat</x:v>
      </x:c>
      <x:c r="N286" s="275" t="str">
        <x:v>RAW</x:v>
      </x:c>
      <x:c r="O286" s="275" t="str">
        <x:v>Fully open</x:v>
      </x:c>
      <x:c r="P286" s="275" t="str">
        <x:v>DOI: 10.3389/fninf.2019.00055</x:v>
      </x:c>
      <x:c r="Q286" s="275" t="str">
        <x:v>07_General-purpose_and_Multi-paradigm/Multi-task_EEG/Post-hoc_labeling_of_arbitrary_EEG_recordings_for_data-efficient_evaluation_of_neural_deco</x:v>
      </x:c>
      <x:c r="R286" s="275" t="str">
        <x:v>存在公开仓库、官方入口或稳定数据访问号</x:v>
      </x:c>
      <x:c r="S286" s="275"/>
      <x:c r="T286" s="275"/>
      <x:c r="U286" s="276"/>
    </x:row>
    <x:row r="287" ht="60" customHeight="1">
      <x:c r="A287" s="264" t="str">
        <x:v>EEG-0559</x:v>
      </x:c>
      <x:c r="B287" s="257" t="str">
        <x:v>07_General-purpose_and_Multi-paradigm</x:v>
      </x:c>
      <x:c r="C287" s="257" t="str">
        <x:v>Multi-task_EEG</x:v>
      </x:c>
      <x:c r="D287" s="257" t="str">
        <x:v>Prediction Error</x:v>
      </x:c>
      <x:c r="E287" s="257"/>
      <x:c r="F287" s="257" t="str">
        <x:v>OpenNeuro:ds003846 | DOI:10.18112/openneuro.ds003846.v2.0.2</x:v>
      </x:c>
      <x:c r="G287" s="257" t="str">
        <x:v>DOWNLOAD_PUBLIC</x:v>
      </x:c>
      <x:c r="H287" s="257" t="str">
        <x:v>[OpenNeuro ds003846](https://openneuro.org/datasets/ds003846/versions/2.0.2)</x:v>
      </x:c>
      <x:c r="I287" s="257" t="str">
        <x:v>PredictionError</x:v>
      </x:c>
      <x:c r="J287" s="257" t="str">
        <x:v>19</x:v>
      </x:c>
      <x:c r="K287" s="257" t="str">
        <x:v>63</x:v>
      </x:c>
      <x:c r="L287" s="257" t="str">
        <x:v>500Hz</x:v>
      </x:c>
      <x:c r="M287" s="257" t="str">
        <x:v>BIDS</x:v>
      </x:c>
      <x:c r="N287" s="257" t="str">
        <x:v>raw BIDS</x:v>
      </x:c>
      <x:c r="O287" s="257" t="str">
        <x:v>OpenNeuro public download; ds003846 v2.0.2; license CC0; use web / OpenNeuro CLI / DataLad.</x:v>
      </x:c>
      <x:c r="P287" s="257" t="str">
        <x:v>Lukas Gehrke; Sezen Akman; Albert Chen; Pedro Lopes; Klaus Gramann; doi:10.18112/openneuro.ds003846.v2.0.2</x:v>
      </x:c>
      <x:c r="Q287" s="257" t="str">
        <x:v>07_General-purpose_and_Multi-paradigm/Multi-task_EEG/Prediction_Error</x:v>
      </x:c>
      <x:c r="R287" s="257" t="str">
        <x:v>存在公开仓库、官方入口或稳定数据访问号</x:v>
      </x:c>
      <x:c r="S287" s="257"/>
      <x:c r="T287" s="257"/>
      <x:c r="U287" s="213"/>
    </x:row>
    <x:row r="288" ht="60" customHeight="1">
      <x:c r="A288" s="274" t="str">
        <x:v>EEG-0560</x:v>
      </x:c>
      <x:c r="B288" s="275" t="str">
        <x:v>07_General-purpose_and_Multi-paradigm</x:v>
      </x:c>
      <x:c r="C288" s="275" t="str">
        <x:v>Multi-task_EEG</x:v>
      </x:c>
      <x:c r="D288" s="275" t="str">
        <x:v>Raw EEG Data</x:v>
      </x:c>
      <x:c r="E288" s="275"/>
      <x:c r="F288" s="275" t="str">
        <x:v>DOI:10.18738/T8/SS2NHB</x:v>
      </x:c>
      <x:c r="G288" s="275" t="str">
        <x:v>DOWNLOAD_PUBLIC</x:v>
      </x:c>
      <x:c r="H288" s="275" t="str">
        <x:v>https://doi.org/10.18738/T8/SS2NHB</x:v>
      </x:c>
      <x:c r="I288" s="275" t="str">
        <x:v>Information-integration categorization；multidimensional rule-based categorization</x:v>
      </x:c>
      <x:c r="J288" s="275" t="str">
        <x:v>48</x:v>
      </x:c>
      <x:c r="K288" s="275" t="str">
        <x:v>64</x:v>
      </x:c>
      <x:c r="L288" s="275" t="str">
        <x:v>256 Hz (originally 2048 Hz)</x:v>
      </x:c>
      <x:c r="M288" s="275" t="str">
        <x:v>BDF (BioSemi Data Format)</x:v>
      </x:c>
      <x:c r="N288" s="275" t="str">
        <x:v>Raw task-based EEG recordings</x:v>
      </x:c>
      <x:c r="O288" s="275" t="str">
        <x:v>公开下载：获取方式：按 information-integration / rule-based categorization 原论文 Data Availability 下载；没有稳定公开仓库时联系作者。</x:v>
      </x:c>
      <x:c r="P288" s="275" t="str">
        <x:v>Trujillo et al. (2020); NeuroRVQ; Liu et al. (2026), EEG Foundation Models Tables VIII-XIV</x:v>
      </x:c>
      <x:c r="Q288" s="275" t="str">
        <x:v>07_General-purpose_and_Multi-paradigm/Multi-task_EEG/Raw_EEG_Data</x:v>
      </x:c>
      <x:c r="R288" s="275" t="str">
        <x:v>存在公开仓库、官方入口或稳定数据访问号</x:v>
      </x:c>
      <x:c r="S288" s="275"/>
      <x:c r="T288" s="275"/>
      <x:c r="U288" s="276"/>
    </x:row>
    <x:row r="289" ht="60" customHeight="1">
      <x:c r="A289" s="264" t="str">
        <x:v>EEG-0561</x:v>
      </x:c>
      <x:c r="B289" s="257" t="str">
        <x:v>07_General-purpose_and_Multi-paradigm</x:v>
      </x:c>
      <x:c r="C289" s="257" t="str">
        <x:v>Multi-task_EEG</x:v>
      </x:c>
      <x:c r="D289" s="257" t="str">
        <x:v>Search Superiority Recollection Familiarity</x:v>
      </x:c>
      <x:c r="E289" s="257"/>
      <x:c r="F289" s="257" t="str">
        <x:v>OpenNeuro:ds005189 | DOI:10.18112/openneuro.ds005189.v1.0.1</x:v>
      </x:c>
      <x:c r="G289" s="257" t="str">
        <x:v>DOWNLOAD_PUBLIC</x:v>
      </x:c>
      <x:c r="H289" s="257" t="str">
        <x:v>[OpenNeuro ds005189](https://openneuro.org/datasets/ds005189/versions/1.0.1)</x:v>
      </x:c>
      <x:c r="I289" s="257" t="str">
        <x:v>SearchSupRecFam</x:v>
      </x:c>
      <x:c r="J289" s="257" t="str">
        <x:v>30</x:v>
      </x:c>
      <x:c r="K289" s="257" t="str">
        <x:v>61</x:v>
      </x:c>
      <x:c r="L289" s="257" t="str">
        <x:v>1000Hz</x:v>
      </x:c>
      <x:c r="M289" s="257" t="str">
        <x:v>BIDS</x:v>
      </x:c>
      <x:c r="N289" s="257" t="str">
        <x:v>raw BIDS</x:v>
      </x:c>
      <x:c r="O289" s="257" t="str">
        <x:v>OpenNeuro public download; ds005189 v1.0.1; license CC0; use web / OpenNeuro CLI / DataLad.</x:v>
      </x:c>
      <x:c r="P289" s="257" t="str">
        <x:v>Jason Helbing; Dejan Draschkow; Melissa L.-H. Võ; doi:10.18112/openneuro.ds005189.v1.0.1</x:v>
      </x:c>
      <x:c r="Q289" s="257" t="str">
        <x:v>07_General-purpose_and_Multi-paradigm/Multi-task_EEG/Search_Superiority_Recollection_Familiarity</x:v>
      </x:c>
      <x:c r="R289" s="257" t="str">
        <x:v>存在公开仓库、官方入口或稳定数据访问号</x:v>
      </x:c>
      <x:c r="S289" s="257"/>
      <x:c r="T289" s="257"/>
      <x:c r="U289" s="213"/>
    </x:row>
    <x:row r="290" ht="60" customHeight="1">
      <x:c r="A290" s="274" t="str">
        <x:v>EEG-0562</x:v>
      </x:c>
      <x:c r="B290" s="275" t="str">
        <x:v>07_General-purpose_and_Multi-paradigm</x:v>
      </x:c>
      <x:c r="C290" s="275" t="str">
        <x:v>Multi-task_EEG</x:v>
      </x:c>
      <x:c r="D290" s="275" t="str">
        <x:v>Siefert2024</x:v>
      </x:c>
      <x:c r="E290" s="275"/>
      <x:c r="F290" s="275" t="str">
        <x:v>OpenNeuro:ds005121 | DOI:10.1523/JNEUROSCI.0022-24.2024</x:v>
      </x:c>
      <x:c r="G290" s="275" t="str">
        <x:v>DOWNLOAD_PUBLIC</x:v>
      </x:c>
      <x:c r="H290" s="275" t="str">
        <x:v>[OpenNeuro ds005121](https://openneuro.org/datasets/ds005121/versions/1.0.2)</x:v>
      </x:c>
      <x:c r="I290" s="275" t="str">
        <x:v>Siefert2024</x:v>
      </x:c>
      <x:c r="J290" s="275" t="str">
        <x:v>34</x:v>
      </x:c>
      <x:c r="K290" s="275" t="str">
        <x:v>58</x:v>
      </x:c>
      <x:c r="L290" s="275" t="str">
        <x:v>512Hz</x:v>
      </x:c>
      <x:c r="M290" s="275" t="str">
        <x:v>BIDS</x:v>
      </x:c>
      <x:c r="N290" s="275" t="str">
        <x:v>raw BIDS</x:v>
      </x:c>
      <x:c r="O290" s="275" t="str">
        <x:v>OpenNeuro public download; ds005121 v1.0.2; license CC0; use web / OpenNeuro CLI / DataLad.</x:v>
      </x:c>
      <x:c r="P290" s="275" t="str">
        <x:v>Elizabeth M. Siefert; Sindhuja Uppuluri; Jianing Mu; Marlie C. Tandoc; James W. Antony; https://doi.org/10.1523/JNEUROSCI.0022-24.2024</x:v>
      </x:c>
      <x:c r="Q290" s="275" t="str">
        <x:v>07_General-purpose_and_Multi-paradigm/Multi-task_EEG/Siefert2024</x:v>
      </x:c>
      <x:c r="R290" s="275" t="str">
        <x:v>存在公开仓库、官方入口或稳定数据访问号</x:v>
      </x:c>
      <x:c r="S290" s="275"/>
      <x:c r="T290" s="275"/>
      <x:c r="U290" s="276"/>
    </x:row>
    <x:row r="291" ht="60" customHeight="1">
      <x:c r="A291" s="264" t="str">
        <x:v>EEG-0564</x:v>
      </x:c>
      <x:c r="B291" s="257" t="str">
        <x:v>07_General-purpose_and_Multi-paradigm</x:v>
      </x:c>
      <x:c r="C291" s="257" t="str">
        <x:v>Multi-task_EEG</x:v>
      </x:c>
      <x:c r="D291" s="257" t="str">
        <x:v>SomatoMotor</x:v>
      </x:c>
      <x:c r="E291" s="257"/>
      <x:c r="F291" s="257" t="str">
        <x:v>OpenNeuro:ds006035</x:v>
      </x:c>
      <x:c r="G291" s="257" t="str">
        <x:v>DOWNLOAD_PUBLIC</x:v>
      </x:c>
      <x:c r="H291" s="257" t="str">
        <x:v>[OpenNeuro ds006035](https://openneuro.org/datasets/ds006035/versions/1.0.0)</x:v>
      </x:c>
      <x:c r="I291" s="257" t="str">
        <x:v>median nerve stimulation and motor response; classify nerve-stimulus-triggered vs spontaneous finger lifts</x:v>
      </x:c>
      <x:c r="J291" s="257" t="str">
        <x:v>5</x:v>
      </x:c>
      <x:c r="K291" s="257" t="str">
        <x:v>74 EEG + 306 MEG</x:v>
      </x:c>
      <x:c r="L291" s="257" t="str">
        <x:v>1004Hz</x:v>
      </x:c>
      <x:c r="M291" s="257" t="str">
        <x:v>BIDS</x:v>
      </x:c>
      <x:c r="N291" s="257" t="str">
        <x:v>raw</x:v>
      </x:c>
      <x:c r="O291" s="257" t="str">
        <x:v>OpenNeuro public dataset</x:v>
      </x:c>
      <x:c r="P291" s="257" t="str">
        <x:v>SomatoMotor dataset authors; BrainOmni (2025)</x:v>
      </x:c>
      <x:c r="Q291" s="257" t="str">
        <x:v>07_General-purpose_and_Multi-paradigm/Multi-task_EEG/SomatoMotor</x:v>
      </x:c>
      <x:c r="R291" s="257" t="str">
        <x:v>存在公开仓库、官方入口或稳定数据访问号</x:v>
      </x:c>
      <x:c r="S291" s="257"/>
      <x:c r="T291" s="257"/>
      <x:c r="U291" s="213"/>
    </x:row>
    <x:row r="292" ht="60" customHeight="1">
      <x:c r="A292" s="274" t="str">
        <x:v>EEG-0565</x:v>
      </x:c>
      <x:c r="B292" s="275" t="str">
        <x:v>07_General-purpose_and_Multi-paradigm</x:v>
      </x:c>
      <x:c r="C292" s="275" t="str">
        <x:v>Multi-task_EEG</x:v>
      </x:c>
      <x:c r="D292" s="275" t="str">
        <x:v>Steer the Ship</x:v>
      </x:c>
      <x:c r="E292" s="275"/>
      <x:c r="F292" s="275" t="str">
        <x:v>OpenNeuro:ds004264 | DOI:10.18112/openneuro.ds004264.v1.1.0</x:v>
      </x:c>
      <x:c r="G292" s="275" t="str">
        <x:v>DOWNLOAD_PUBLIC</x:v>
      </x:c>
      <x:c r="H292" s="275" t="str">
        <x:v>[OpenNeuro ds004264](https://openneuro.org/datasets/ds004264/versions/1.1.0)</x:v>
      </x:c>
      <x:c r="I292" s="275" t="str">
        <x:v>steertheship</x:v>
      </x:c>
      <x:c r="J292" s="275" t="str">
        <x:v>21</x:v>
      </x:c>
      <x:c r="K292" s="275" t="str">
        <x:v>31</x:v>
      </x:c>
      <x:c r="L292" s="275" t="str">
        <x:v>1000Hz</x:v>
      </x:c>
      <x:c r="M292" s="275" t="str">
        <x:v>BIDS</x:v>
      </x:c>
      <x:c r="N292" s="275" t="str">
        <x:v>raw BIDS</x:v>
      </x:c>
      <x:c r="O292" s="275" t="str">
        <x:v>OpenNeuro public download; ds004264 v1.1.0; license CC0; use web / OpenNeuro CLI / DataLad.</x:v>
      </x:c>
      <x:c r="P292" s="275" t="str">
        <x:v>Cameron D. Hassall; Yan Yan; Laurence T. Hunt; doi:10.18112/openneuro.ds004264.v1.1.0</x:v>
      </x:c>
      <x:c r="Q292" s="275" t="str">
        <x:v>07_General-purpose_and_Multi-paradigm/Multi-task_EEG/Steer_the_Ship</x:v>
      </x:c>
      <x:c r="R292" s="275" t="str">
        <x:v>存在公开仓库、官方入口或稳定数据访问号</x:v>
      </x:c>
      <x:c r="S292" s="275"/>
      <x:c r="T292" s="275"/>
      <x:c r="U292" s="276"/>
    </x:row>
    <x:row r="293" ht="60" customHeight="1">
      <x:c r="A293" s="264" t="str">
        <x:v>EEG-0566</x:v>
      </x:c>
      <x:c r="B293" s="257" t="str">
        <x:v>07_General-purpose_and_Multi-paradigm</x:v>
      </x:c>
      <x:c r="C293" s="257" t="str">
        <x:v>Multi-task_EEG</x:v>
      </x:c>
      <x:c r="D293" s="257" t="str">
        <x:v>The effects of sham hypnosis techniques</x:v>
      </x:c>
      <x:c r="E293" s="257"/>
      <x:c r="F293" s="257" t="str">
        <x:v>OpenNeuro:ds004572 | DOI:10.18112/openneuro.ds004572.v1.3.2</x:v>
      </x:c>
      <x:c r="G293" s="257" t="str">
        <x:v>DOWNLOAD_PUBLIC</x:v>
      </x:c>
      <x:c r="H293" s="257" t="str">
        <x:v>[OpenNeuro ds004572](https://openneuro.org/datasets/ds004572/versions/1.3.2)</x:v>
      </x:c>
      <x:c r="I293" s="257" t="str">
        <x:v>experience2; induction1; experience4; induction4; experience1; baseline1; experience3</x:v>
      </x:c>
      <x:c r="J293" s="257" t="str">
        <x:v>52</x:v>
      </x:c>
      <x:c r="K293" s="257" t="str">
        <x:v>58</x:v>
      </x:c>
      <x:c r="L293" s="257" t="str">
        <x:v>1000Hz</x:v>
      </x:c>
      <x:c r="M293" s="257" t="str">
        <x:v>BIDS</x:v>
      </x:c>
      <x:c r="N293" s="257" t="str">
        <x:v>raw BIDS</x:v>
      </x:c>
      <x:c r="O293" s="257" t="str">
        <x:v>OpenNeuro public download; ds004572 v1.3.2; license CC0; use web / OpenNeuro CLI / DataLad.</x:v>
      </x:c>
      <x:c r="P293" s="257" t="str">
        <x:v>Zoltan Kekecs; Kyra Girán; Vanda Vizkievicz; Anna Lutoskin; Yeganeh Farahzadi; doi:10.18112/openneuro.ds004572.v1.3.2</x:v>
      </x:c>
      <x:c r="Q293" s="257" t="str">
        <x:v>07_General-purpose_and_Multi-paradigm/Multi-task_EEG/The_effects_of_sham_hypnosis_techniques</x:v>
      </x:c>
      <x:c r="R293" s="257" t="str">
        <x:v>存在公开仓库、官方入口或稳定数据访问号</x:v>
      </x:c>
      <x:c r="S293" s="257"/>
      <x:c r="T293" s="257"/>
      <x:c r="U293" s="213"/>
    </x:row>
    <x:row r="294" ht="60" customHeight="1">
      <x:c r="A294" s="274" t="str">
        <x:v>EEG-0567</x:v>
      </x:c>
      <x:c r="B294" s="275" t="str">
        <x:v>07_General-purpose_and_Multi-paradigm</x:v>
      </x:c>
      <x:c r="C294" s="275" t="str">
        <x:v>Multi-task_EEG</x:v>
      </x:c>
      <x:c r="D294" s="275" t="str">
        <x:v>TMS-EEG-MRI-fMRI-DWI ccPAS Dataset</x:v>
      </x:c>
      <x:c r="E294" s="275"/>
      <x:c r="F294" s="275" t="str">
        <x:v>OpenNeuro:ds004024</x:v>
      </x:c>
      <x:c r="G294" s="275" t="str">
        <x:v>DOWNLOAD_PUBLIC</x:v>
      </x:c>
      <x:c r="H294" s="275" t="str">
        <x:v>[OpenNeuro ds004024](https://openneuro.org/datasets/ds004024/versions/1.0.1)</x:v>
      </x:c>
      <x:c r="I294" s="275" t="str">
        <x:v>paired associative stimulation；connectivity；TMS-EEG / MRI / fMRI / DWI</x:v>
      </x:c>
      <x:c r="J294" s="275" t="str">
        <x:v>13</x:v>
      </x:c>
      <x:c r="K294" s="275" t="str">
        <x:v>64</x:v>
      </x:c>
      <x:c r="L294" s="275" t="str">
        <x:v>20000Hz</x:v>
      </x:c>
      <x:c r="M294" s="275" t="str">
        <x:v>BIDS</x:v>
      </x:c>
      <x:c r="N294" s="275" t="str">
        <x:v>raw BIDS</x:v>
      </x:c>
      <x:c r="O294" s="275" t="str">
        <x:v>公开下载：OpenNeuro ds004024 v1.0.1；可网页、OpenNeuro CLI 或 DataLad 获取。</x:v>
      </x:c>
      <x:c r="P294" s="275" t="str">
        <x:v>Julio Cesar Hernandez Pavon; Nils Schneider Garces; John Patrick Begnoche; Lee Miller; Tommi Raij</x:v>
      </x:c>
      <x:c r="Q294" s="275" t="str">
        <x:v>07_General-purpose_and_Multi-paradigm/Multi-task_EEG/TMS-EEG-MRI-fMRI-DWI_ccPAS_Dataset</x:v>
      </x:c>
      <x:c r="R294" s="275" t="str">
        <x:v>存在公开仓库、官方入口或稳定数据访问号</x:v>
      </x:c>
      <x:c r="S294" s="275"/>
      <x:c r="T294" s="275"/>
      <x:c r="U294" s="276"/>
    </x:row>
    <x:row r="295" ht="60" customHeight="1">
      <x:c r="A295" s="264" t="str">
        <x:v>EEG-0568</x:v>
      </x:c>
      <x:c r="B295" s="257" t="str">
        <x:v>07_General-purpose_and_Multi-paradigm</x:v>
      </x:c>
      <x:c r="C295" s="257" t="str">
        <x:v>Multi-task_EEG</x:v>
      </x:c>
      <x:c r="D295" s="257" t="str">
        <x:v>ToMCAT</x:v>
      </x:c>
      <x:c r="E295" s="257"/>
      <x:c r="F295" s="257" t="str">
        <x:v>DOI:10.52202/075280-1781</x:v>
      </x:c>
      <x:c r="G295" s="257" t="str">
        <x:v>DOWNLOAD_PUBLIC</x:v>
      </x:c>
      <x:c r="H295" s="257" t="str">
        <x:v>https://tomcat.ivilab.org/</x:v>
      </x:c>
      <x:c r="I295" s="257" t="str">
        <x:v>human-machine teaming / team cognition</x:v>
      </x:c>
      <x:c r="J295" s="257" t="str">
        <x:v>120</x:v>
      </x:c>
      <x:c r="K295" s="257" t="str">
        <x:v>21</x:v>
      </x:c>
      <x:c r="L295" s="257" t="str">
        <x:v>500 Hz</x:v>
      </x:c>
      <x:c r="M295" s="257" t="str">
        <x:v>.db</x:v>
      </x:c>
      <x:c r="N295" s="257" t="str">
        <x:v>Both</x:v>
      </x:c>
      <x:c r="O295" s="257" t="str">
        <x:v>Fully open</x:v>
      </x:c>
      <x:c r="P295" s="257" t="str">
        <x:v>DOI: 10.52202/075280-1781</x:v>
      </x:c>
      <x:c r="Q295" s="257" t="str">
        <x:v>07_General-purpose_and_Multi-paradigm/Multi-task_EEG/ToMCAT</x:v>
      </x:c>
      <x:c r="R295" s="257" t="str">
        <x:v>存在公开仓库、官方入口或稳定数据访问号</x:v>
      </x:c>
      <x:c r="S295" s="257"/>
      <x:c r="T295" s="257"/>
      <x:c r="U295" s="213"/>
    </x:row>
    <x:row r="296" ht="60" customHeight="1">
      <x:c r="A296" s="274" t="str">
        <x:v>EEG-0569</x:v>
      </x:c>
      <x:c r="B296" s="275" t="str">
        <x:v>07_General-purpose_and_Multi-paradigm</x:v>
      </x:c>
      <x:c r="C296" s="275" t="str">
        <x:v>Multi-task_EEG</x:v>
      </x:c>
      <x:c r="D296" s="275" t="str">
        <x:v>Visual Attribute-Specific Contextual Trajectory Paradigm</x:v>
      </x:c>
      <x:c r="E296" s="275"/>
      <x:c r="F296" s="275" t="str">
        <x:v>OpenNeuro:ds004603 | DOI:10.18112/openneuro.ds004603.v1.1.0</x:v>
      </x:c>
      <x:c r="G296" s="275" t="str">
        <x:v>DOWNLOAD_PUBLIC</x:v>
      </x:c>
      <x:c r="H296" s="275" t="str">
        <x:v>[OpenNeuro ds004603](https://openneuro.org/datasets/ds004603/versions/1.1.0)</x:v>
      </x:c>
      <x:c r="I296" s="275" t="str">
        <x:v>CTP</x:v>
      </x:c>
      <x:c r="J296" s="275" t="str">
        <x:v>37</x:v>
      </x:c>
      <x:c r="K296" s="275" t="str">
        <x:v>64</x:v>
      </x:c>
      <x:c r="L296" s="275" t="str">
        <x:v>1024Hz</x:v>
      </x:c>
      <x:c r="M296" s="275" t="str">
        <x:v>BIDS</x:v>
      </x:c>
      <x:c r="N296" s="275" t="str">
        <x:v>raw BIDS</x:v>
      </x:c>
      <x:c r="O296" s="275" t="str">
        <x:v>OpenNeuro public download; ds004603 v1.1.0; license CC0; use web / OpenNeuro CLI / DataLad.</x:v>
      </x:c>
      <x:c r="P296" s="275" t="str">
        <x:v>Benjamin Lowe (ben.lowe@mq.edu.au); Jonathan Robinson (jonathan.robinson@monash.edu); Naohide Yamamoto (naohide.yamamoto@qut.edu.au); Hinze Hogendoorn (hinze.hogendoorn@qut.edu.au); Patrick Johnston (dr.pat.johnston@icloud.com); doi:10.18112/openneuro.ds004603.v1.1.0</x:v>
      </x:c>
      <x:c r="Q296" s="275" t="str">
        <x:v>07_General-purpose_and_Multi-paradigm/Multi-task_EEG/Visual_Attribute-Specific_Contextual_Trajectory_Paradigm</x:v>
      </x:c>
      <x:c r="R296" s="275" t="str">
        <x:v>存在公开仓库、官方入口或稳定数据访问号</x:v>
      </x:c>
      <x:c r="S296" s="275"/>
      <x:c r="T296" s="275"/>
      <x:c r="U296" s="276"/>
    </x:row>
    <x:row r="297" ht="60" customHeight="1">
      <x:c r="A297" s="264" t="str">
        <x:v>EEG-0570</x:v>
      </x:c>
      <x:c r="B297" s="257" t="str">
        <x:v>07_General-purpose_and_Multi-paradigm</x:v>
      </x:c>
      <x:c r="C297" s="257" t="str">
        <x:v>Multi-task_EEG</x:v>
      </x:c>
      <x:c r="D297" s="257" t="str">
        <x:v>NIMH Simultaneous EEG-fMRI Autonomic Global Signal Dataset</x:v>
      </x:c>
      <x:c r="E297" s="257" t="str">
        <x:v>NIMH autonomic / global signal; Figshare 28225415</x:v>
      </x:c>
      <x:c r="F297" s="257" t="str">
        <x:v>Figshare:28225415 | DOI:10.6084/m9.figshare.28225415</x:v>
      </x:c>
      <x:c r="G297" s="257" t="str">
        <x:v>DOWNLOAD_PUBLIC</x:v>
      </x:c>
      <x:c r="H297" s="257" t="str">
        <x:v>[Figshare 28225415](https://figshare.com/articles/dataset/NIMH_Simultaneous_EEG-FMRI_Dataset/28225415)</x:v>
      </x:c>
      <x:c r="I297" s="257" t="str">
        <x:v>Eyes-closed rest; deep-breath respiration task with auditory cue; reaction-time cue task; simultaneous multi-echo fMRI, EEG, PPG and respiration</x:v>
      </x:c>
      <x:c r="J297" s="257" t="str">
        <x:v>11 rest / 6 respiration-task / 12 reaction-time-task (overlapping)</x:v>
      </x:c>
      <x:c r="K297" s="257" t="str">
        <x:v>32 EEG</x:v>
      </x:c>
      <x:c r="L297" s="257" t="str">
        <x:v>5000 Hz</x:v>
      </x:c>
      <x:c r="M297" s="257" t="str">
        <x:v>NIfTI / MAT</x:v>
      </x:c>
      <x:c r="N297" s="257" t="str">
        <x:v>Raw fMRI; minimally preprocessed EEG and peripheral physiology</x:v>
      </x:c>
      <x:c r="O297" s="257" t="str">
        <x:v>Public Figshare dataset; cite dataset and Bolt et al.; 13.03 GB reported for version 3.</x:v>
      </x:c>
      <x:c r="P297" s="257" t="str">
        <x:v>Bolt et al. — Nature Neuroscience 2025</x:v>
      </x:c>
      <x:c r="Q297" s="257" t="str">
        <x:v>07_General-purpose_and_Multi-paradigm/Multi-task_EEG/NIMH_Simultaneous_EEG-fMRI_Autonomic_Global_Signal</x:v>
      </x:c>
      <x:c r="R297" s="257" t="str">
        <x:v>官方公开数据集；Figshare 页面和文件规模已核验</x:v>
      </x:c>
      <x:c r="S297" s="257" t="str">
        <x:v>2.1 (multi-echo; TE 13.0/29.4/45.7 ms)</x:v>
      </x:c>
      <x:c r="T297" s="257" t="str">
        <x:v>rest ~1470; respiration task ~840-900</x:v>
      </x:c>
      <x:c r="U297" s="213" t="str">
        <x:v>15 rest + 9 respiration-task + reaction-time task scans</x:v>
      </x:c>
    </x:row>
    <x:row r="298" ht="60" customHeight="1">
      <x:c r="A298" s="274" t="str">
        <x:v>EEG-0571</x:v>
      </x:c>
      <x:c r="B298" s="275" t="str">
        <x:v>05_Naturalistic_Stimulus_Decoding</x:v>
      </x:c>
      <x:c r="C298" s="275" t="str">
        <x:v>Visual_Perception</x:v>
      </x:c>
      <x:c r="D298" s="275" t="str">
        <x:v>Simultaneous EEG-fMRI Binocular Rivalry Dataset</x:v>
      </x:c>
      <x:c r="E298" s="275" t="str">
        <x:v>Binocular rivalry Dryad bf1b1</x:v>
      </x:c>
      <x:c r="F298" s="275" t="str">
        <x:v>Dryad:bf1b1 | DOI:10.5061/dryad.bf1b1</x:v>
      </x:c>
      <x:c r="G298" s="275" t="str">
        <x:v>DOWNLOAD_PUBLIC</x:v>
      </x:c>
      <x:c r="H298" s="275" t="str">
        <x:v>[Dryad bf1b1](https://datadryad.org/dataset/doi:10.5061/dryad.bf1b1)</x:v>
      </x:c>
      <x:c r="I298" s="275" t="str">
        <x:v>Frequency-tagged binocular rivalry (SSVEP 6.67 and 8.57 Hz) with replay and instant-replay controls; simultaneous EEG-fMRI</x:v>
      </x:c>
      <x:c r="J298" s="275" t="str">
        <x:v>20</x:v>
      </x:c>
      <x:c r="K298" s="275" t="str">
        <x:v>64 EEG</x:v>
      </x:c>
      <x:c r="L298" s="275" t="str">
        <x:v>5000 Hz</x:v>
      </x:c>
      <x:c r="M298" s="275" t="str">
        <x:v>ZIP / EEG / MRI</x:v>
      </x:c>
      <x:c r="N298" s="275" t="str">
        <x:v>Subject-level simultaneous EEG-fMRI and MRI archives</x:v>
      </x:c>
      <x:c r="O298" s="275" t="str">
        <x:v>Public Dryad dataset; 20 subject ZIP files plus channel locations and README; 16.84 GB.</x:v>
      </x:c>
      <x:c r="P298" s="275" t="str">
        <x:v>Roy, Jamison, He, Engel, He — NeuroImage 2017</x:v>
      </x:c>
      <x:c r="Q298" s="275" t="str">
        <x:v>05_Naturalistic_Stimulus_Decoding/Visual_Perception/Simultaneous_EEG-fMRI_Binocular_Rivalry</x:v>
      </x:c>
      <x:c r="R298" s="275" t="str">
        <x:v>官方公开数据集；Dryad DOI、20 名受试者和 16.84 GB 文件清单已核验</x:v>
      </x:c>
      <x:c r="S298" s="275" t="str">
        <x:v>2.2</x:v>
      </x:c>
      <x:c r="T298" s="275" t="str">
        <x:v>~222/block (5 x 42 s trials + 12 s rest)</x:v>
      </x:c>
      <x:c r="U298" s="276" t="str">
        <x:v>12 runs/subject (5 rivalry + 5 replay + 2 instant-replay)</x:v>
      </x:c>
    </x:row>
    <x:row r="299" ht="60" customHeight="1">
      <x:c r="A299" s="264" t="str">
        <x:v>EEG-0572</x:v>
      </x:c>
      <x:c r="B299" s="257" t="str">
        <x:v>03_Consciousness_and_State</x:v>
      </x:c>
      <x:c r="C299" s="257" t="str">
        <x:v>Resting_State</x:v>
      </x:c>
      <x:c r="D299" s="257" t="str">
        <x:v>Simultaneous 7T EEG-fMRI Resting-State Dataset</x:v>
      </x:c>
      <x:c r="E299" s="257" t="str">
        <x:v>7T EEG-fMRI rest; Zenodo 15781280</x:v>
      </x:c>
      <x:c r="F299" s="257" t="str">
        <x:v>Zenodo:15781280 | DOI:10.5281/zenodo.15781280</x:v>
      </x:c>
      <x:c r="G299" s="257" t="str">
        <x:v>DOWNLOAD_PUBLIC</x:v>
      </x:c>
      <x:c r="H299" s="257" t="str">
        <x:v>[Zenodo 15781280](https://zenodo.org/records/15781280)</x:v>
      </x:c>
      <x:c r="I299" s="257" t="str">
        <x:v>Resting-state simultaneous EEG-fMRI at 7T with 1.6 mm and 0.8 mm fMRI acquisitions</x:v>
      </x:c>
      <x:c r="J299" s="257" t="str">
        <x:v>8 released</x:v>
      </x:c>
      <x:c r="K299" s="257" t="str">
        <x:v>64 (Ag/AgCl; one ECG extension)</x:v>
      </x:c>
      <x:c r="L299" s="257" t="str">
        <x:v>5000 Hz (bandpass 0.016-250 Hz)</x:v>
      </x:c>
      <x:c r="M299" s="257" t="str">
        <x:v>ZIP / preprocessed EEG-fMRI</x:v>
      </x:c>
      <x:c r="N299" s="257" t="str">
        <x:v>Artifact-corrected and preprocessed</x:v>
      </x:c>
      <x:c r="O299" s="257" t="str">
        <x:v>Open Zenodo dataset; eight subject archives; 77.7 GB with MD5 values.</x:v>
      </x:c>
      <x:c r="P299" s="257" t="str">
        <x:v>Sainz Martinez et al. — Imaging Neuroscience 2025</x:v>
      </x:c>
      <x:c r="Q299" s="257" t="str">
        <x:v>03_Consciousness_and_State/Resting_State/Simultaneous_7T_EEG-fMRI_Resting-State</x:v>
      </x:c>
      <x:c r="R299" s="257" t="str">
        <x:v>官方公开数据集；Zenodo DOI、8 名受试者、77.7 GB 和 MD5 已核验</x:v>
      </x:c>
      <x:c r="S299" s="257" t="str">
        <x:v>1.05 (1.6 mm) / 3.52 (0.8 mm)</x:v>
      </x:c>
      <x:c r="T299" s="257" t="str">
        <x:v>480/run</x:v>
      </x:c>
      <x:c r="U299" s="213" t="str">
        <x:v>multiple EEG-fMRI runs/subject at two resolutions</x:v>
      </x:c>
    </x:row>
    <x:row r="300" ht="60" customHeight="1">
      <x:c r="A300" s="274" t="str">
        <x:v>EEG-0573</x:v>
      </x:c>
      <x:c r="B300" s="275" t="str">
        <x:v>04_Cognition_and_Emotion</x:v>
      </x:c>
      <x:c r="C300" s="275" t="str">
        <x:v>ERP_and_Event_Detection</x:v>
      </x:c>
      <x:c r="D300" s="275" t="str">
        <x:v>Simultaneous EEG-fMRI Auditory and Visual Oddball Dataset</x:v>
      </x:c>
      <x:c r="E300" s="275" t="str">
        <x:v>OpenNeuro ds000116; Auditory &amp; Visual Oddball</x:v>
      </x:c>
      <x:c r="F300" s="275" t="str">
        <x:v>OpenNeuro:ds000116</x:v>
      </x:c>
      <x:c r="G300" s="275" t="str">
        <x:v>DOWNLOAD_PUBLIC</x:v>
      </x:c>
      <x:c r="H300" s="275" t="str">
        <x:v>[OpenNeuro ds000116](https://openneuro.org/datasets/ds000116)</x:v>
      </x:c>
      <x:c r="I300" s="275" t="str">
        <x:v>Auditory and visual oddball target detection with 20% targets; simultaneous EEG-fMRI</x:v>
      </x:c>
      <x:c r="J300" s="275" t="str">
        <x:v>17</x:v>
      </x:c>
      <x:c r="K300" s="275" t="str">
        <x:v>49 recorded (43 EEG + 2 EOG + 2 ECG; 34 after re-reference)</x:v>
      </x:c>
      <x:c r="L300" s="275" t="str">
        <x:v>1000 Hz</x:v>
      </x:c>
      <x:c r="M300" s="275" t="str">
        <x:v>BIDS / EEG / MRI</x:v>
      </x:c>
      <x:c r="N300" s="275" t="str">
        <x:v>Raw and BIDS-organized</x:v>
      </x:c>
      <x:c r="O300" s="275" t="str">
        <x:v>Public OpenNeuro dataset; OpenNeuro data-use terms apply.</x:v>
      </x:c>
      <x:c r="P300" s="275" t="str">
        <x:v>Walz, Goldman, Muraskin, Brown, Sajda — Journal of Neuroscience 2013</x:v>
      </x:c>
      <x:c r="Q300" s="275" t="str">
        <x:v>04_Cognition_and_Emotion/ERP_and_Event_Detection/Simultaneous_EEG-fMRI_Auditory_Visual_Oddball_ds000116</x:v>
      </x:c>
      <x:c r="R300" s="275" t="str">
        <x:v>OpenNeuro 稳定访问号存在；需在下载前核验当前 snapshot 与文件规模</x:v>
      </x:c>
      <x:c r="S300" s="275" t="str">
        <x:v>2</x:v>
      </x:c>
      <x:c r="T300" s="275" t="str">
        <x:v>340/run</x:v>
      </x:c>
      <x:c r="U300" s="276" t="str">
        <x:v>6 runs/subject (102 total)</x:v>
      </x:c>
    </x:row>
    <x:row r="301" ht="60" customHeight="1">
      <x:c r="A301" s="264" t="str">
        <x:v>EEG-0574</x:v>
      </x:c>
      <x:c r="B301" s="257" t="str">
        <x:v>04_Cognition_and_Emotion</x:v>
      </x:c>
      <x:c r="C301" s="257" t="str">
        <x:v>Cognitive_Task_Recognition</x:v>
      </x:c>
      <x:c r="D301" s="257" t="str">
        <x:v>Simultaneous EEG-fMRI Confidence in Perceptual Decisions</x:v>
      </x:c>
      <x:c r="E301" s="257" t="str">
        <x:v>OpenNeuro ds002739; original ds001512</x:v>
      </x:c>
      <x:c r="F301" s="257" t="str">
        <x:v>OpenNeuro:ds002739</x:v>
      </x:c>
      <x:c r="G301" s="257" t="str">
        <x:v>DOWNLOAD_PUBLIC</x:v>
      </x:c>
      <x:c r="H301" s="257" t="str">
        <x:v>[OpenNeuro ds002739](https://openneuro.org/datasets/ds002739)</x:v>
      </x:c>
      <x:c r="I301" s="257" t="str">
        <x:v>Random-dot direction discrimination and post-decision confidence; simultaneous EEG-fMRI</x:v>
      </x:c>
      <x:c r="J301" s="257" t="str">
        <x:v>24</x:v>
      </x:c>
      <x:c r="K301" s="257" t="str">
        <x:v>64 EEG</x:v>
      </x:c>
      <x:c r="L301" s="257" t="str">
        <x:v>5000 Hz native; 1000 Hz in released MAT files</x:v>
      </x:c>
      <x:c r="M301" s="257" t="str">
        <x:v>BIDS / MAT / MRI</x:v>
      </x:c>
      <x:c r="N301" s="257" t="str">
        <x:v>Released EEG and MRI with processed MAT copy</x:v>
      </x:c>
      <x:c r="O301" s="257" t="str">
        <x:v>Public OpenNeuro dataset; OpenNeuro data-use terms apply.</x:v>
      </x:c>
      <x:c r="P301" s="257" t="str">
        <x:v>Gherman and Philiastides — eLife 2018</x:v>
      </x:c>
      <x:c r="Q301" s="257" t="str">
        <x:v>04_Cognition_and_Emotion/Cognitive_Task_Recognition/Simultaneous_EEG-fMRI_Perceptual_Confidence_ds002739</x:v>
      </x:c>
      <x:c r="R301" s="257" t="str">
        <x:v>OpenNeuro 稳定访问号存在；需核验 ds001512 到 ds002739 的迁移关系和当前 snapshot</x:v>
      </x:c>
      <x:c r="S301" s="257" t="str">
        <x:v>2</x:v>
      </x:c>
      <x:c r="T301" s="257" t="str">
        <x:v>~1588/run</x:v>
      </x:c>
      <x:c r="U301" s="213" t="str">
        <x:v>2 runs/subject (48 total)</x:v>
      </x:c>
    </x:row>
    <x:row r="302" ht="60" customHeight="1">
      <x:c r="A302" s="274" t="str">
        <x:v>EEG-0575</x:v>
      </x:c>
      <x:c r="B302" s="275" t="str">
        <x:v>05_Naturalistic_Stimulus_Decoding</x:v>
      </x:c>
      <x:c r="C302" s="275" t="str">
        <x:v>Imagined_Speech</x:v>
      </x:c>
      <x:c r="D302" s="275" t="str">
        <x:v>Simultaneous EEG-fMRI Inner Speech Dataset</x:v>
      </x:c>
      <x:c r="E302" s="275" t="str">
        <x:v>OpenNeuro ds006033</x:v>
      </x:c>
      <x:c r="F302" s="275" t="str">
        <x:v>OpenNeuro:ds006033</x:v>
      </x:c>
      <x:c r="G302" s="275" t="str">
        <x:v>DOWNLOAD_PUBLIC</x:v>
      </x:c>
      <x:c r="H302" s="275" t="str">
        <x:v>[OpenNeuro ds006033](https://openneuro.org/datasets/ds006033)</x:v>
      </x:c>
      <x:c r="I302" s="275" t="str">
        <x:v>Inner/covert speech across two sessions; simultaneous EEG-fMRI</x:v>
      </x:c>
      <x:c r="J302" s="275" t="str">
        <x:v>3</x:v>
      </x:c>
      <x:c r="K302" s="275" t="str">
        <x:v>64 EEG + 1 ECG + 1 miscellaneous</x:v>
      </x:c>
      <x:c r="L302" s="275" t="str">
        <x:v>5000 Hz</x:v>
      </x:c>
      <x:c r="M302" s="275" t="str">
        <x:v>BIDS / EEG / MRI</x:v>
      </x:c>
      <x:c r="N302" s="275" t="str">
        <x:v>Raw BIDS</x:v>
      </x:c>
      <x:c r="O302" s="275" t="str">
        <x:v>Public OpenNeuro dataset; OpenNeuro data-use terms apply.</x:v>
      </x:c>
      <x:c r="P302" s="275" t="str">
        <x:v>Simistira Liwicki et al. — OpenNeuro ds006033</x:v>
      </x:c>
      <x:c r="Q302" s="275" t="str">
        <x:v>05_Naturalistic_Stimulus_Decoding/Imagined_Speech/Simultaneous_EEG-fMRI_Inner_Speech_ds006033</x:v>
      </x:c>
      <x:c r="R302" s="275" t="str">
        <x:v>OpenNeuro 稳定访问号存在；需在下载前核验当前 snapshot 与文件规模</x:v>
      </x:c>
      <x:c r="S302" s="275" t="str">
        <x:v>2</x:v>
      </x:c>
      <x:c r="T302" s="275" t="str">
        <x:v>1368.57/session</x:v>
      </x:c>
      <x:c r="U302" s="276" t="str">
        <x:v>6 BOLD runs (2/subject)</x:v>
      </x:c>
    </x:row>
    <x:row r="303" ht="60" customHeight="1">
      <x:c r="A303" s="264" t="str">
        <x:v>EEG-0576</x:v>
      </x:c>
      <x:c r="B303" s="257" t="str">
        <x:v>04_Cognition_and_Emotion</x:v>
      </x:c>
      <x:c r="C303" s="257" t="str">
        <x:v>Vigilance_Detection</x:v>
      </x:c>
      <x:c r="D303" s="257" t="str">
        <x:v>Simultaneous EEG-fMRI Sustained Attention gradCPT with DWI</x:v>
      </x:c>
      <x:c r="E303" s="257" t="str">
        <x:v>OpenNeuro ds006040; Kucyi lab gradCPT</x:v>
      </x:c>
      <x:c r="F303" s="257" t="str">
        <x:v>OpenNeuro:ds006040</x:v>
      </x:c>
      <x:c r="G303" s="257" t="str">
        <x:v>DOWNLOAD_PUBLIC</x:v>
      </x:c>
      <x:c r="H303" s="257" t="str">
        <x:v>[OpenNeuro ds006040](https://openneuro.org/datasets/ds006040)</x:v>
      </x:c>
      <x:c r="I303" s="257" t="str">
        <x:v>Rest eyes-open/closed, 15 Hz checkerboard, gradCPT, mental imagery and concurrent DWI; simultaneous EEG-fMRI</x:v>
      </x:c>
      <x:c r="J303" s="257" t="str">
        <x:v>28</x:v>
      </x:c>
      <x:c r="K303" s="257" t="str">
        <x:v>64 (63 EEG + 1 ECG)</x:v>
      </x:c>
      <x:c r="L303" s="257" t="str">
        <x:v>5000 Hz</x:v>
      </x:c>
      <x:c r="M303" s="257" t="str">
        <x:v>BIDS / EEG / MRI / DWI</x:v>
      </x:c>
      <x:c r="N303" s="257" t="str">
        <x:v>Raw BIDS</x:v>
      </x:c>
      <x:c r="O303" s="257" t="str">
        <x:v>Public OpenNeuro dataset; OpenNeuro data-use terms apply.</x:v>
      </x:c>
      <x:c r="P303" s="257" t="str">
        <x:v>Kucyi laboratory — OpenNeuro ds006040</x:v>
      </x:c>
      <x:c r="Q303" s="257" t="str">
        <x:v>04_Cognition_and_Emotion/Vigilance_Detection/Simultaneous_EEG-fMRI_gradCPT_DWI_ds006040</x:v>
      </x:c>
      <x:c r="R303" s="257" t="str">
        <x:v>OpenNeuro 稳定访问号存在；需在下载前核验当前 snapshot 与文件规模</x:v>
      </x:c>
      <x:c r="S303" s="257" t="str">
        <x:v>2</x:v>
      </x:c>
      <x:c r="T303" s="257" t="str">
        <x:v>~380/run</x:v>
      </x:c>
      <x:c r="U303" s="213" t="str">
        <x:v>10 BOLD runs/subject plus DWI</x:v>
      </x:c>
    </x:row>
    <x:row r="304" ht="60" customHeight="1">
      <x:c r="A304" s="274" t="str">
        <x:v>EEG-0577</x:v>
      </x:c>
      <x:c r="B304" s="275" t="str">
        <x:v>03_Consciousness_and_State</x:v>
      </x:c>
      <x:c r="C304" s="275" t="str">
        <x:v>Resting_State</x:v>
      </x:c>
      <x:c r="D304" s="275" t="str">
        <x:v>NODDI Simultaneous EEG-fMRI Resting-State Dataset</x:v>
      </x:c>
      <x:c r="E304" s="275" t="str">
        <x:v>Deligianni NODDI resting; OSF 94c5t</x:v>
      </x:c>
      <x:c r="F304" s="275" t="str">
        <x:v>OSF:94c5t | DOI:10.17605/OSF.IO/94C5T</x:v>
      </x:c>
      <x:c r="G304" s="275" t="str">
        <x:v>DOWNLOAD_PUBLIC</x:v>
      </x:c>
      <x:c r="H304" s="275" t="str">
        <x:v>[OSF 94c5t](https://osf.io/94c5t/)</x:v>
      </x:c>
      <x:c r="I304" s="275" t="str">
        <x:v>Resting-state eyes-open fixation; simultaneous EEG-fMRI with NODDI/diffusion imaging</x:v>
      </x:c>
      <x:c r="J304" s="275" t="str">
        <x:v>17</x:v>
      </x:c>
      <x:c r="K304" s="275" t="str">
        <x:v>64 EEG</x:v>
      </x:c>
      <x:c r="L304" s="275" t="str">
        <x:v>1000 Hz native; ~250 Hz in some distributed copies</x:v>
      </x:c>
      <x:c r="M304" s="275" t="str">
        <x:v>OSF files / EEG / MRI</x:v>
      </x:c>
      <x:c r="N304" s="275" t="str">
        <x:v>Mixed raw and distributed processed copies; verify file-level provenance</x:v>
      </x:c>
      <x:c r="O304" s="275" t="str">
        <x:v>OSF project appears public; exact component licenses and file sizes require API verification.</x:v>
      </x:c>
      <x:c r="P304" s="275" t="str">
        <x:v>Deligianni et al. — Frontiers in Neuroscience 2014</x:v>
      </x:c>
      <x:c r="Q304" s="275" t="str">
        <x:v>03_Consciousness_and_State/Resting_State/NODDI_Simultaneous_EEG-fMRI_Resting_OSF_94c5t</x:v>
      </x:c>
      <x:c r="R304" s="275" t="str">
        <x:v>OSF 稳定项目号存在；文件级身份、许可和完整性仍需人工复核</x:v>
      </x:c>
      <x:c r="S304" s="275" t="str">
        <x:v>2.16</x:v>
      </x:c>
      <x:c r="T304" s="275" t="str">
        <x:v>~648</x:v>
      </x:c>
      <x:c r="U304" s="276" t="str">
        <x:v>1 rest run/subject</x:v>
      </x:c>
    </x:row>
    <x:row r="305" ht="60" customHeight="1">
      <x:c r="A305" s="264" t="str">
        <x:v>EEG-0578</x:v>
      </x:c>
      <x:c r="B305" s="257" t="str">
        <x:v>03_Consciousness_and_State</x:v>
      </x:c>
      <x:c r="C305" s="257" t="str">
        <x:v>Resting_State</x:v>
      </x:c>
      <x:c r="D305" s="257" t="str">
        <x:v>CWL Eyes-Open Eyes-Closed Simultaneous EEG-fMRI Dataset</x:v>
      </x:c>
      <x:c r="E305" s="257" t="str">
        <x:v>Debener CWL EEG fMRI; NITRC cwleegfmri_data</x:v>
      </x:c>
      <x:c r="F305" s="257" t="str">
        <x:v>NITRC:cwleegfmri_data</x:v>
      </x:c>
      <x:c r="G305" s="257" t="str">
        <x:v>DOWNLOAD_PUBLIC</x:v>
      </x:c>
      <x:c r="H305" s="257" t="str">
        <x:v>[NITRC CWL EEG-fMRI](https://www.nitrc.org/projects/cwleegfmri_data/)</x:v>
      </x:c>
      <x:c r="I305" s="257" t="str">
        <x:v>Eyes-open/eyes-closed rest with helium pump on/off, in-scanner and outside-scanner EEG, and carbon wire loop artifact channels</x:v>
      </x:c>
      <x:c r="J305" s="257" t="str">
        <x:v>8</x:v>
      </x:c>
      <x:c r="K305" s="257" t="str">
        <x:v>38 (30 EEG + 1 EOG + 1 ECG + 6 CWL)</x:v>
      </x:c>
      <x:c r="L305" s="257" t="str">
        <x:v>5000 Hz</x:v>
      </x:c>
      <x:c r="M305" s="257" t="str">
        <x:v>NITRC subject archives / EEG / MRI</x:v>
      </x:c>
      <x:c r="N305" s="257" t="str">
        <x:v>Raw recordings and artifact-correction resources</x:v>
      </x:c>
      <x:c r="O305" s="257" t="str">
        <x:v>Public NITRC project; eight subject file groups; project lists MIT license.</x:v>
      </x:c>
      <x:c r="P305" s="257" t="str">
        <x:v>van der Meer et al. — Data in Brief 2016</x:v>
      </x:c>
      <x:c r="Q305" s="257" t="str">
        <x:v>03_Consciousness_and_State/Resting_State/CWL_Eyes-Open_Closed_Simultaneous_EEG-fMRI</x:v>
      </x:c>
      <x:c r="R305" s="257" t="str">
        <x:v>NITRC 官方页面、8 名受试者、30 EEG+辅助通道及公开文件列表已核验</x:v>
      </x:c>
      <x:c r="S305" s="257" t="str">
        <x:v>1.95 / 2.0</x:v>
      </x:c>
      <x:c r="T305" s="257" t="str">
        <x:v>270/run</x:v>
      </x:c>
      <x:c r="U305" s="213" t="str">
        <x:v>2 in-scanner runs/subject plus outside-scanner EEG</x:v>
      </x:c>
    </x:row>
    <x:row r="306" ht="60" customHeight="1">
      <x:c r="A306" s="274" t="str">
        <x:v>EEG-0579</x:v>
      </x:c>
      <x:c r="B306" s="275" t="str">
        <x:v>03_Consciousness_and_State</x:v>
      </x:c>
      <x:c r="C306" s="275" t="str">
        <x:v>Resting_State</x:v>
      </x:c>
      <x:c r="D306" s="275" t="str">
        <x:v>Berlin Charite 50-Subject Simultaneous EEG-fMRI Connectome Dataset</x:v>
      </x:c>
      <x:c r="E306" s="275" t="str">
        <x:v>TVB simultaneous EEG-fMRI 50 healthy subjects</x:v>
      </x:c>
      <x:c r="F306" s="275" t="str">
        <x:v>DOI:10.1101/2024.04.17.589718</x:v>
      </x:c>
      <x:c r="G306" s="275" t="str">
        <x:v>DOWNLOAD_APPLICATION_REQUIRED</x:v>
      </x:c>
      <x:c r="H306" s="275" t="str">
        <x:v>[EBRAINS access instructions](https://wiki.ebrains.eu/bin/view/Collabs/simultaneous-eeg-fmri/) (paper: https://doi.org/10.1101/2024.04.17.589718)</x:v>
      </x:c>
      <x:c r="I306" s="275" t="str">
        <x:v>Resting-state eyes-closed simultaneous EEG-fMRI with structural MRI, diffusion MRI, connectomes and TVB simulations</x:v>
      </x:c>
      <x:c r="J306" s="275" t="str">
        <x:v>50 (49 processed)</x:v>
      </x:c>
      <x:c r="K306" s="275" t="str">
        <x:v>64 (61 scalp + 2 ECG + 1 EOG)</x:v>
      </x:c>
      <x:c r="L306" s="275" t="str">
        <x:v>5000 Hz</x:v>
      </x:c>
      <x:c r="M306" s="275" t="str">
        <x:v>BIDS / EEG / MRI / DWI / TVB derivatives</x:v>
      </x:c>
      <x:c r="N306" s="275" t="str">
        <x:v>Raw and processed multimodal data plus simulations</x:v>
      </x:c>
      <x:c r="O306" s="275" t="str">
        <x:v>Controlled access through EBRAINS/Charite VRE; login and a signed data processing agreement are required; CC BY-NC 4.0 documentation.</x:v>
      </x:c>
      <x:c r="P306" s="275" t="str">
        <x:v>Meier, Triebkorn, Schirner, Ritter — 2024</x:v>
      </x:c>
      <x:c r="Q306" s="275" t="str">
        <x:v>03_Consciousness_and_State/Resting_State/Berlin_Charite_50-Subject_EEG-fMRI_Connectome</x:v>
      </x:c>
      <x:c r="R306" s="275" t="str">
        <x:v>数据存在但不是直接公开下载；需 EBRAINS 账号、DPA 和 Charite VRE 权限</x:v>
      </x:c>
      <x:c r="S306" s="275" t="str">
        <x:v>1.94</x:v>
      </x:c>
      <x:c r="T306" s="275" t="str">
        <x:v>~1292</x:v>
      </x:c>
      <x:c r="U306" s="276" t="str">
        <x:v>1 rest run/subject</x:v>
      </x:c>
    </x:row>
    <x:row r="307" ht="60" customHeight="1">
      <x:c r="A307" s="264" t="str">
        <x:v>EEG-0580</x:v>
      </x:c>
      <x:c r="B307" s="257" t="str">
        <x:v>03_Consciousness_and_State</x:v>
      </x:c>
      <x:c r="C307" s="257" t="str">
        <x:v>Resting_State</x:v>
      </x:c>
      <x:c r="D307" s="257" t="str">
        <x:v>UNAM Simultaneous and Independent EEG-fMRI Dataset</x:v>
      </x:c>
      <x:c r="E307" s="257" t="str">
        <x:v>Mendeley crhybxpdy6</x:v>
      </x:c>
      <x:c r="F307" s="257" t="str">
        <x:v>Mendeley:crhybxpdy6 | DOI:10.17632/crhybxpdy6.2</x:v>
      </x:c>
      <x:c r="G307" s="257" t="str">
        <x:v>DOWNLOAD_PUBLIC</x:v>
      </x:c>
      <x:c r="H307" s="257" t="str">
        <x:v>[Mendeley Data crhybxpdy6 v2](https://data.mendeley.com/datasets/crhybxpdy6/2)</x:v>
      </x:c>
      <x:c r="I307" s="257" t="str">
        <x:v>Eyes-closed/open rest and eyes-opening/closure block task acquired outside scanner, inside scanner, and simultaneously with fMRI</x:v>
      </x:c>
      <x:c r="J307" s="257" t="str">
        <x:v>20</x:v>
      </x:c>
      <x:c r="K307" s="257" t="str">
        <x:v>32 (EGI Geodesic)</x:v>
      </x:c>
      <x:c r="L307" s="257" t="str">
        <x:v>1000 Hz</x:v>
      </x:c>
      <x:c r="M307" s="257" t="str">
        <x:v>BIDS / EEG / MRI</x:v>
      </x:c>
      <x:c r="N307" s="257" t="str">
        <x:v>Raw BIDS plus gradient-artifact-corrected EEG derivatives</x:v>
      </x:c>
      <x:c r="O307" s="257" t="str">
        <x:v>Public Mendeley Data dataset, version 2, CC BY 4.0.</x:v>
      </x:c>
      <x:c r="P307" s="257" t="str">
        <x:v>Gallego-Rudolf, Corsi Cabrera, Concha, Ricardo Garcell, Pasaye Alcaraz — Data in Brief 2023</x:v>
      </x:c>
      <x:c r="Q307" s="257" t="str">
        <x:v>03_Consciousness_and_State/Resting_State/UNAM_Simultaneous_Independent_EEG-fMRI</x:v>
      </x:c>
      <x:c r="R307" s="257" t="str">
        <x:v>Mendeley DOI、20 名受试者、BIDS 结构和 CC BY 4.0 已核验</x:v>
      </x:c>
      <x:c r="S307" s="257" t="str">
        <x:v>2</x:v>
      </x:c>
      <x:c r="T307" s="257" t="str">
        <x:v>~840 simultaneous</x:v>
      </x:c>
      <x:c r="U307" s="213" t="str">
        <x:v>simultaneous and independent conditions</x:v>
      </x:c>
    </x:row>
    <x:row r="308" ht="60" customHeight="1">
      <x:c r="A308" s="274" t="str">
        <x:v>EEG-0581</x:v>
      </x:c>
      <x:c r="B308" s="275" t="str">
        <x:v>03_Consciousness_and_State</x:v>
      </x:c>
      <x:c r="C308" s="275" t="str">
        <x:v>Resting_State</x:v>
      </x:c>
      <x:c r="D308" s="275" t="str">
        <x:v>NeuroBOLT Vanderbilt Resting-State EEG-fMRI Dataset</x:v>
      </x:c>
      <x:c r="E308" s="275" t="str">
        <x:v>NeuroBOLT</x:v>
      </x:c>
      <x:c r="F308" s="275" t="str">
        <x:v>arXiv:2410.05341</x:v>
      </x:c>
      <x:c r="G308" s="275" t="str">
        <x:v>DOWNLOAD_APPLICATION_REQUIRED</x:v>
      </x:c>
      <x:c r="H308" s="275" t="str">
        <x:v>[NeuroBOLT paper](https://arxiv.org/abs/2410.05341)</x:v>
      </x:c>
      <x:c r="I308" s="275" t="str">
        <x:v>Resting-state eyes-closed simultaneous EEG-fMRI for EEG-to-fMRI synthesis</x:v>
      </x:c>
      <x:c r="J308" s="275" t="str">
        <x:v>22</x:v>
      </x:c>
      <x:c r="K308" s="275" t="str">
        <x:v>26 EEG used (32-channel acquisition)</x:v>
      </x:c>
      <x:c r="L308" s="275" t="str">
        <x:v>5000 Hz</x:v>
      </x:c>
      <x:c r="M308" s="275" t="str">
        <x:v>Not publicly released</x:v>
      </x:c>
      <x:c r="N308" s="275" t="str">
        <x:v>Unavailable/non-public</x:v>
      </x:c>
      <x:c r="O308" s="275" t="str">
        <x:v>No public dataset repository or download link was verified; contact the authors/data owners.</x:v>
      </x:c>
      <x:c r="P308" s="275" t="str">
        <x:v>Li et al. — NeuroBOLT, NeurIPS 2024 / arXiv 2410.05341</x:v>
      </x:c>
      <x:c r="Q308" s="275" t="str">
        <x:v>03_Consciousness_and_State/Resting_State/NeuroBOLT_Vanderbilt_EEG-fMRI</x:v>
      </x:c>
      <x:c r="R308" s="275" t="str">
        <x:v>仅核验到论文，未核验到公开数据入口；需联系作者，不可自动下载</x:v>
      </x:c>
      <x:c r="S308" s="275" t="str">
        <x:v>2.1</x:v>
      </x:c>
      <x:c r="T308" s="275" t="str">
        <x:v>~1200/scan</x:v>
      </x:c>
      <x:c r="U308" s="276" t="str">
        <x:v>29 scans</x:v>
      </x:c>
    </x:row>
    <x:row r="309" ht="60" customHeight="1">
      <x:c r="A309" s="264" t="str">
        <x:v>EEG-0582</x:v>
      </x:c>
      <x:c r="B309" s="257" t="str">
        <x:v>02_Healthcare_and_Disease</x:v>
      </x:c>
      <x:c r="C309" s="257" t="str">
        <x:v>Clinical_Abnormalities</x:v>
      </x:c>
      <x:c r="D309" s="257" t="str">
        <x:v>TUEG (TUH EEG Corpus)</x:v>
      </x:c>
      <x:c r="E309" s="257" t="str">
        <x:v>TUH EEG Corpus; Temple University Hospital EEG Corpus</x:v>
      </x:c>
      <x:c r="F309" s="257" t="str">
        <x:v>TUH:TUEG:v2.0.2</x:v>
      </x:c>
      <x:c r="G309" s="257" t="str">
        <x:v>DOWNLOAD_APPLICATION_REQUIRED</x:v>
      </x:c>
      <x:c r="H309" s="257" t="str">
        <x:v>https://isip.piconepress.com/projects/nedc/html/tuh_eeg/</x:v>
      </x:c>
      <x:c r="I309" s="257" t="str">
        <x:v>General clinical EEG corpus; large-scale pretraining; retrospective clinical EEG analysis</x:v>
      </x:c>
      <x:c r="J309" s="257" t="str">
        <x:v>14,987 patients; 26,846 recordings; 69,672 EDF files (v2.0.1 audited statistics)</x:v>
      </x:c>
      <x:c r="K309" s="257" t="str">
        <x:v>&gt;40 channel configurations; 95% include a 10/20 subset</x:v>
      </x:c>
      <x:c r="L309" s="257" t="str">
        <x:v>250-1024 Hz</x:v>
      </x:c>
      <x:c r="M309" s="257" t="str">
        <x:v>EDF</x:v>
      </x:c>
      <x:c r="N309" s="257" t="str">
        <x:v>Raw</x:v>
      </x:c>
      <x:c r="O309" s="257" t="str">
        <x:v>TUH/NEDC registration, data-use agreement and SSH key required; do not redistribute</x:v>
      </x:c>
      <x:c r="P309" s="257" t="str">
        <x:v>Obeid and Picone (2016), Frontiers in Neuroscience; TUH/NEDC corpus documentation</x:v>
      </x:c>
      <x:c r="Q309" s="257" t="str">
        <x:v>02_Biometrics_and_Disease/Clinical_Abnormalities/TUEG_TUH_EEG_Corpus</x:v>
      </x:c>
      <x:c r="R309" s="257" t="str">
        <x:v>Restored as an independent download unit. Current official release: v2.0.2. User-provided v2.0.1 audit: 97,478,219 s = 27,077.3 h; EDF directory about 1,643 GB (du -sBG: 1,646G). All TUH subsets overlap TUEG and must not be added to its totals.</x:v>
      </x:c>
      <x:c r="S309" s="257"/>
      <x:c r="T309" s="257"/>
      <x:c r="U309" s="213"/>
    </x:row>
    <x:row r="310" ht="60" customHeight="1">
      <x:c r="A310" s="277" t="str">
        <x:v>EEG-0587</x:v>
      </x:c>
      <x:c r="B310" s="278" t="str">
        <x:v>08_Health_and_Population</x:v>
      </x:c>
      <x:c r="C310" s="278" t="str">
        <x:v>Population_Sleep_Health</x:v>
      </x:c>
      <x:c r="D310" s="278" t="str">
        <x:v>HCHS/SOL Polysomnography</x:v>
      </x:c>
      <x:c r="E310" s="278" t="str">
        <x:v>Hispanic Community Health Study / Study of Latinos PSG</x:v>
      </x:c>
      <x:c r="F310" s="278" t="str">
        <x:v>NSRR:hchs | DOI:10.25822/bmb1-c442</x:v>
      </x:c>
      <x:c r="G310" s="278" t="str">
        <x:v>DOWNLOAD_APPLICATION_REQUIRED</x:v>
      </x:c>
      <x:c r="H310" s="278" t="str">
        <x:v>https://sleepdata.org/datasets/hchs</x:v>
      </x:c>
      <x:c r="I310" s="278" t="str">
        <x:v>Hispanic/Latino population sleep and cardiometabolic epidemiology</x:v>
      </x:c>
      <x:c r="J310" s="278" t="str">
        <x:v>12,088 个有原始 PSG/EEG 的参与者（父队列约 16,000）</x:v>
      </x:c>
      <x:c r="K310" s="278" t="str">
        <x:v>ARES PSG montage（含 EEG）</x:v>
      </x:c>
      <x:c r="L310" s="278" t="str">
        <x:v>见 NSRR official montage</x:v>
      </x:c>
      <x:c r="M310" s="278" t="str">
        <x:v>EDF + XML</x:v>
      </x:c>
      <x:c r="N310" s="278" t="str">
        <x:v>Raw PSG + expert annotations</x:v>
      </x:c>
      <x:c r="O310" s="278" t="str">
        <x:v>NSRR 账户、数据使用协议与项目审批</x:v>
      </x:c>
      <x:c r="P310" s="278" t="str">
        <x:v>HCHS/SOL; NSRR</x:v>
      </x:c>
      <x:c r="Q310" s="278" t="str">
        <x:v>08_Health_and_Population/Population_Sleep_Health/HCHS_SOL</x:v>
      </x:c>
      <x:c r="R310" s="278" t="str">
        <x:v>新增大型队列；按实际可用 raw PSG/EEG 12,088 人计，不用父队列人数替代</x:v>
      </x:c>
      <x:c r="S310" s="278"/>
      <x:c r="T310" s="278"/>
      <x:c r="U310" s="247" t="n">
        <x:v>12088</x:v>
      </x:c>
    </x:row>
    <x:row r="311" ht="60" customHeight="1">
      <x:c r="A311" s="277" t="str">
        <x:v>EEG-0588</x:v>
      </x:c>
      <x:c r="B311" s="278" t="str">
        <x:v>08_Health_and_Population</x:v>
      </x:c>
      <x:c r="C311" s="278" t="str">
        <x:v>Aging_and_Dementia_Risk</x:v>
      </x:c>
      <x:c r="D311" s="278" t="str">
        <x:v>HAASSA</x:v>
      </x:c>
      <x:c r="E311" s="278" t="str">
        <x:v>Honolulu-Asia Aging Study of Sleep Apnea</x:v>
      </x:c>
      <x:c r="F311" s="278" t="str">
        <x:v>NSRR:haassa | DOI:10.25822/s9wh-3k51</x:v>
      </x:c>
      <x:c r="G311" s="278" t="str">
        <x:v>DOWNLOAD_APPLICATION_REQUIRED</x:v>
      </x:c>
      <x:c r="H311" s="278" t="str">
        <x:v>https://sleepdata.org/datasets/haassa</x:v>
      </x:c>
      <x:c r="I311" s="278" t="str">
        <x:v>老年日本裔美国男性；睡眠呼吸障碍、认知与痴呆风险</x:v>
      </x:c>
      <x:c r="J311" s="278" t="str">
        <x:v>717 个有原始 PSG/EEG 的参与者</x:v>
      </x:c>
      <x:c r="K311" s="278" t="str">
        <x:v>2 EEG + PSG channels</x:v>
      </x:c>
      <x:c r="L311" s="278" t="str">
        <x:v>EEG 125 Hz</x:v>
      </x:c>
      <x:c r="M311" s="278" t="str">
        <x:v>EDF + XML</x:v>
      </x:c>
      <x:c r="N311" s="278" t="str">
        <x:v>Raw PSG + annotations</x:v>
      </x:c>
      <x:c r="O311" s="278" t="str">
        <x:v>特殊审批：先获 Kuakini Medical Center 数据方许可，再签 NSRR DUA</x:v>
      </x:c>
      <x:c r="P311" s="278" t="str">
        <x:v>HAASSA; NSRR</x:v>
      </x:c>
      <x:c r="Q311" s="278" t="str">
        <x:v>08_Health_and_Population/Aging_and_Dementia_Risk/HAASSA</x:v>
      </x:c>
      <x:c r="R311" s="278" t="str">
        <x:v>新增；717 为官方 raw PSG 文件口径</x:v>
      </x:c>
      <x:c r="S311" s="278"/>
      <x:c r="T311" s="278"/>
      <x:c r="U311" s="247" t="n">
        <x:v>717</x:v>
      </x:c>
    </x:row>
    <x:row r="312" ht="60" customHeight="1">
      <x:c r="A312" s="277" t="str">
        <x:v>EEG-0589</x:v>
      </x:c>
      <x:c r="B312" s="278" t="str">
        <x:v>08_Health_and_Population</x:v>
      </x:c>
      <x:c r="C312" s="278" t="str">
        <x:v>Sleep_Disordered_Breathing_Risk</x:v>
      </x:c>
      <x:c r="D312" s="278" t="str">
        <x:v>ApoE Sleep Disordered Breathing</x:v>
      </x:c>
      <x:c r="E312" s="278" t="str">
        <x:v>Sleep Disordered Breathing, ApoE and Lipid Metabolism</x:v>
      </x:c>
      <x:c r="F312" s="278" t="str">
        <x:v>NSRR:apoe</x:v>
      </x:c>
      <x:c r="G312" s="278" t="str">
        <x:v>DOWNLOAD_APPLICATION_REQUIRED</x:v>
      </x:c>
      <x:c r="H312" s="278" t="str">
        <x:v>https://sleepdata.org/datasets/apoe</x:v>
      </x:c>
      <x:c r="I312" s="278" t="str">
        <x:v>ApoE genotype, lipid metabolism and untreated suspected sleep-disordered breathing</x:v>
      </x:c>
      <x:c r="J312" s="278" t="str">
        <x:v>712 个有 EDF/EEG 的参与者</x:v>
      </x:c>
      <x:c r="K312" s="278" t="str">
        <x:v>PSG（含 EEG）</x:v>
      </x:c>
      <x:c r="L312" s="278" t="str">
        <x:v>EEG 256 Hz</x:v>
      </x:c>
      <x:c r="M312" s="278" t="str">
        <x:v>EDF + STA + CSV</x:v>
      </x:c>
      <x:c r="N312" s="278" t="str">
        <x:v>Raw PSG + manually scored stages</x:v>
      </x:c>
      <x:c r="O312" s="278" t="str">
        <x:v>NSRR data request / DUA</x:v>
      </x:c>
      <x:c r="P312" s="278" t="str">
        <x:v>ApoE sleep study; NSRR</x:v>
      </x:c>
      <x:c r="Q312" s="278" t="str">
        <x:v>08_Health_and_Population/Sleep_Disordered_Breathing_Risk/ApoE</x:v>
      </x:c>
      <x:c r="R312" s="278" t="str">
        <x:v>新增；712 为官方含 EEG 的 EDF 文件口径</x:v>
      </x:c>
      <x:c r="S312" s="278"/>
      <x:c r="T312" s="278"/>
      <x:c r="U312" s="247" t="n">
        <x:v>712</x:v>
      </x:c>
    </x:row>
    <x:row r="313" ht="60" customHeight="1">
      <x:c r="A313" s="277" t="str">
        <x:v>EEG-0590</x:v>
      </x:c>
      <x:c r="B313" s="278" t="str">
        <x:v>08_Health_and_Population</x:v>
      </x:c>
      <x:c r="C313" s="278" t="str">
        <x:v>Maternal_and_Pregnancy_Health</x:v>
      </x:c>
      <x:c r="D313" s="278" t="str">
        <x:v>nuMoM2b Sleep Breathing Substudy</x:v>
      </x:c>
      <x:c r="E313" s="278" t="str">
        <x:v>NUMOM2B PSG</x:v>
      </x:c>
      <x:c r="F313" s="278" t="str">
        <x:v>NSRR:numom2b | DOI:10.25822/37mc-6v21</x:v>
      </x:c>
      <x:c r="G313" s="278" t="str">
        <x:v>DOWNLOAD_APPLICATION_REQUIRED</x:v>
      </x:c>
      <x:c r="H313" s="278" t="str">
        <x:v>https://sleepdata.org/datasets/numom2b</x:v>
      </x:c>
      <x:c r="I313" s="278" t="str">
        <x:v>nulliparous pregnancy outcomes, sleep-disordered breathing and maternal health</x:v>
      </x:c>
      <x:c r="J313" s="278" t="str">
        <x:v>3,009 个 Visit 1 raw PSG/EEG；2,332 为同队列 Visit 3 随访，不重复相加</x:v>
      </x:c>
      <x:c r="K313" s="278" t="str">
        <x:v>PSG（含 EEG）</x:v>
      </x:c>
      <x:c r="L313" s="278" t="str">
        <x:v>见 NSRR official montage</x:v>
      </x:c>
      <x:c r="M313" s="278" t="str">
        <x:v>EDF + XML</x:v>
      </x:c>
      <x:c r="N313" s="278" t="str">
        <x:v>Raw PSG + annotations</x:v>
      </x:c>
      <x:c r="O313" s="278" t="str">
        <x:v>NSRR data request / DUA</x:v>
      </x:c>
      <x:c r="P313" s="278" t="str">
        <x:v>nuMoM2b Sleep Breathing Substudy; NSRR</x:v>
      </x:c>
      <x:c r="Q313" s="278" t="str">
        <x:v>08_Health_and_Population/Maternal_and_Pregnancy_Health/NUMOM2B</x:v>
      </x:c>
      <x:c r="R313" s="278" t="str">
        <x:v>新增；按 Visit 1 的 3,009 个实际 raw PSG 计唯一基线参与者</x:v>
      </x:c>
      <x:c r="S313" s="278"/>
      <x:c r="T313" s="278"/>
      <x:c r="U313" s="247" t="n">
        <x:v>5341</x:v>
      </x:c>
    </x:row>
    <x:row r="314" ht="60" customHeight="1">
      <x:c r="A314" s="277" t="str">
        <x:v>EEG-0591</x:v>
      </x:c>
      <x:c r="B314" s="278" t="str">
        <x:v>02_Healthcare_and_Disease</x:v>
      </x:c>
      <x:c r="C314" s="278" t="str">
        <x:v>Sleep_and_Narcolepsy</x:v>
      </x:c>
      <x:c r="D314" s="278" t="str">
        <x:v>Mignot Nature Communications (MNC)</x:v>
      </x:c>
      <x:c r="E314" s="278" t="str">
        <x:v>MNC sleep staging / narcolepsy dataset</x:v>
      </x:c>
      <x:c r="F314" s="278" t="str">
        <x:v>NSRR:mnc</x:v>
      </x:c>
      <x:c r="G314" s="278" t="str">
        <x:v>DOWNLOAD_APPLICATION_REQUIRED</x:v>
      </x:c>
      <x:c r="H314" s="278" t="str">
        <x:v>https://sleepdata.org/datasets/mnc</x:v>
      </x:c>
      <x:c r="I314" s="278" t="str">
        <x:v>normal and abnormal sleep staging; type-1 narcolepsy marker</x:v>
      </x:c>
      <x:c r="J314" s="278" t="str">
        <x:v>约 3,000（NSRR 列表口径；多队列正常/异常睡眠记录）</x:v>
      </x:c>
      <x:c r="K314" s="278" t="str">
        <x:v>PSG（cohort-dependent）</x:v>
      </x:c>
      <x:c r="L314" s="278" t="str">
        <x:v>cohort-dependent</x:v>
      </x:c>
      <x:c r="M314" s="278" t="str">
        <x:v>Harmonized EDF + annotations</x:v>
      </x:c>
      <x:c r="N314" s="278" t="str">
        <x:v>Raw harmonized PSG + staging</x:v>
      </x:c>
      <x:c r="O314" s="278" t="str">
        <x:v>NSRR data request / DUA</x:v>
      </x:c>
      <x:c r="P314" s="278" t="str">
        <x:v>Stephansen et al. (2018), Nature Communications; NSRR</x:v>
      </x:c>
      <x:c r="Q314" s="278" t="str">
        <x:v>02_Healthcare_and_Disease/Sleep_and_Narcolepsy/MNC</x:v>
      </x:c>
      <x:c r="R314" s="278" t="str">
        <x:v>新增大型临床睡眠汇编；3,000 为官方列表近似数，非全局唯一精确值</x:v>
      </x:c>
      <x:c r="S314" s="278"/>
      <x:c r="T314" s="278"/>
      <x:c r="U314" s="247" t="n">
        <x:v>3000</x:v>
      </x:c>
    </x:row>
    <x:row r="315" ht="60" customHeight="1">
      <x:c r="A315" s="277" t="str">
        <x:v>EEG-0592</x:v>
      </x:c>
      <x:c r="B315" s="278" t="str">
        <x:v>02_Healthcare_and_Disease</x:v>
      </x:c>
      <x:c r="C315" s="278" t="str">
        <x:v>Clinical_Sleep_Disorders</x:v>
      </x:c>
      <x:c r="D315" s="278" t="str">
        <x:v>Comprehensive Polysomnography (CPS)</x:v>
      </x:c>
      <x:c r="E315" s="278" t="str">
        <x:v>CPS sleep arousal dataset</x:v>
      </x:c>
      <x:c r="F315" s="278" t="str">
        <x:v>PhysioNet:cps-dataset-sleep:v1.0.0 | DOI:10.13026/sxs0-h317</x:v>
      </x:c>
      <x:c r="G315" s="278" t="str">
        <x:v>DOWNLOAD_APPLICATION_REQUIRED</x:v>
      </x:c>
      <x:c r="H315" s="278" t="str">
        <x:v>https://physionet.org/content/cps-dataset-sleep/1.0.0/</x:v>
      </x:c>
      <x:c r="I315" s="278" t="str">
        <x:v>clinical sleep arousal, apnea/hypopnea and diagnostic decision support</x:v>
      </x:c>
      <x:c r="J315" s="278" t="str">
        <x:v>113 diagnostic PSG recordings / subjects</x:v>
      </x:c>
      <x:c r="K315" s="278" t="str">
        <x:v>up to 36 raw channels；含 10 个 EEG derivations/electrodes</x:v>
      </x:c>
      <x:c r="L315" s="278" t="str">
        <x:v>EEG original 128 Hz; distributed WFDB 256 Hz</x:v>
      </x:c>
      <x:c r="M315" s="278" t="str">
        <x:v>WFDB + TXT + YAML</x:v>
      </x:c>
      <x:c r="N315" s="278" t="str">
        <x:v>Raw multichannel PSG + derived signals + annotations</x:v>
      </x:c>
      <x:c r="O315" s="278" t="str">
        <x:v>PhysioNet credentialed access、CITI training、DUA</x:v>
      </x:c>
      <x:c r="P315" s="278" t="str">
        <x:v>Kraft et al. (2024), PhysioNet</x:v>
      </x:c>
      <x:c r="Q315" s="278" t="str">
        <x:v>02_Healthcare_and_Disease/Clinical_Sleep_Disorders/CPS</x:v>
      </x:c>
      <x:c r="R315" s="278" t="str">
        <x:v>新增；官方页面确认原始 EEG 通道与 113 份临床 PSG</x:v>
      </x:c>
      <x:c r="S315" s="278"/>
      <x:c r="T315" s="278"/>
      <x:c r="U315" s="247" t="n">
        <x:v>113</x:v>
      </x:c>
    </x:row>
    <x:row r="316" ht="60" customHeight="1">
      <x:c r="A316" s="277" t="str">
        <x:v>EEG-0593</x:v>
      </x:c>
      <x:c r="B316" s="278" t="str">
        <x:v>02_Healthcare_and_Disease</x:v>
      </x:c>
      <x:c r="C316" s="278" t="str">
        <x:v>Cardiovascular_and_Sleep_Disorders</x:v>
      </x:c>
      <x:c r="D316" s="278" t="str">
        <x:v>LOFT-HF</x:v>
      </x:c>
      <x:c r="E316" s="278" t="str">
        <x:v>Low Flow Nocturnal Oxygen Therapy in Heart Failure</x:v>
      </x:c>
      <x:c r="F316" s="278" t="str">
        <x:v>NSRR:lofthf</x:v>
      </x:c>
      <x:c r="G316" s="278" t="str">
        <x:v>DOWNLOAD_APPLICATION_REQUIRED</x:v>
      </x:c>
      <x:c r="H316" s="278" t="str">
        <x:v>https://sleepdata.org/datasets/lofthf</x:v>
      </x:c>
      <x:c r="I316" s="278" t="str">
        <x:v>heart failure with reduced ejection fraction and central sleep apnea clinical trial</x:v>
      </x:c>
      <x:c r="J316" s="278" t="str">
        <x:v>161 名有 baseline raw PSG；31 名另有 follow-up；不把随访重复相加</x:v>
      </x:c>
      <x:c r="K316" s="278" t="str">
        <x:v>Type-2 PSG with frontal EEG</x:v>
      </x:c>
      <x:c r="L316" s="278" t="str">
        <x:v>见 NSRR files/montage</x:v>
      </x:c>
      <x:c r="M316" s="278" t="str">
        <x:v>EDF + annotations</x:v>
      </x:c>
      <x:c r="N316" s="278" t="str">
        <x:v>Raw PSG + expert annotations</x:v>
      </x:c>
      <x:c r="O316" s="278" t="str">
        <x:v>NSRR data request / DUA</x:v>
      </x:c>
      <x:c r="P316" s="278" t="str">
        <x:v>LOFT-HF Trial; NSRR</x:v>
      </x:c>
      <x:c r="Q316" s="278" t="str">
        <x:v>02_Healthcare_and_Disease/Cardiovascular_and_Sleep_Disorders/LOFT_HF</x:v>
      </x:c>
      <x:c r="R316" s="278" t="str">
        <x:v>新增；受试者按 161 名 baseline raw PSG 计，31 follow-up 不重复算人</x:v>
      </x:c>
      <x:c r="S316" s="278"/>
      <x:c r="T316" s="278"/>
      <x:c r="U316" s="247" t="n">
        <x:v>192</x:v>
      </x:c>
    </x:row>
    <x:row r="317" ht="60" customHeight="1">
      <x:c r="A317" s="277" t="str">
        <x:v>EEG-0599</x:v>
      </x:c>
      <x:c r="B317" s="278" t="str">
        <x:v>08_Health_and_Population</x:v>
      </x:c>
      <x:c r="C317" s="278" t="str">
        <x:v>Developmental_Clinical_Cohort</x:v>
      </x:c>
      <x:c r="D317" s="278" t="str">
        <x:v>HBN-EEG Release 7</x:v>
      </x:c>
      <x:c r="E317" s="278" t="str">
        <x:v>Healthy Brain Network EEG; ds005511</x:v>
      </x:c>
      <x:c r="F317" s="278" t="str">
        <x:v>OpenNeuro:ds005511 | DOI:10.18112/openneuro.ds005511.v1.0.1</x:v>
      </x:c>
      <x:c r="G317" s="278" t="str">
        <x:v>DOWNLOAD_PUBLIC</x:v>
      </x:c>
      <x:c r="H317" s="278" t="str">
        <x:v>https://openneuro.org/datasets/ds005511</x:v>
      </x:c>
      <x:c r="I317" s="278" t="str">
        <x:v>Multi-task developmental EEG (rest, visual/cognitive tasks and behavioral phenotyping; release-dependent)</x:v>
      </x:c>
      <x:c r="J317" s="278" t="str">
        <x:v>381</x:v>
      </x:c>
      <x:c r="K317" s="278" t="str">
        <x:v>129</x:v>
      </x:c>
      <x:c r="L317" s="278" t="str">
        <x:v>500 Hz</x:v>
      </x:c>
      <x:c r="M317" s="278" t="str">
        <x:v>BIDS EEG / EEGLAB SET</x:v>
      </x:c>
      <x:c r="N317" s="278" t="str">
        <x:v>BIDS-organized EEG release</x:v>
      </x:c>
      <x:c r="O317" s="278" t="str">
        <x:v>CC BY-SA 4.0</x:v>
      </x:c>
      <x:c r="P317" s="278" t="str">
        <x:v>Shirazi et al., HBN-EEG; REVE Appendix B</x:v>
      </x:c>
      <x:c r="Q317" s="278" t="str">
        <x:v>08_Health_and_Population/Developmental_Clinical_Cohort/HBN_EEG_R7_ds005511</x:v>
      </x:c>
      <x:c r="R317" s="278" t="str">
        <x:v>381 subjects、3,100 recordings；官方 release 可核验，但未把未公开的总时长估算成精确值。</x:v>
      </x:c>
      <x:c r="S317" s="278"/>
      <x:c r="T317" s="278"/>
      <x:c r="U317" s="247" t="n">
        <x:v>3100</x:v>
      </x:c>
    </x:row>
    <x:row r="318" ht="60" customHeight="1">
      <x:c r="A318" s="277" t="str">
        <x:v>EEG-0602</x:v>
      </x:c>
      <x:c r="B318" s="278" t="str">
        <x:v>02_Healthcare_and_Disease</x:v>
      </x:c>
      <x:c r="C318" s="278" t="str">
        <x:v>Epilepsy_and_Seizure_Monitoring</x:v>
      </x:c>
      <x:c r="D318" s="278" t="str">
        <x:v>SeizeIT1</x:v>
      </x:c>
      <x:c r="E318" s="278" t="str">
        <x:v>KU Leuven presurgical scalp EEG; SeizeIT 1</x:v>
      </x:c>
      <x:c r="F318" s="278" t="str">
        <x:v>KU Leuven RDR:P5Q0OJ | DOI:10.48804/P5Q0OJ</x:v>
      </x:c>
      <x:c r="G318" s="278" t="str">
        <x:v>DOWNLOAD_UNAVAILABLE</x:v>
      </x:c>
      <x:c r="H318" s="278" t="str">
        <x:v>https://rdr.kuleuven.be/dataset.xhtml?persistentId=doi:10.48804/P5Q0OJ</x:v>
      </x:c>
      <x:c r="I318" s="278" t="str">
        <x:v>Adult presurgical seizure detection with scalp EEG, behind-the-ear EEG and ECG</x:v>
      </x:c>
      <x:c r="J318" s="278" t="str">
        <x:v>42 benchmark subjects (82 patients recorded overall)</x:v>
      </x:c>
      <x:c r="K318" s="278" t="str">
        <x:v>24 scalp EEG + 4 behind-the-ear EEG + ECG</x:v>
      </x:c>
      <x:c r="L318" s="278" t="str">
        <x:v>250 Hz</x:v>
      </x:c>
      <x:c r="M318" s="278" t="str">
        <x:v>EDF + TSV annotations</x:v>
      </x:c>
      <x:c r="N318" s="278" t="str">
        <x:v>Raw continuous EEG + clinician seizure annotations</x:v>
      </x:c>
      <x:c r="O318" s="278" t="str">
        <x:v>Current source notice: no longer shared because the ethics approval expired; use SeizeIT2 as the obtainable alternative.</x:v>
      </x:c>
      <x:c r="P318" s="278" t="str">
        <x:v>NeuroAtlas (2026); Chatzichristos &amp; Claro Bhagubai, SeizeIT1</x:v>
      </x:c>
      <x:c r="Q318" s="278" t="str">
        <x:v>02_Healthcare_and_Disease/Epilepsy_and_Seizure_Monitoring/SeizeIT1</x:v>
      </x:c>
      <x:c r="R318" s="278" t="str">
        <x:v>NeuroAtlas Figure 2 labels 5.9k h; the current SzCORE public benchmark lists 4,211 h for 42 subjects. The hour field stays non-exact in the master row and both scopes are preserved in the comparison sheet.</x:v>
      </x:c>
      <x:c r="S318" s="278"/>
      <x:c r="T318" s="278"/>
      <x:c r="U318" s="247"/>
    </x:row>
    <x:row r="319" ht="60" customHeight="1">
      <x:c r="A319" s="277" t="str">
        <x:v>EEG-0603</x:v>
      </x:c>
      <x:c r="B319" s="278" t="str">
        <x:v>02_Healthcare_and_Disease</x:v>
      </x:c>
      <x:c r="C319" s="278" t="str">
        <x:v>Clinical_Sleep_Disorders</x:v>
      </x:c>
      <x:c r="D319" s="278" t="str">
        <x:v>DCSM Sleep Staging Dataset</x:v>
      </x:c>
      <x:c r="E319" s="278" t="str">
        <x:v>Danish Center for Sleep Medicine; DCSM</x:v>
      </x:c>
      <x:c r="F319" s="278" t="str">
        <x:v>ERDA:db553715ecbe1f3ac66c1dc569826eef</x:v>
      </x:c>
      <x:c r="G319" s="278" t="str">
        <x:v>DOWNLOAD_PUBLIC</x:v>
      </x:c>
      <x:c r="H319" s="278" t="str">
        <x:v>https://erda.ku.dk/public/archives/db553715ecbe1f3ac66c1dc569826eef/published-archive.html</x:v>
      </x:c>
      <x:c r="I319" s="278" t="str">
        <x:v>Clinical sleep staging in patients evaluated for non-specific sleep-related disorders</x:v>
      </x:c>
      <x:c r="J319" s="278" t="str">
        <x:v>255 patients / 255 overnight PSG recordings</x:v>
      </x:c>
      <x:c r="K319" s="278" t="str">
        <x:v>PSG including EEG, EOG and EMG</x:v>
      </x:c>
      <x:c r="L319" s="278" t="str">
        <x:v>256 Hz (EEG/EOG)</x:v>
      </x:c>
      <x:c r="M319" s="278" t="str">
        <x:v>EDF + HDF5 + IDS hypnograms</x:v>
      </x:c>
      <x:c r="N319" s="278" t="str">
        <x:v>Raw PSG + AASM hypnograms</x:v>
      </x:c>
      <x:c r="O319" s="278" t="str">
        <x:v>Public archive; single ZIP or U-Time fetch command</x:v>
      </x:c>
      <x:c r="P319" s="278" t="str">
        <x:v>Perslev et al. (2021), U-Sleep; DCSM data archive; NeuroAtlas</x:v>
      </x:c>
      <x:c r="Q319" s="278" t="str">
        <x:v>02_Healthcare_and_Disease/Clinical_Sleep_Disorders/DCSM</x:v>
      </x:c>
      <x:c r="R319" s="278" t="str">
        <x:v>Official archive confirms 255 anonymized overnight clinical PSGs. No official total-hour figure was found, so duration is left blank.</x:v>
      </x:c>
      <x:c r="S319" s="278"/>
      <x:c r="T319" s="278"/>
      <x:c r="U319" s="247" t="n">
        <x:v>255</x:v>
      </x:c>
    </x:row>
    <x:row r="320" ht="60" customHeight="1">
      <x:c r="A320" s="277" t="str">
        <x:v>EEG-0604</x:v>
      </x:c>
      <x:c r="B320" s="278" t="str">
        <x:v>02_Healthcare_and_Disease</x:v>
      </x:c>
      <x:c r="C320" s="278" t="str">
        <x:v>Sleep_and_Cognitive_Impairment</x:v>
      </x:c>
      <x:c r="D320" s="278" t="str">
        <x:v>George B. Moody PhysioNet Challenge 2026 (PN2026)</x:v>
      </x:c>
      <x:c r="E320" s="278" t="str">
        <x:v>PhysioNet Challenge 2026; Human Sleep Project curated subset</x:v>
      </x:c>
      <x:c r="F320" s="278" t="str">
        <x:v>HSP DOI:10.60508/qjbv-hg78 | Kaggle:physionet/physionetchallenge2026datalargeversion</x:v>
      </x:c>
      <x:c r="G320" s="278" t="str">
        <x:v>DOWNLOAD_PUBLIC</x:v>
      </x:c>
      <x:c r="H320" s="278" t="str">
        <x:v>https://moody-challenge.physionet.org/2026/</x:v>
      </x:c>
      <x:c r="I320" s="278" t="str">
        <x:v>Sleep staging and clinical-event annotation; future cognitive-impairment screening</x:v>
      </x:c>
      <x:c r="J320" s="278" t="str">
        <x:v>Unique subjects not stated; 6,600 public large-training PSG records</x:v>
      </x:c>
      <x:c r="K320" s="278" t="str">
        <x:v>Variable PSG montage including EEG/EOG/EMG/ECG/respiration</x:v>
      </x:c>
      <x:c r="L320" s="278" t="str">
        <x:v>Recording/channel dependent</x:v>
      </x:c>
      <x:c r="M320" s="278" t="str">
        <x:v>EDF + CSV metadata/annotations</x:v>
      </x:c>
      <x:c r="N320" s="278" t="str">
        <x:v>Raw PSG + human and algorithmic annotations</x:v>
      </x:c>
      <x:c r="O320" s="278" t="str">
        <x:v>Public large/small training sets on Kaggle; validation/test remain hidden during the 2026 Challenge.</x:v>
      </x:c>
      <x:c r="P320" s="278" t="str">
        <x:v>George B. Moody PhysioNet Challenge 2026; Human Sleep Project; NeuroAtlas</x:v>
      </x:c>
      <x:c r="Q320" s="278" t="str">
        <x:v>02_Healthcare_and_Disease/Sleep_and_Cognitive_Impairment/PN2026</x:v>
      </x:c>
      <x:c r="R320" s="278" t="str">
        <x:v>Official page lists 5,139 + 319 + 1,142 = 6,600 public large-training PSG records (1.2 TiB). Hidden validation/test are not counted as downloadable records.</x:v>
      </x:c>
      <x:c r="S320" s="278"/>
      <x:c r="T320" s="278"/>
      <x:c r="U320" s="247" t="n">
        <x:v>6600</x:v>
      </x:c>
    </x:row>
    <x:row r="321" ht="60" customHeight="1">
      <x:c r="A321" s="277" t="str">
        <x:v>EEG-0605</x:v>
      </x:c>
      <x:c r="B321" s="278" t="str">
        <x:v>02_Healthcare_and_Disease</x:v>
      </x:c>
      <x:c r="C321" s="278" t="str">
        <x:v>Clinical_Sleep_Disorders</x:v>
      </x:c>
      <x:c r="D321" s="278" t="str">
        <x:v>STAGES</x:v>
      </x:c>
      <x:c r="E321" s="278" t="str">
        <x:v>Stanford Technology Analytics and Genomics in Sleep</x:v>
      </x:c>
      <x:c r="F321" s="278" t="str">
        <x:v>NSRR:stages | DOI:10.25822/me0d-xs45</x:v>
      </x:c>
      <x:c r="G321" s="278" t="str">
        <x:v>DOWNLOAD_APPLICATION_REQUIRED</x:v>
      </x:c>
      <x:c r="H321" s="278" t="str">
        <x:v>https://sleepdata.org/datasets/stages</x:v>
      </x:c>
      <x:c r="I321" s="278" t="str">
        <x:v>Clinical sleep staging, sleep-disorder phenotyping and brain-age evaluation</x:v>
      </x:c>
      <x:c r="J321" s="278" t="str">
        <x:v>1,500 adult/adolescent patients</x:v>
      </x:c>
      <x:c r="K321" s="278" t="str">
        <x:v>Clinical PSG including EEG/EOG/EMG/ECG/respiration</x:v>
      </x:c>
      <x:c r="L321" s="278" t="str">
        <x:v>Site/recording dependent</x:v>
      </x:c>
      <x:c r="M321" s="278" t="str">
        <x:v>EDF + annotations + phenotype tables</x:v>
      </x:c>
      <x:c r="N321" s="278" t="str">
        <x:v>Raw clinical PSG + questionnaire/phenotype data</x:v>
      </x:c>
      <x:c r="O321" s="278" t="str">
        <x:v>NSRR account, approved data request and data-use agreement; available for non-commercial and commercial use under the stated terms.</x:v>
      </x:c>
      <x:c r="P321" s="278" t="str">
        <x:v>STAGES cohort; NSRR; NeuroAtlas</x:v>
      </x:c>
      <x:c r="Q321" s="278" t="str">
        <x:v>02_Healthcare_and_Disease/Clinical_Sleep_Disorders/STAGES</x:v>
      </x:c>
      <x:c r="R321" s="278" t="str">
        <x:v>Official NSRR page reports 1,500 patients and flags four duplicate EDF pairs; the master duration remains blank pending EDF-header audit.</x:v>
      </x:c>
      <x:c r="S321" s="278"/>
      <x:c r="T321" s="278"/>
      <x:c r="U321" s="247" t="n">
        <x:v>1500</x:v>
      </x:c>
    </x:row>
    <x:row r="322" ht="60" customHeight="1">
      <x:c r="A322" s="277" t="str">
        <x:v>EEG-0606</x:v>
      </x:c>
      <x:c r="B322" s="278" t="str">
        <x:v>02_Healthcare_and_Disease</x:v>
      </x:c>
      <x:c r="C322" s="278" t="str">
        <x:v>Sleep_Disordered_Breathing</x:v>
      </x:c>
      <x:c r="D322" s="278" t="str">
        <x:v>UCDDB Sleep Apnea Database</x:v>
      </x:c>
      <x:c r="E322" s="278" t="str">
        <x:v>St. Vincent's University Hospital / University College Dublin Sleep Apnea Database</x:v>
      </x:c>
      <x:c r="F322" s="278" t="str">
        <x:v>PhysioNet:ucddb:v1.0.0 | DOI:10.13026/C26C7D</x:v>
      </x:c>
      <x:c r="G322" s="278" t="str">
        <x:v>DOWNLOAD_PUBLIC</x:v>
      </x:c>
      <x:c r="H322" s="278" t="str">
        <x:v>https://physionet.org/content/ucddb/1.0.0/</x:v>
      </x:c>
      <x:c r="I322" s="278" t="str">
        <x:v>Sleep staging and respiratory-event detection in suspected sleep-disordered breathing</x:v>
      </x:c>
      <x:c r="J322" s="278" t="str">
        <x:v>25 adults / 25 full overnight PSG recordings</x:v>
      </x:c>
      <x:c r="K322" s="278" t="str">
        <x:v>2 EEG + EOG/EMG/ECG/respiration/SpO2 and other PSG channels</x:v>
      </x:c>
      <x:c r="L322" s="278" t="str">
        <x:v>See EDF headers</x:v>
      </x:c>
      <x:c r="M322" s="278" t="str">
        <x:v>EDF (.rec) + TXT annotations</x:v>
      </x:c>
      <x:c r="N322" s="278" t="str">
        <x:v>Raw overnight PSG + sleep-stage/respiratory-event annotations</x:v>
      </x:c>
      <x:c r="O322" s="278" t="str">
        <x:v>Open Data Commons Attribution License v1.0</x:v>
      </x:c>
      <x:c r="P322" s="278" t="str">
        <x:v>UCDDB / PhysioNet; NeuroAtlas</x:v>
      </x:c>
      <x:c r="Q322" s="278" t="str">
        <x:v>02_Healthcare_and_Disease/Sleep_Disordered_Breathing/UCDDB</x:v>
      </x:c>
      <x:c r="R322" s="278" t="str">
        <x:v>Official PhysioNet page confirms 25 subjects and 25 full overnight PSGs. Total hours are not inferred from file size or an assumed night length.</x:v>
      </x:c>
      <x:c r="S322" s="278"/>
      <x:c r="T322" s="278"/>
      <x:c r="U322" s="247" t="n">
        <x:v>25</x:v>
      </x:c>
    </x:row>
    <x:row r="323" ht="60" customHeight="1">
      <x:c r="A323" s="277" t="str">
        <x:v>EEG-0607</x:v>
      </x:c>
      <x:c r="B323" s="278" t="str">
        <x:v>04_Cognition_and_Emotion</x:v>
      </x:c>
      <x:c r="C323" s="278" t="str">
        <x:v>Cognitive_Workload_and_Arithmetic</x:v>
      </x:c>
      <x:c r="D323" s="278" t="str">
        <x:v>ArithmeticTask (Rodriguez-Larios &amp; Alaerts)</x:v>
      </x:c>
      <x:c r="E323" s="278" t="str">
        <x:v>Alpha-theta harmonic relationships arithmetic/rest/breath-focus EEG</x:v>
      </x:c>
      <x:c r="F323" s="278" t="str">
        <x:v>OSF:gh6q3 | DOI:10.1523/JNEUROSCI.2919-18.2019</x:v>
      </x:c>
      <x:c r="G323" s="278" t="str">
        <x:v>DOWNLOAD_PUBLIC</x:v>
      </x:c>
      <x:c r="H323" s="278" t="str">
        <x:v>https://osf.io/gh6q3/</x:v>
      </x:c>
      <x:c r="I323" s="278" t="str">
        <x:v>Arithmetic, rest and breath-focus cognitive-state decoding</x:v>
      </x:c>
      <x:c r="J323" s="278" t="str">
        <x:v>51 included participants (54 recruited across two experiments)</x:v>
      </x:c>
      <x:c r="K323" s="278" t="str">
        <x:v>21 EEG electrodes</x:v>
      </x:c>
      <x:c r="L323" s="278" t="str">
        <x:v>256 Hz</x:v>
      </x:c>
      <x:c r="M323" s="278" t="str">
        <x:v>Raw EEG files from OSF; analysis in MATLAB/Letswave</x:v>
      </x:c>
      <x:c r="N323" s="278" t="str">
        <x:v>Raw continuous EEG</x:v>
      </x:c>
      <x:c r="O323" s="278" t="str">
        <x:v>Public OSF data; follow the project terms and cite the source paper</x:v>
      </x:c>
      <x:c r="P323" s="278" t="str">
        <x:v>Rodriguez-Larios &amp; Alaerts (2019), Journal of Neuroscience; NeuroAtlas</x:v>
      </x:c>
      <x:c r="Q323" s="278" t="str">
        <x:v>04_Cognition_and_Emotion/Cognitive_Workload_and_Arithmetic/ArithmeticTask</x:v>
      </x:c>
      <x:c r="R323" s="278" t="str">
        <x:v>Healthy cognitive experiment, not a disease cohort. The paper confirms 51 included participants, 21 electrodes and 256 Hz; no total-hour number is invented.</x:v>
      </x:c>
      <x:c r="S323" s="278"/>
      <x:c r="T323" s="278"/>
      <x:c r="U323" s="247" t="n">
        <x:v>51</x:v>
      </x:c>
    </x:row>
    <x:row r="324" ht="60" customHeight="1">
      <x:c r="A324" s="274" t="str">
        <x:v>EEG-0001</x:v>
      </x:c>
      <x:c r="B324" s="275" t="str">
        <x:v>01_Signal_Reliability</x:v>
      </x:c>
      <x:c r="C324" s="275" t="str">
        <x:v>Artifact_Identification</x:v>
      </x:c>
      <x:c r="D324" s="275" t="str">
        <x:v>EEGDenoiseNet</x:v>
      </x:c>
      <x:c r="E324" s="275"/>
      <x:c r="F324" s="275"/>
      <x:c r="G324" s="275" t="str">
        <x:v>DOWNLOAD_PUBLIC</x:v>
      </x:c>
      <x:c r="H324" s="275" t="str">
        <x:v>https://github.com/ncclabsustech/EEGdenoiseNet (512Hz: https://gin.g-node.org/NCClab/EEGdenoiseNet)</x:v>
      </x:c>
      <x:c r="I324" s="275" t="str">
        <x:v>Ocular (EOG) &amp; muscular (EMG) artifact denoising benchmark</x:v>
      </x:c>
      <x:c r="J324" s="275" t="str">
        <x:v>1</x:v>
      </x:c>
      <x:c r="K324" s="275" t="str">
        <x:v>1 (single-channel segments)</x:v>
      </x:c>
      <x:c r="L324" s="275" t="str">
        <x:v>256 / 512 Hz</x:v>
      </x:c>
      <x:c r="M324" s="275" t="str">
        <x:v>MAT / NPY</x:v>
      </x:c>
      <x:c r="N324" s="275" t="str">
        <x:v>Processed (segmented, semi-synthetic mixing)</x:v>
      </x:c>
      <x:c r="O324" s="275" t="str">
        <x:v>Open, CC-BY 4.0</x:v>
      </x:c>
      <x:c r="P324" s="275" t="str">
        <x:v>EEGdenoiseNet: a benchmark dataset for deep learning solutions of EEG denoising. Zhang et al., 2021, Journal of Neural Engineering 18(5):056057.</x:v>
      </x:c>
      <x:c r="Q324" s="275" t="str">
        <x:v>01_Signal_Reliability/Artifact_Identification/EEGDenoiseNet</x:v>
      </x:c>
      <x:c r="R324" s="275" t="str">
        <x:v>存在公开仓库、官方入口或稳定数据访问号</x:v>
      </x:c>
      <x:c r="S324" s="275"/>
      <x:c r="T324" s="275"/>
      <x:c r="U324" s="276"/>
    </x:row>
    <x:row r="325" ht="60" customHeight="1">
      <x:c r="A325" s="264" t="str">
        <x:v>EEG-0002</x:v>
      </x:c>
      <x:c r="B325" s="257" t="str">
        <x:v>01_Signal_Reliability</x:v>
      </x:c>
      <x:c r="C325" s="257" t="str">
        <x:v>Artifact_Identification</x:v>
      </x:c>
      <x:c r="D325" s="257" t="str">
        <x:v>FNUSA iEEG Graphoelements</x:v>
      </x:c>
      <x:c r="E325" s="257"/>
      <x:c r="F325" s="257" t="str">
        <x:v>Figshare:12191868</x:v>
      </x:c>
      <x:c r="G325" s="257" t="str">
        <x:v>DOWNLOAD_PUBLIC</x:v>
      </x:c>
      <x:c r="H325" s="257" t="str">
        <x:v>[Springer Nature Figshare BIDS_FNUSA](https://springernature.figshare.com/articles/dataset/BIDS_FNUSA/12191868)</x:v>
      </x:c>
      <x:c r="I325" s="257" t="str">
        <x:v>iEEG physiological vs pathological/epileptic vs artifact; SOZ localization</x:v>
      </x:c>
      <x:c r="J325" s="257" t="str">
        <x:v>14</x:v>
      </x:c>
      <x:c r="K325" s="257" t="str">
        <x:v>未给出</x:v>
      </x:c>
      <x:c r="L325" s="257" t="str">
        <x:v>1000Hz after BrainWave downsampling</x:v>
      </x:c>
      <x:c r="M325" s="257" t="str">
        <x:v>BIDS / iEEG clips</x:v>
      </x:c>
      <x:c r="N325" s="257" t="str">
        <x:v>annotated iEEG clips</x:v>
      </x:c>
      <x:c r="O325" s="257" t="str">
        <x:v>Public Figshare collection; Kaggle mirror also available; cite Scientific Data paper.</x:v>
      </x:c>
      <x:c r="P325" s="257" t="str">
        <x:v>Nejedly et al. (2020); Brant/FoME/BrainWave dataset tables</x:v>
      </x:c>
      <x:c r="Q325" s="257" t="str">
        <x:v>01_Signal_Reliability/Artifact_Identification/FNUSA_iEEG_Graphoelements</x:v>
      </x:c>
      <x:c r="R325" s="257" t="str">
        <x:v>存在公开仓库、官方入口或稳定数据访问号</x:v>
      </x:c>
      <x:c r="S325" s="257"/>
      <x:c r="T325" s="257"/>
      <x:c r="U325" s="213"/>
    </x:row>
    <x:row r="326" ht="60" customHeight="1">
      <x:c r="A326" s="274" t="str">
        <x:v>EEG-0003</x:v>
      </x:c>
      <x:c r="B326" s="275" t="str">
        <x:v>01_Signal_Reliability</x:v>
      </x:c>
      <x:c r="C326" s="275" t="str">
        <x:v>Artifact_Identification</x:v>
      </x:c>
      <x:c r="D326" s="275" t="str">
        <x:v>Mayo-Clinic iEEG Graphoelements</x:v>
      </x:c>
      <x:c r="E326" s="275"/>
      <x:c r="F326" s="275" t="str">
        <x:v>Figshare:12192405</x:v>
      </x:c>
      <x:c r="G326" s="275" t="str">
        <x:v>DOWNLOAD_PUBLIC</x:v>
      </x:c>
      <x:c r="H326" s="275" t="str">
        <x:v>[Springer Nature Figshare BIDS_MAYO](https://springernature.figshare.com/articles/dataset/BIDS_MAYO/12192405)</x:v>
      </x:c>
      <x:c r="I326" s="275" t="str">
        <x:v>iEEG physiological vs pathological/epileptic vs artifact; SOZ localization</x:v>
      </x:c>
      <x:c r="J326" s="275" t="str">
        <x:v>25</x:v>
      </x:c>
      <x:c r="K326" s="275" t="str">
        <x:v>未给出</x:v>
      </x:c>
      <x:c r="L326" s="275" t="str">
        <x:v>1000Hz after BrainWave downsampling</x:v>
      </x:c>
      <x:c r="M326" s="275" t="str">
        <x:v>BIDS / iEEG clips</x:v>
      </x:c>
      <x:c r="N326" s="275" t="str">
        <x:v>annotated iEEG clips</x:v>
      </x:c>
      <x:c r="O326" s="275" t="str">
        <x:v>Public Figshare collection; Kaggle mirror also available; cite Scientific Data paper.</x:v>
      </x:c>
      <x:c r="P326" s="275" t="str">
        <x:v>Nejedly et al. (2020); Brant/FoME/BrainWave dataset tables</x:v>
      </x:c>
      <x:c r="Q326" s="275" t="str">
        <x:v>01_Signal_Reliability/Artifact_Identification/Mayo-Clinic_iEEG_Graphoelements</x:v>
      </x:c>
      <x:c r="R326" s="275" t="str">
        <x:v>存在公开仓库、官方入口或稳定数据访问号</x:v>
      </x:c>
      <x:c r="S326" s="275"/>
      <x:c r="T326" s="275"/>
      <x:c r="U326" s="276"/>
    </x:row>
    <x:row r="327" ht="60" customHeight="1">
      <x:c r="A327" s="264" t="str">
        <x:v>EEG-0014</x:v>
      </x:c>
      <x:c r="B327" s="257" t="str">
        <x:v>02_Healthcare_and_Disease</x:v>
      </x:c>
      <x:c r="C327" s="257" t="str">
        <x:v>Epilepsy_and_Abnormalities</x:v>
      </x:c>
      <x:c r="D327" s="257" t="str">
        <x:v>HMS Harmful Brain Activity Classification</x:v>
      </x:c>
      <x:c r="E327" s="257"/>
      <x:c r="F327" s="257"/>
      <x:c r="G327" s="257" t="str">
        <x:v>DOWNLOAD_APPLICATION_REQUIRED</x:v>
      </x:c>
      <x:c r="H327" s="257" t="str">
        <x:v>[Kaggle HMS](https://www.kaggle.com/competitions/hms-harmful-brain-activity-classification/data)</x:v>
      </x:c>
      <x:c r="I327" s="257" t="str">
        <x:v>seizure / LPD / GPD / LRDA / GRDA / other</x:v>
      </x:c>
      <x:c r="J327" s="257" t="str">
        <x:v>1950</x:v>
      </x:c>
      <x:c r="K327" s="257" t="str">
        <x:v>20</x:v>
      </x:c>
      <x:c r="L327" s="257" t="str">
        <x:v>200Hz</x:v>
      </x:c>
      <x:c r="M327" s="257" t="str">
        <x:v>Parquet / CSV / spectrograms</x:v>
      </x:c>
      <x:c r="N327" s="257" t="str">
        <x:v>raw EEG + spectrograms</x:v>
      </x:c>
      <x:c r="O327" s="257" t="str">
        <x:v>Kaggle account required; competition terms apply.</x:v>
      </x:c>
      <x:c r="P327" s="257" t="str">
        <x:v>Ram et al. (2024); HMS / Kaggle</x:v>
      </x:c>
      <x:c r="Q327" s="257" t="str">
        <x:v>02_Biometrics_and_Disease/Epilepsy_and_Abnormalities/HMS_Harmful_Brain_Activity_Classification</x:v>
      </x:c>
      <x:c r="R327" s="257" t="str">
        <x:v>官方数据存在，但需申请、签署协议或获得权限</x:v>
      </x:c>
      <x:c r="S327" s="257"/>
      <x:c r="T327" s="257"/>
      <x:c r="U327" s="213"/>
    </x:row>
    <x:row r="328" ht="60" customHeight="1">
      <x:c r="A328" s="274" t="str">
        <x:v>EEG-0016</x:v>
      </x:c>
      <x:c r="B328" s="275" t="str">
        <x:v>02_Healthcare_and_Disease</x:v>
      </x:c>
      <x:c r="C328" s="275" t="str">
        <x:v>Epilepsy_and_Abnormalities</x:v>
      </x:c>
      <x:c r="D328" s="275" t="str">
        <x:v>vEpiSet (Interictal Epileptiform Discharge EEG Dataset)</x:v>
      </x:c>
      <x:c r="E328" s="275" t="str">
        <x:v>Lin (2025) [EEG-0019]; Lin2025; vEpiSet (IED) [EEG-0038]</x:v>
      </x:c>
      <x:c r="F328" s="275" t="str">
        <x:v>Figshare:28069568 | DOI:10.6084/m9.figshare.28069568</x:v>
      </x:c>
      <x:c r="G328" s="275" t="str">
        <x:v>DOWNLOAD_PUBLIC</x:v>
      </x:c>
      <x:c r="H328" s="275" t="str">
        <x:v>https://springernature.figshare.com/articles/dataset/28069568</x:v>
      </x:c>
      <x:c r="I328" s="275" t="str">
        <x:v>interictal epileptiform discharge detection；epilepsy event classification；spatial distribution analysis；Epilepsy (IED)；Interictal epileptiform discharge (IED) detection</x:v>
      </x:c>
      <x:c r="J328" s="275" t="str">
        <x:v>84 (52 IED + 32 normal)</x:v>
      </x:c>
      <x:c r="K328" s="275" t="str">
        <x:v>19</x:v>
      </x:c>
      <x:c r="L328" s="275" t="str">
        <x:v>500Hz</x:v>
      </x:c>
      <x:c r="M328" s="275" t="str">
        <x:v>MAT</x:v>
      </x:c>
      <x:c r="N328" s="275" t="str">
        <x:v>未给出</x:v>
      </x:c>
      <x:c r="O328" s="275" t="str">
        <x:v>公开下载：vEpiSet official site (https://vepiset.com/)；数据包见 Springer Nature Figshare 28069568 (https://springernature.figshare.com/articles/dataset/An_EEG_dataset_for_interictal_epileptiform_discharge_with_spatial_distribution_information/28069568)，代码见 GitHub (https://github.com/vepiset/vepiset_dataset)。</x:v>
      </x:c>
      <x:c r="P328" s="275" t="str">
        <x:v>Lin et al. (2025)；Lin N, Zheng M, Li L, Hu P, Gao W, Sun H, Xu C, Yuan G, Liang Z, Dong Y, He H, Cui L, Lu Q. Sci Data 2025;12:229 (84 patients, Peking Union Medical College Hospital)；An EEG dataset for interictal epileptiform discharge with spatial distribution information. Lin et al., 2025, Scientific Data 12:229.</x:v>
      </x:c>
      <x:c r="Q328" s="275" t="str">
        <x:v>02_Biometrics_and_Disease/Epilepsy_and_Abnormalities/Interictal_Epileptiform_Discharge_EEG_Dataset</x:v>
      </x:c>
      <x:c r="R328" s="275" t="str">
        <x:v>存在公开仓库、官方入口或稳定数据访问号；2026-08-04去重：EEG-0019, EEG-0038并入EEG-0016（Figshare article 28069568）</x:v>
      </x:c>
      <x:c r="S328" s="275"/>
      <x:c r="T328" s="275"/>
      <x:c r="U328" s="276"/>
    </x:row>
    <x:row r="329" ht="60" customHeight="1">
      <x:c r="A329" s="264" t="str">
        <x:v>EEG-0020</x:v>
      </x:c>
      <x:c r="B329" s="257" t="str">
        <x:v>02_Healthcare_and_Disease</x:v>
      </x:c>
      <x:c r="C329" s="257" t="str">
        <x:v>Epilepsy_and_Abnormalities</x:v>
      </x:c>
      <x:c r="D329" s="257" t="str">
        <x:v>MORGOTH HEP</x:v>
      </x:c>
      <x:c r="E329" s="257"/>
      <x:c r="F329" s="257"/>
      <x:c r="G329" s="257" t="str">
        <x:v>DOWNLOAD_PUBLIC</x:v>
      </x:c>
      <x:c r="H329" s="257" t="str">
        <x:v>[BDSP MORGOTH 1.0](https://bdsp.io/content/morgoth1/1.0.0/)</x:v>
      </x:c>
      <x:c r="I329" s="257" t="str">
        <x:v>1-second spike detection external validation</x:v>
      </x:c>
      <x:c r="J329" s="257" t="str">
        <x:v>143</x:v>
      </x:c>
      <x:c r="K329" s="257" t="str">
        <x:v>19</x:v>
      </x:c>
      <x:c r="L329" s="257" t="str">
        <x:v>200Hz after MORGOTH preprocessing</x:v>
      </x:c>
      <x:c r="M329" s="257" t="str">
        <x:v>MAT</x:v>
      </x:c>
      <x:c r="N329" s="257" t="str">
        <x:v>processed / standardized MAT</x:v>
      </x:c>
      <x:c r="O329" s="257" t="str">
        <x:v>BDSP credentialed access required</x:v>
      </x:c>
      <x:c r="P329" s="257" t="str">
        <x:v>Sun et al. (2026), MORGOTH 1.0</x:v>
      </x:c>
      <x:c r="Q329" s="257" t="str">
        <x:v>02_Biometrics_and_Disease/Epilepsy_and_Abnormalities/MORGOTH_HEP</x:v>
      </x:c>
      <x:c r="R329" s="257" t="str">
        <x:v>存在公开仓库、官方入口或稳定数据访问号</x:v>
      </x:c>
      <x:c r="S329" s="257"/>
      <x:c r="T329" s="257"/>
      <x:c r="U329" s="213"/>
    </x:row>
    <x:row r="330" ht="60" customHeight="1">
      <x:c r="A330" s="274" t="str">
        <x:v>EEG-0021</x:v>
      </x:c>
      <x:c r="B330" s="275" t="str">
        <x:v>02_Healthcare_and_Disease</x:v>
      </x:c>
      <x:c r="C330" s="275" t="str">
        <x:v>Epilepsy_and_Abnormalities</x:v>
      </x:c>
      <x:c r="D330" s="275" t="str">
        <x:v>MORGOTH IIIC-Test</x:v>
      </x:c>
      <x:c r="E330" s="275"/>
      <x:c r="F330" s="275"/>
      <x:c r="G330" s="275" t="str">
        <x:v>DOWNLOAD_PUBLIC</x:v>
      </x:c>
      <x:c r="H330" s="275" t="str">
        <x:v>[BDSP MORGOTH 1.0](https://bdsp.io/content/morgoth1/1.0.0/)</x:v>
      </x:c>
      <x:c r="I330" s="275" t="str">
        <x:v>seizure and 4 IIIC pattern classification: seizure, LPD, GPD, LRDA, GRDA</x:v>
      </x:c>
      <x:c r="J330" s="275" t="str">
        <x:v>758</x:v>
      </x:c>
      <x:c r="K330" s="275" t="str">
        <x:v>19</x:v>
      </x:c>
      <x:c r="L330" s="275" t="str">
        <x:v>200Hz after MORGOTH preprocessing</x:v>
      </x:c>
      <x:c r="M330" s="275" t="str">
        <x:v>MAT</x:v>
      </x:c>
      <x:c r="N330" s="275" t="str">
        <x:v>processed / standardized MAT</x:v>
      </x:c>
      <x:c r="O330" s="275" t="str">
        <x:v>BDSP credentialed access required</x:v>
      </x:c>
      <x:c r="P330" s="275" t="str">
        <x:v>Sun et al. (2026), MORGOTH 1.0</x:v>
      </x:c>
      <x:c r="Q330" s="275" t="str">
        <x:v>02_Biometrics_and_Disease/Epilepsy_and_Abnormalities/MORGOTH_IIIC-Test</x:v>
      </x:c>
      <x:c r="R330" s="275" t="str">
        <x:v>存在公开仓库、官方入口或稳定数据访问号</x:v>
      </x:c>
      <x:c r="S330" s="275"/>
      <x:c r="T330" s="275"/>
      <x:c r="U330" s="276"/>
    </x:row>
    <x:row r="331" ht="60" customHeight="1">
      <x:c r="A331" s="264" t="str">
        <x:v>EEG-0022</x:v>
      </x:c>
      <x:c r="B331" s="257" t="str">
        <x:v>02_Healthcare_and_Disease</x:v>
      </x:c>
      <x:c r="C331" s="257" t="str">
        <x:v>Epilepsy_and_Abnormalities</x:v>
      </x:c>
      <x:c r="D331" s="257" t="str">
        <x:v>MORGOTH IIIC-Train</x:v>
      </x:c>
      <x:c r="E331" s="257"/>
      <x:c r="F331" s="257"/>
      <x:c r="G331" s="257" t="str">
        <x:v>DOWNLOAD_PUBLIC</x:v>
      </x:c>
      <x:c r="H331" s="257" t="str">
        <x:v>[BDSP MORGOTH 1.0](https://bdsp.io/content/morgoth1/1.0.0/)</x:v>
      </x:c>
      <x:c r="I331" s="257" t="str">
        <x:v>seizure and 4 IIIC pattern classification: seizure, LPD, GPD, LRDA, GRDA</x:v>
      </x:c>
      <x:c r="J331" s="257" t="str">
        <x:v>1,940</x:v>
      </x:c>
      <x:c r="K331" s="257" t="str">
        <x:v>19</x:v>
      </x:c>
      <x:c r="L331" s="257" t="str">
        <x:v>200Hz after MORGOTH preprocessing</x:v>
      </x:c>
      <x:c r="M331" s="257" t="str">
        <x:v>MAT</x:v>
      </x:c>
      <x:c r="N331" s="257" t="str">
        <x:v>processed / standardized MAT</x:v>
      </x:c>
      <x:c r="O331" s="257" t="str">
        <x:v>BDSP credentialed access required</x:v>
      </x:c>
      <x:c r="P331" s="257" t="str">
        <x:v>Sun et al. (2026), MORGOTH 1.0</x:v>
      </x:c>
      <x:c r="Q331" s="257" t="str">
        <x:v>02_Biometrics_and_Disease/Epilepsy_and_Abnormalities/MORGOTH_IIIC-Train</x:v>
      </x:c>
      <x:c r="R331" s="257" t="str">
        <x:v>存在公开仓库、官方入口或稳定数据访问号</x:v>
      </x:c>
      <x:c r="S331" s="257"/>
      <x:c r="T331" s="257"/>
      <x:c r="U331" s="213"/>
    </x:row>
    <x:row r="332" ht="60" customHeight="1">
      <x:c r="A332" s="274" t="str">
        <x:v>EEG-0023</x:v>
      </x:c>
      <x:c r="B332" s="275" t="str">
        <x:v>02_Healthcare_and_Disease</x:v>
      </x:c>
      <x:c r="C332" s="275" t="str">
        <x:v>Epilepsy_and_Abnormalities</x:v>
      </x:c>
      <x:c r="D332" s="275" t="str">
        <x:v>MORGOTH MoE-External</x:v>
      </x:c>
      <x:c r="E332" s="275"/>
      <x:c r="F332" s="275"/>
      <x:c r="G332" s="275" t="str">
        <x:v>DOWNLOAD_PUBLIC</x:v>
      </x:c>
      <x:c r="H332" s="275" t="str">
        <x:v>[BDSP MORGOTH 1.0](https://bdsp.io/content/morgoth1/1.0.0/)</x:v>
      </x:c>
      <x:c r="I332" s="275" t="str">
        <x:v>multi-expert external validation: slowing, burst suppression, spike location, seizure+IIIC, awake/N1/N2</x:v>
      </x:c>
      <x:c r="J332" s="275" t="str">
        <x:v>409</x:v>
      </x:c>
      <x:c r="K332" s="275" t="str">
        <x:v>19</x:v>
      </x:c>
      <x:c r="L332" s="275" t="str">
        <x:v>200Hz after MORGOTH preprocessing</x:v>
      </x:c>
      <x:c r="M332" s="275" t="str">
        <x:v>MAT</x:v>
      </x:c>
      <x:c r="N332" s="275" t="str">
        <x:v>processed / standardized MAT</x:v>
      </x:c>
      <x:c r="O332" s="275" t="str">
        <x:v>BDSP credentialed access required</x:v>
      </x:c>
      <x:c r="P332" s="275" t="str">
        <x:v>Sun et al. (2026), MORGOTH 1.0</x:v>
      </x:c>
      <x:c r="Q332" s="275" t="str">
        <x:v>02_Biometrics_and_Disease/Epilepsy_and_Abnormalities/MORGOTH_MoE-External</x:v>
      </x:c>
      <x:c r="R332" s="275" t="str">
        <x:v>存在公开仓库、官方入口或稳定数据访问号</x:v>
      </x:c>
      <x:c r="S332" s="275"/>
      <x:c r="T332" s="275"/>
      <x:c r="U332" s="276"/>
    </x:row>
    <x:row r="333" ht="60" customHeight="1">
      <x:c r="A333" s="264" t="str">
        <x:v>EEG-0024</x:v>
      </x:c>
      <x:c r="B333" s="257" t="str">
        <x:v>02_Healthcare_and_Disease</x:v>
      </x:c>
      <x:c r="C333" s="257" t="str">
        <x:v>Epilepsy_and_Abnormalities</x:v>
      </x:c>
      <x:c r="D333" s="257" t="str">
        <x:v>MORGOTH MoE-Internal</x:v>
      </x:c>
      <x:c r="E333" s="257"/>
      <x:c r="F333" s="257"/>
      <x:c r="G333" s="257" t="str">
        <x:v>DOWNLOAD_PUBLIC</x:v>
      </x:c>
      <x:c r="H333" s="257" t="str">
        <x:v>[BDSP MORGOTH 1.0](https://bdsp.io/content/morgoth1/1.0.0/)</x:v>
      </x:c>
      <x:c r="I333" s="257" t="str">
        <x:v>multi-expert internal validation: slowing, burst suppression, spike location, seizure+IIIC, awake/N1/N2</x:v>
      </x:c>
      <x:c r="J333" s="257" t="str">
        <x:v>1,841</x:v>
      </x:c>
      <x:c r="K333" s="257" t="str">
        <x:v>19</x:v>
      </x:c>
      <x:c r="L333" s="257" t="str">
        <x:v>200Hz after MORGOTH preprocessing</x:v>
      </x:c>
      <x:c r="M333" s="257" t="str">
        <x:v>MAT</x:v>
      </x:c>
      <x:c r="N333" s="257" t="str">
        <x:v>processed / standardized MAT</x:v>
      </x:c>
      <x:c r="O333" s="257" t="str">
        <x:v>BDSP credentialed access required</x:v>
      </x:c>
      <x:c r="P333" s="257" t="str">
        <x:v>Sun et al. (2026), MORGOTH 1.0</x:v>
      </x:c>
      <x:c r="Q333" s="257" t="str">
        <x:v>02_Biometrics_and_Disease/Epilepsy_and_Abnormalities/MORGOTH_MoE-Internal</x:v>
      </x:c>
      <x:c r="R333" s="257" t="str">
        <x:v>存在公开仓库、官方入口或稳定数据访问号</x:v>
      </x:c>
      <x:c r="S333" s="257"/>
      <x:c r="T333" s="257"/>
      <x:c r="U333" s="213"/>
    </x:row>
    <x:row r="334" ht="60" customHeight="1">
      <x:c r="A334" s="274" t="str">
        <x:v>EEG-0025</x:v>
      </x:c>
      <x:c r="B334" s="275" t="str">
        <x:v>02_Healthcare_and_Disease</x:v>
      </x:c>
      <x:c r="C334" s="275" t="str">
        <x:v>Epilepsy_and_Abnormalities</x:v>
      </x:c>
      <x:c r="D334" s="275" t="str">
        <x:v>MORGOTH ON</x:v>
      </x:c>
      <x:c r="E334" s="275"/>
      <x:c r="F334" s="275"/>
      <x:c r="G334" s="275" t="str">
        <x:v>DOWNLOAD_PUBLIC</x:v>
      </x:c>
      <x:c r="H334" s="275" t="str">
        <x:v>[BDSP MORGOTH 1.0](https://bdsp.io/content/morgoth1/1.0.0/)</x:v>
      </x:c>
      <x:c r="I334" s="275" t="str">
        <x:v>slowing and spike location external validation</x:v>
      </x:c>
      <x:c r="J334" s="275" t="str">
        <x:v>100</x:v>
      </x:c>
      <x:c r="K334" s="275" t="str">
        <x:v>19</x:v>
      </x:c>
      <x:c r="L334" s="275" t="str">
        <x:v>200Hz after MORGOTH preprocessing</x:v>
      </x:c>
      <x:c r="M334" s="275" t="str">
        <x:v>MAT</x:v>
      </x:c>
      <x:c r="N334" s="275" t="str">
        <x:v>processed / standardized MAT</x:v>
      </x:c>
      <x:c r="O334" s="275" t="str">
        <x:v>BDSP credentialed access required</x:v>
      </x:c>
      <x:c r="P334" s="275" t="str">
        <x:v>Sun et al. (2026), MORGOTH 1.0</x:v>
      </x:c>
      <x:c r="Q334" s="275" t="str">
        <x:v>02_Biometrics_and_Disease/Epilepsy_and_Abnormalities/MORGOTH_ON</x:v>
      </x:c>
      <x:c r="R334" s="275" t="str">
        <x:v>存在公开仓库、官方入口或稳定数据访问号</x:v>
      </x:c>
      <x:c r="S334" s="275"/>
      <x:c r="T334" s="275"/>
      <x:c r="U334" s="276"/>
    </x:row>
    <x:row r="335" ht="60" customHeight="1">
      <x:c r="A335" s="264" t="str">
        <x:v>EEG-0026</x:v>
      </x:c>
      <x:c r="B335" s="257" t="str">
        <x:v>02_Healthcare_and_Disease</x:v>
      </x:c>
      <x:c r="C335" s="257" t="str">
        <x:v>Epilepsy_and_Abnormalities</x:v>
      </x:c>
      <x:c r="D335" s="257" t="str">
        <x:v>MORGOTH SAI</x:v>
      </x:c>
      <x:c r="E335" s="257"/>
      <x:c r="F335" s="257"/>
      <x:c r="G335" s="257" t="str">
        <x:v>DOWNLOAD_PUBLIC</x:v>
      </x:c>
      <x:c r="H335" s="257" t="str">
        <x:v>[BDSP MORGOTH 1.0](https://bdsp.io/content/morgoth1/1.0.0/)</x:v>
      </x:c>
      <x:c r="I335" s="257" t="str">
        <x:v>normal, slowing, spike location external validation</x:v>
      </x:c>
      <x:c r="J335" s="257" t="str">
        <x:v>100</x:v>
      </x:c>
      <x:c r="K335" s="257" t="str">
        <x:v>19</x:v>
      </x:c>
      <x:c r="L335" s="257" t="str">
        <x:v>200Hz after MORGOTH preprocessing</x:v>
      </x:c>
      <x:c r="M335" s="257" t="str">
        <x:v>MAT</x:v>
      </x:c>
      <x:c r="N335" s="257" t="str">
        <x:v>processed / standardized MAT</x:v>
      </x:c>
      <x:c r="O335" s="257" t="str">
        <x:v>BDSP credentialed access required</x:v>
      </x:c>
      <x:c r="P335" s="257" t="str">
        <x:v>Sun et al. (2026), MORGOTH 1.0</x:v>
      </x:c>
      <x:c r="Q335" s="257" t="str">
        <x:v>02_Biometrics_and_Disease/Epilepsy_and_Abnormalities/MORGOTH_SAI</x:v>
      </x:c>
      <x:c r="R335" s="257" t="str">
        <x:v>存在公开仓库、官方入口或稳定数据访问号</x:v>
      </x:c>
      <x:c r="S335" s="257"/>
      <x:c r="T335" s="257"/>
      <x:c r="U335" s="213"/>
    </x:row>
    <x:row r="336" ht="60" customHeight="1">
      <x:c r="A336" s="274" t="str">
        <x:v>EEG-0027</x:v>
      </x:c>
      <x:c r="B336" s="275" t="str">
        <x:v>02_Healthcare_and_Disease</x:v>
      </x:c>
      <x:c r="C336" s="275" t="str">
        <x:v>Epilepsy_and_Abnormalities</x:v>
      </x:c>
      <x:c r="D336" s="275" t="str">
        <x:v>MORGOTH SN2-Test</x:v>
      </x:c>
      <x:c r="E336" s="275"/>
      <x:c r="F336" s="275"/>
      <x:c r="G336" s="275" t="str">
        <x:v>DOWNLOAD_PUBLIC</x:v>
      </x:c>
      <x:c r="H336" s="275" t="str">
        <x:v>[BDSP MORGOTH 1.0](https://bdsp.io/content/morgoth1/1.0.0/)</x:v>
      </x:c>
      <x:c r="I336" s="275" t="str">
        <x:v>1-second spike detection</x:v>
      </x:c>
      <x:c r="J336" s="275" t="str">
        <x:v>208</x:v>
      </x:c>
      <x:c r="K336" s="275" t="str">
        <x:v>19</x:v>
      </x:c>
      <x:c r="L336" s="275" t="str">
        <x:v>200Hz after MORGOTH preprocessing</x:v>
      </x:c>
      <x:c r="M336" s="275" t="str">
        <x:v>MAT</x:v>
      </x:c>
      <x:c r="N336" s="275" t="str">
        <x:v>processed / standardized MAT</x:v>
      </x:c>
      <x:c r="O336" s="275" t="str">
        <x:v>BDSP credentialed access required</x:v>
      </x:c>
      <x:c r="P336" s="275" t="str">
        <x:v>Sun et al. (2026), MORGOTH 1.0</x:v>
      </x:c>
      <x:c r="Q336" s="275" t="str">
        <x:v>02_Biometrics_and_Disease/Epilepsy_and_Abnormalities/MORGOTH_SN2-Test</x:v>
      </x:c>
      <x:c r="R336" s="275" t="str">
        <x:v>存在公开仓库、官方入口或稳定数据访问号</x:v>
      </x:c>
      <x:c r="S336" s="275"/>
      <x:c r="T336" s="275"/>
      <x:c r="U336" s="276"/>
    </x:row>
    <x:row r="337" ht="60" customHeight="1">
      <x:c r="A337" s="264" t="str">
        <x:v>EEG-0028</x:v>
      </x:c>
      <x:c r="B337" s="257" t="str">
        <x:v>02_Healthcare_and_Disease</x:v>
      </x:c>
      <x:c r="C337" s="257" t="str">
        <x:v>Epilepsy_and_Abnormalities</x:v>
      </x:c>
      <x:c r="D337" s="257" t="str">
        <x:v>MORGOTH SN2-Train</x:v>
      </x:c>
      <x:c r="E337" s="257"/>
      <x:c r="F337" s="257"/>
      <x:c r="G337" s="257" t="str">
        <x:v>DOWNLOAD_PUBLIC</x:v>
      </x:c>
      <x:c r="H337" s="257" t="str">
        <x:v>[BDSP MORGOTH 1.0](https://bdsp.io/content/morgoth1/1.0.0/)</x:v>
      </x:c>
      <x:c r="I337" s="257" t="str">
        <x:v>1-second spike detection</x:v>
      </x:c>
      <x:c r="J337" s="257" t="str">
        <x:v>4,886</x:v>
      </x:c>
      <x:c r="K337" s="257" t="str">
        <x:v>19</x:v>
      </x:c>
      <x:c r="L337" s="257" t="str">
        <x:v>200Hz after MORGOTH preprocessing</x:v>
      </x:c>
      <x:c r="M337" s="257" t="str">
        <x:v>MAT</x:v>
      </x:c>
      <x:c r="N337" s="257" t="str">
        <x:v>processed / standardized MAT</x:v>
      </x:c>
      <x:c r="O337" s="257" t="str">
        <x:v>BDSP credentialed access required</x:v>
      </x:c>
      <x:c r="P337" s="257" t="str">
        <x:v>Sun et al. (2026), MORGOTH 1.0</x:v>
      </x:c>
      <x:c r="Q337" s="257" t="str">
        <x:v>02_Biometrics_and_Disease/Epilepsy_and_Abnormalities/MORGOTH_SN2-Train</x:v>
      </x:c>
      <x:c r="R337" s="257" t="str">
        <x:v>存在公开仓库、官方入口或稳定数据访问号</x:v>
      </x:c>
      <x:c r="S337" s="257"/>
      <x:c r="T337" s="257"/>
      <x:c r="U337" s="213"/>
    </x:row>
    <x:row r="338" ht="60" customHeight="1">
      <x:c r="A338" s="274" t="str">
        <x:v>EEG-0042</x:v>
      </x:c>
      <x:c r="B338" s="275" t="str">
        <x:v>02_Healthcare_and_Disease</x:v>
      </x:c>
      <x:c r="C338" s="275" t="str">
        <x:v>Neurodegenerative_Disorders</x:v>
      </x:c>
      <x:c r="D338" s="275" t="str">
        <x:v>APAVA</x:v>
      </x:c>
      <x:c r="E338" s="275"/>
      <x:c r="F338" s="275"/>
      <x:c r="G338" s="275" t="str">
        <x:v>DOWNLOAD_APPLICATION_REQUIRED</x:v>
      </x:c>
      <x:c r="H338" s="275" t="str">
        <x:v>Raw data: OSF, osf.io/jbysn/ ; Processed (ML-ready) data redistributed via GitHub (DL4mHealth/Medformer, DL4mHealth/ADformer, DL4mHealth/LEAD) with Google Drive mirror: drive.google.com/file/d/1FKvUnB8qEcHng7J9CfHaU7gqRLGeS7Ea/view</x:v>
      </x:c>
      <x:c r="I338" s="275" t="str">
        <x:v>Alzheimer's disease classification (binary: Alzheimer's disease vs. healthy control); subject-independent and subject-dependent MedTS classification</x:v>
      </x:c>
      <x:c r="J338" s="275" t="str">
        <x:v>23.0</x:v>
      </x:c>
      <x:c r="K338" s="275" t="str">
        <x:v>16.0</x:v>
      </x:c>
      <x:c r="L338" s="275" t="str">
        <x:v>256.0</x:v>
      </x:c>
      <x:c r="M338" s="275" t="str">
        <x:v>EEG time series (processed; released as numpy/tensor samples via authors' code). Paper reports processed file size 186MB.</x:v>
      </x:c>
      <x:c r="N338" s="275" t="str">
        <x:v>Both: original raw EEG hosted on OSF; ML-ready preprocessed version (standardized 5s trials, further segmented into 1s/256-sample half-overlapping windows in downstream papers) redistributed by research groups</x:v>
      </x:c>
      <x:c r="O338" s="275" t="str">
        <x:v>Raw data openly hosted on OSF (osf.io/jbysn), no formal application apparent; ML-ready processed version available via Google Drive links maintained by DL4mHealth (Medformer/ADformer/LEAD repos), no application needed</x:v>
      </x:c>
      <x:c r="P338" s="275" t="str">
        <x:v>Escudero J, Abasolo D, Hornero R, Espino P, Lopez M. "Analysis of electroencephalograms in Alzheimer's disease patients with multiscale entropy." Physiol Meas. 2006;27(11):1091-1106. (APAVA = Alzheimer's Patients' relatives Association of VAlladolid / AFAVA cohort, University of Valladolid, Spain)</x:v>
      </x:c>
      <x:c r="Q338" s="275" t="str">
        <x:v>02_Biometrics_and_Disease/Neurodegenerative_Disorders/APAVA</x:v>
      </x:c>
      <x:c r="R338" s="275" t="str">
        <x:v>官方数据存在，但需申请、签署协议或获得权限</x:v>
      </x:c>
      <x:c r="S338" s="275"/>
      <x:c r="T338" s="275"/>
      <x:c r="U338" s="276"/>
    </x:row>
    <x:row r="339" ht="60" customHeight="1">
      <x:c r="A339" s="264" t="str">
        <x:v>EEG-0043</x:v>
      </x:c>
      <x:c r="B339" s="257" t="str">
        <x:v>02_Healthcare_and_Disease</x:v>
      </x:c>
      <x:c r="C339" s="257" t="str">
        <x:v>Neurodegenerative_Disorders</x:v>
      </x:c>
      <x:c r="D339" s="257" t="str">
        <x:v>CAUEEG</x:v>
      </x:c>
      <x:c r="E339" s="257"/>
      <x:c r="F339" s="257"/>
      <x:c r="G339" s="257" t="str">
        <x:v>DOWNLOAD_PUBLIC</x:v>
      </x:c>
      <x:c r="H339" s="257" t="str">
        <x:v>[CAUEEG official GitHub](https://github.com/ipis-mjkim/caueeg-dataset)</x:v>
      </x:c>
      <x:c r="I339" s="257" t="str">
        <x:v>Dementia diagnosis (classification of normal / mild cognitive impairment (MCI) / dementia)</x:v>
      </x:c>
      <x:c r="J339" s="257" t="str">
        <x:v>1379.0</x:v>
      </x:c>
      <x:c r="K339" s="257" t="str">
        <x:v>19.0</x:v>
      </x:c>
      <x:c r="L339" s="257" t="str">
        <x:v>100.0</x:v>
      </x:c>
      <x:c r="M339" s="257" t="str">
        <x:v>EDF (European Data Format)</x:v>
      </x:c>
      <x:c r="N339" s="257" t="str">
        <x:v>both</x:v>
      </x:c>
      <x:c r="O339" s="257" t="str">
        <x:v>申请访问：CAUEEG official GitHub (https://github.com/ipis-mjkim/caueeg-dataset)；按 Chung-Ang University Hospital EEG 项目说明向数据拥有方申请。</x:v>
      </x:c>
      <x:c r="P339" s="257" t="str">
        <x:v>Kim et al. (2023). Deep learning-based EEG analysis to classify normal, mild cognitive impairment, and dementia: Algorithms and dataset. NeuroImage.</x:v>
      </x:c>
      <x:c r="Q339" s="257" t="str">
        <x:v>02_Biometrics_and_Disease/Neurodegenerative_Disorders/CAUEEG</x:v>
      </x:c>
      <x:c r="R339" s="257" t="str">
        <x:v>存在公开仓库、官方入口或稳定数据访问号</x:v>
      </x:c>
      <x:c r="S339" s="257"/>
      <x:c r="T339" s="257"/>
      <x:c r="U339" s="213"/>
    </x:row>
    <x:row r="340" ht="60" customHeight="1">
      <x:c r="A340" s="274" t="str">
        <x:v>EEG-0048</x:v>
      </x:c>
      <x:c r="B340" s="275" t="str">
        <x:v>02_Healthcare_and_Disease</x:v>
      </x:c>
      <x:c r="C340" s="275" t="str">
        <x:v>Mental_and_Developmental_Disorders</x:v>
      </x:c>
      <x:c r="D340" s="275" t="str">
        <x:v>Adult ADHD EEG</x:v>
      </x:c>
      <x:c r="E340" s="275" t="str">
        <x:v>Adult ADHD Resting [EEG-0049]</x:v>
      </x:c>
      <x:c r="F340" s="275"/>
      <x:c r="G340" s="275" t="str">
        <x:v>DOWNLOAD_PUBLIC</x:v>
      </x:c>
      <x:c r="H340" s="275" t="str">
        <x:v>https://data.mendeley.com/datasets/6k4g25fhzg/1 | [Mendeley Data 6k4g25fhzg](https://data.mendeley.com/datasets/6k4g25fhzg/1)</x:v>
      </x:c>
      <x:c r="I340" s="275" t="str">
        <x:v>ADHD vs control (rest / cognitive / sound listening)；ADHD vs healthy control；eyes-open/eyes-closed；cognitive challenge；sound listening</x:v>
      </x:c>
      <x:c r="J340" s="275" t="str">
        <x:v>79 (42 control, 37 ADHD)</x:v>
      </x:c>
      <x:c r="K340" s="275" t="str">
        <x:v>5 (O1,F3,F4,Cz,Fz)</x:v>
      </x:c>
      <x:c r="L340" s="275" t="str">
        <x:v>256 Hz</x:v>
      </x:c>
      <x:c r="M340" s="275" t="str">
        <x:v>MAT</x:v>
      </x:c>
      <x:c r="N340" s="275" t="str">
        <x:v>Raw segments</x:v>
      </x:c>
      <x:c r="O340" s="275" t="str">
        <x:v>Open (Mendeley 6k4g25fhzg), CC-BY 4.0</x:v>
      </x:c>
      <x:c r="P340" s="275" t="str">
        <x:v>A dataset of EEG signals from adults with ADHD and healthy controls: resting state, cognitive function, and sound listening paradigm. Bajestani et al., 2023, Mendeley Data.；Ghasem Sadeghi Bajestani; Shima Abedian; Fatemeh Makhloughi; Motahhareh Raoufitabar; Hamid Saeedi</x:v>
      </x:c>
      <x:c r="Q340" s="275" t="str">
        <x:v>02_Biometrics_and_Disease/Mental_and_Developmental_Disorders/Adult_ADHD_EEG</x:v>
      </x:c>
      <x:c r="R340" s="275" t="str">
        <x:v>存在公开仓库、官方入口或稳定数据访问号；2026-08-04去重：EEG-0049并入EEG-0048（Mendeley dataset 6k4g25fhzg）</x:v>
      </x:c>
      <x:c r="S340" s="275"/>
      <x:c r="T340" s="275"/>
      <x:c r="U340" s="276"/>
    </x:row>
    <x:row r="341" ht="60" customHeight="1">
      <x:c r="A341" s="264" t="str">
        <x:v>EEG-0051</x:v>
      </x:c>
      <x:c r="B341" s="257" t="str">
        <x:v>02_Healthcare_and_Disease</x:v>
      </x:c>
      <x:c r="C341" s="257" t="str">
        <x:v>Mental_and_Developmental_Disorders</x:v>
      </x:c>
      <x:c r="D341" s="257" t="str">
        <x:v>B-SNIP1</x:v>
      </x:c>
      <x:c r="E341" s="257"/>
      <x:c r="F341" s="257"/>
      <x:c r="G341" s="257" t="str">
        <x:v>DOWNLOAD_PUBLIC</x:v>
      </x:c>
      <x:c r="H341" s="257" t="str">
        <x:v>[NIMH NDA Collection 2274](https://nda.nih.gov/edit_collection.html?id=2274)</x:v>
      </x:c>
      <x:c r="I341" s="257" t="str">
        <x:v>resting EEG / auditory-task EEG; psychosis biotypes / schizophrenia-bipolar spectrum</x:v>
      </x:c>
      <x:c r="J341" s="257" t="str">
        <x:v>985 in B-SNIP1 replication paper; EEG subset release-dependent</x:v>
      </x:c>
      <x:c r="K341" s="257" t="str">
        <x:v>64</x:v>
      </x:c>
      <x:c r="L341" s="257" t="str">
        <x:v>1000Hz</x:v>
      </x:c>
      <x:c r="M341" s="257" t="str">
        <x:v>NDA / release-dependent</x:v>
      </x:c>
      <x:c r="N341" s="257" t="str">
        <x:v>raw / derivatives release-dependent</x:v>
      </x:c>
      <x:c r="O341" s="257" t="str">
        <x:v>Controlled access through NIMH Data Archive; data-use approval required.</x:v>
      </x:c>
      <x:c r="P341" s="257" t="str">
        <x:v>B-SNIP consortium; EEGMamba; Liu et al. (2026), EEG Foundation Models Tables VIII-XIV</x:v>
      </x:c>
      <x:c r="Q341" s="257" t="str">
        <x:v>02_Biometrics_and_Disease/Mental_and_Developmental_Disorders/B-SNIP1</x:v>
      </x:c>
      <x:c r="R341" s="257" t="str">
        <x:v>存在公开仓库、官方入口或稳定数据访问号</x:v>
      </x:c>
      <x:c r="S341" s="257"/>
      <x:c r="T341" s="257"/>
      <x:c r="U341" s="213"/>
    </x:row>
    <x:row r="342" ht="60" customHeight="1">
      <x:c r="A342" s="274" t="str">
        <x:v>EEG-0054</x:v>
      </x:c>
      <x:c r="B342" s="275" t="str">
        <x:v>02_Healthcare_and_Disease</x:v>
      </x:c>
      <x:c r="C342" s="275" t="str">
        <x:v>Mental_and_Developmental_Disorders</x:v>
      </x:c>
      <x:c r="D342" s="275" t="str">
        <x:v>EEG in schizophrenia</x:v>
      </x:c>
      <x:c r="E342" s="275"/>
      <x:c r="F342" s="275"/>
      <x:c r="G342" s="275" t="str">
        <x:v>DOWNLOAD_PUBLIC</x:v>
      </x:c>
      <x:c r="H342" s="275" t="str">
        <x:v>[RepOD EEG in schizophrenia](https://repod.icm.edu.pl/dataset.xhtml?persistentId=doi%3A10.18150%2Frepod.0107441)</x:v>
      </x:c>
      <x:c r="I342" s="275" t="str">
        <x:v>resting-state schizophrenia vs healthy control</x:v>
      </x:c>
      <x:c r="J342" s="275" t="str">
        <x:v>28</x:v>
      </x:c>
      <x:c r="K342" s="275" t="str">
        <x:v>19</x:v>
      </x:c>
      <x:c r="L342" s="275" t="str">
        <x:v>250Hz</x:v>
      </x:c>
      <x:c r="M342" s="275" t="str">
        <x:v>EDF</x:v>
      </x:c>
      <x:c r="N342" s="275" t="str">
        <x:v>raw EDF</x:v>
      </x:c>
      <x:c r="O342" s="275" t="str">
        <x:v>RepOD public download; CC0.</x:v>
      </x:c>
      <x:c r="P342" s="275" t="str">
        <x:v>Olejarczyk &amp; Jernajczyk (2017); BrainWave evaluation table</x:v>
      </x:c>
      <x:c r="Q342" s="275" t="str">
        <x:v>02_Biometrics_and_Disease/Mental_and_Developmental_Disorders/EEG_in_schizophrenia</x:v>
      </x:c>
      <x:c r="R342" s="275" t="str">
        <x:v>存在公开仓库、官方入口或稳定数据访问号</x:v>
      </x:c>
      <x:c r="S342" s="275"/>
      <x:c r="T342" s="275"/>
      <x:c r="U342" s="276"/>
    </x:row>
    <x:row r="343" ht="60" customHeight="1">
      <x:c r="A343" s="264" t="str">
        <x:v>EEG-0058</x:v>
      </x:c>
      <x:c r="B343" s="257" t="str">
        <x:v>02_Healthcare_and_Disease</x:v>
      </x:c>
      <x:c r="C343" s="257" t="str">
        <x:v>Mental_and_Developmental_Disorders</x:v>
      </x:c>
      <x:c r="D343" s="257" t="str">
        <x:v>MODMA</x:v>
      </x:c>
      <x:c r="E343" s="257"/>
      <x:c r="F343" s="257"/>
      <x:c r="G343" s="257" t="str">
        <x:v>DOWNLOAD_APPLICATION_REQUIRED</x:v>
      </x:c>
      <x:c r="H343" s="257" t="str">
        <x:v>http://modma.lzu.edu.cn/data/index/</x:v>
      </x:c>
      <x:c r="I343" s="257" t="str">
        <x:v>Mental disorder (depression) vs control; rest + dot-probe</x:v>
      </x:c>
      <x:c r="J343" s="257" t="str">
        <x:v>53 (128-ch) / 55 (3-ch)</x:v>
      </x:c>
      <x:c r="K343" s="257" t="str">
        <x:v>128 / 3</x:v>
      </x:c>
      <x:c r="L343" s="257" t="str">
        <x:v>250 Hz</x:v>
      </x:c>
      <x:c r="M343" s="257" t="str">
        <x:v>MAT / RAW</x:v>
      </x:c>
      <x:c r="N343" s="257" t="str">
        <x:v>Raw (+ preprocessing scripts)</x:v>
      </x:c>
      <x:c r="O343" s="257" t="str">
        <x:v>Registration + signed data-use agreement required</x:v>
      </x:c>
      <x:c r="P343" s="257" t="str">
        <x:v>A multi-modal open dataset for mental-disorder analysis (MODMA). Cai et al., 2022, Scientific Data 9:178.</x:v>
      </x:c>
      <x:c r="Q343" s="257" t="str">
        <x:v>02_Biometrics_and_Disease/Mental_and_Developmental_Disorders/MODMA</x:v>
      </x:c>
      <x:c r="R343" s="257" t="str">
        <x:v>官方数据存在，但需申请、签署协议或获得权限</x:v>
      </x:c>
      <x:c r="S343" s="257"/>
      <x:c r="T343" s="257"/>
      <x:c r="U343" s="213"/>
    </x:row>
    <x:row r="344" ht="60" customHeight="1">
      <x:c r="A344" s="274" t="str">
        <x:v>EEG-0060</x:v>
      </x:c>
      <x:c r="B344" s="275" t="str">
        <x:v>02_Healthcare_and_Disease</x:v>
      </x:c>
      <x:c r="C344" s="275" t="str">
        <x:v>Mental_and_Developmental_Disorders</x:v>
      </x:c>
      <x:c r="D344" s="275" t="str">
        <x:v>Schizophrenia-81</x:v>
      </x:c>
      <x:c r="E344" s="275"/>
      <x:c r="F344" s="275"/>
      <x:c r="G344" s="275" t="str">
        <x:v>DOWNLOAD_PUBLIC</x:v>
      </x:c>
      <x:c r="H344" s="275" t="str">
        <x:v>[Kaggle EEG data from basic sensory task in Schizophrenia](https://www.kaggle.com/datasets/broach/button-tone-sz)</x:v>
      </x:c>
      <x:c r="I344" s="275" t="str">
        <x:v>schizophrenia vs control; button press / auditory tone ERP</x:v>
      </x:c>
      <x:c r="J344" s="275" t="str">
        <x:v>81</x:v>
      </x:c>
      <x:c r="K344" s="275" t="str">
        <x:v>64</x:v>
      </x:c>
      <x:c r="L344" s="275" t="str">
        <x:v>1024Hz</x:v>
      </x:c>
      <x:c r="M344" s="275" t="str">
        <x:v>CSV</x:v>
      </x:c>
      <x:c r="N344" s="275" t="str">
        <x:v>raw / release-dependent</x:v>
      </x:c>
      <x:c r="O344" s="275" t="str">
        <x:v>Kaggle public dataset; exact license and raw format need manual check.</x:v>
      </x:c>
      <x:c r="P344" s="275" t="str">
        <x:v>BrainWave Table 2 (2024); Kaggle button-tone-sz</x:v>
      </x:c>
      <x:c r="Q344" s="275" t="str">
        <x:v>02_Biometrics_and_Disease/Mental_and_Developmental_Disorders/Schizophrenia-81</x:v>
      </x:c>
      <x:c r="R344" s="275" t="str">
        <x:v>存在公开仓库、官方入口或稳定数据访问号</x:v>
      </x:c>
      <x:c r="S344" s="275"/>
      <x:c r="T344" s="275"/>
      <x:c r="U344" s="276"/>
    </x:row>
    <x:row r="345" ht="60" customHeight="1">
      <x:c r="A345" s="264" t="str">
        <x:v>EEG-0061</x:v>
      </x:c>
      <x:c r="B345" s="257" t="str">
        <x:v>02_Healthcare_and_Disease</x:v>
      </x:c>
      <x:c r="C345" s="257" t="str">
        <x:v>Mental_and_Developmental_Disorders</x:v>
      </x:c>
      <x:c r="D345" s="257" t="str">
        <x:v>TDBRAIN</x:v>
      </x:c>
      <x:c r="E345" s="257"/>
      <x:c r="F345" s="257"/>
      <x:c r="G345" s="257" t="str">
        <x:v>DOWNLOAD_APPLICATION_REQUIRED</x:v>
      </x:c>
      <x:c r="H345" s="257" t="str">
        <x:v>https://brainclinics.com/resources/</x:v>
      </x:c>
      <x:c r="I345" s="257" t="str">
        <x:v>Resting-state (EO/EC); OmniEEG: psychiatric phenotype (4-class)</x:v>
      </x:c>
      <x:c r="J345" s="257" t="str">
        <x:v>1,274</x:v>
      </x:c>
      <x:c r="K345" s="257" t="str">
        <x:v>26</x:v>
      </x:c>
      <x:c r="L345" s="257" t="str">
        <x:v>2500 Hz (shared 500)</x:v>
      </x:c>
      <x:c r="M345" s="257" t="str">
        <x:v>BrainVision</x:v>
      </x:c>
      <x:c r="N345" s="257" t="str">
        <x:v>Raw (+ Python pipeline)</x:v>
      </x:c>
      <x:c r="O345" s="257" t="str">
        <x:v>Free at brainclinics.com via ORCID login; data-use agreement</x:v>
      </x:c>
      <x:c r="P345" s="257" t="str">
        <x:v>The two decades brainclinics research archive for insights in neurophysiology (TDBRAIN) database. van Dijk et al., 2022, Scientific Data 9:333.</x:v>
      </x:c>
      <x:c r="Q345" s="257" t="str">
        <x:v>02_Biometrics_and_Disease/Mental_and_Developmental_Disorders/TDBRAIN</x:v>
      </x:c>
      <x:c r="R345" s="257" t="str">
        <x:v>官方数据存在，但需申请、签署协议或获得权限</x:v>
      </x:c>
      <x:c r="S345" s="257"/>
      <x:c r="T345" s="257"/>
      <x:c r="U345" s="213"/>
    </x:row>
    <x:row r="346" ht="60" customHeight="1">
      <x:c r="A346" s="274" t="str">
        <x:v>EEG-0064</x:v>
      </x:c>
      <x:c r="B346" s="275" t="str">
        <x:v>02_Healthcare_and_Disease</x:v>
      </x:c>
      <x:c r="C346" s="275" t="str">
        <x:v>Neurological_Disorders</x:v>
      </x:c>
      <x:c r="D346" s="275" t="str">
        <x:v>bigP3BCI</x:v>
      </x:c>
      <x:c r="E346" s="275"/>
      <x:c r="F346" s="275" t="str">
        <x:v>PhysioNet:bigp3bci:v1.0.0 | DOI:10.13026/0byy-ry86</x:v>
      </x:c>
      <x:c r="G346" s="275" t="str">
        <x:v>DOWNLOAD_PUBLIC</x:v>
      </x:c>
      <x:c r="H346" s="275" t="str">
        <x:v>https://physionet.org/content/bigp3bci/1.0.0/</x:v>
      </x:c>
      <x:c r="I346" s="275" t="str">
        <x:v>spelling BCI；ALS assistive communication；clinical BCI target selection</x:v>
      </x:c>
      <x:c r="J346" s="275" t="str">
        <x:v>336 个 study-participant 条目（20 项研究表内合计；跨研究唯一人数未声明）</x:v>
      </x:c>
      <x:c r="K346" s="275" t="str">
        <x:v>34</x:v>
      </x:c>
      <x:c r="L346" s="275" t="str">
        <x:v>1000Hz</x:v>
      </x:c>
      <x:c r="M346" s="275" t="str">
        <x:v>EDF</x:v>
      </x:c>
      <x:c r="N346" s="275" t="str">
        <x:v>raw</x:v>
      </x:c>
      <x:c r="O346" s="275" t="str">
        <x:v>公开下载：公开 / 分发数据：优先查看 PhysioNet bigP3BCI (https://physionet.org/content/bigp3bci/1.0.0/)中 ALS / P300 speller 相关条目；未包含的原始数据按原论文联系作者。</x:v>
      </x:c>
      <x:c r="P346" s="275" t="str">
        <x:v>未给出</x:v>
      </x:c>
      <x:c r="Q346" s="275" t="str">
        <x:v>02_Biometrics_and_Disease/Neurological_Disorders/ALS_Eye-tracking_Spelling_EEG_Dataset</x:v>
      </x:c>
      <x:c r="R346" s="275" t="str">
        <x:v>存在公开仓库、官方入口或稳定数据访问号</x:v>
      </x:c>
      <x:c r="S346" s="275"/>
      <x:c r="T346" s="275"/>
      <x:c r="U346" s="276"/>
    </x:row>
    <x:row r="347" ht="60" customHeight="1">
      <x:c r="A347" s="264" t="str">
        <x:v>EEG-0070</x:v>
      </x:c>
      <x:c r="B347" s="257" t="str">
        <x:v>02_Healthcare_and_Disease</x:v>
      </x:c>
      <x:c r="C347" s="257" t="str">
        <x:v>Neurological_Disorders</x:v>
      </x:c>
      <x:c r="D347" s="257" t="str">
        <x:v>BNCI 006-2014 (SCP training in stroke)</x:v>
      </x:c>
      <x:c r="E347" s="257"/>
      <x:c r="F347" s="257" t="str">
        <x:v>BNCI:BNCI 006-2014</x:v>
      </x:c>
      <x:c r="G347" s="257" t="str">
        <x:v>DOWNLOAD_PUBLIC</x:v>
      </x:c>
      <x:c r="H347" s="257" t="str">
        <x:v>http://bnci-horizon-2020.eu/database/data-sets</x:v>
      </x:c>
      <x:c r="I347" s="257" t="str">
        <x:v>Slow Cortical Potentials (SCP) self-regulation training</x:v>
      </x:c>
      <x:c r="J347" s="257" t="str">
        <x:v>2</x:v>
      </x:c>
      <x:c r="K347" s="257" t="str">
        <x:v>2 EEG channels</x:v>
      </x:c>
      <x:c r="L347" s="257" t="str">
        <x:v>256 Hz</x:v>
      </x:c>
      <x:c r="M347" s="257" t="str">
        <x:v>MAT</x:v>
      </x:c>
      <x:c r="N347" s="257" t="str">
        <x:v>Raw EEG</x:v>
      </x:c>
      <x:c r="O347" s="257" t="str">
        <x:v>Open Access</x:v>
      </x:c>
      <x:c r="P347" s="257"/>
      <x:c r="Q347" s="257" t="str">
        <x:v>02_Biometrics_and_Disease/Neurological_Disorders/BNCI_006-2014_SCP_training_in_stroke</x:v>
      </x:c>
      <x:c r="R347" s="257" t="str">
        <x:v>存在公开仓库、官方入口或稳定数据访问号</x:v>
      </x:c>
      <x:c r="S347" s="257"/>
      <x:c r="T347" s="257"/>
      <x:c r="U347" s="213"/>
    </x:row>
    <x:row r="348" ht="60" customHeight="1">
      <x:c r="A348" s="274" t="str">
        <x:v>EEG-0073</x:v>
      </x:c>
      <x:c r="B348" s="275" t="str">
        <x:v>06_Motor_and_Interaction</x:v>
      </x:c>
      <x:c r="C348" s="275" t="str">
        <x:v>Error_Related_BCI</x:v>
      </x:c>
      <x:c r="D348" s="275" t="str">
        <x:v>BNCI2015_013 (Error-Related Potentials)</x:v>
      </x:c>
      <x:c r="E348" s="275" t="str">
        <x:v>Monitoring ErrP [EEG-0088]; BNCI 013-2015 (Monitoring error-related potentials)</x:v>
      </x:c>
      <x:c r="F348" s="275" t="str">
        <x:v>BNCI:013-2015 | DOI:10.1109/TNSRE.2010.2053387 | BNCI:013-2015,BNCI 013-2015</x:v>
      </x:c>
      <x:c r="G348" s="275" t="str">
        <x:v>DOWNLOAD_PUBLIC</x:v>
      </x:c>
      <x:c r="H348" s="275" t="str">
        <x:v>https://bnci-horizon-2020.eu/database/data-sets | https://bnci-horizon-2020.eu/database/data-sets (013-2015)</x:v>
      </x:c>
      <x:c r="I348" s="275" t="str">
        <x:v>ERP / Error-Related Potential；Error-related potential detection (cursor feedback)</x:v>
      </x:c>
      <x:c r="J348" s="275" t="str">
        <x:v>6</x:v>
      </x:c>
      <x:c r="K348" s="275" t="str">
        <x:v>64</x:v>
      </x:c>
      <x:c r="L348" s="275" t="str">
        <x:v>512 Hz</x:v>
      </x:c>
      <x:c r="M348" s="275"/>
      <x:c r="N348" s="275" t="str">
        <x:v>Raw</x:v>
      </x:c>
      <x:c r="O348" s="275" t="str">
        <x:v>Open BNCI Horizon dataset; CC BY-NC-ND 4.0; no application required.</x:v>
      </x:c>
      <x:c r="P348" s="275" t="str">
        <x:v>José del R. Millán, EPFL；Learning from EEG error-related potentials in noninvasive brain-computer interfaces. Chavarriaga &amp; Millan, 2010, IEEE TNSRE 18(4):381-388.</x:v>
      </x:c>
      <x:c r="Q348" s="275" t="str">
        <x:v>02_Biometrics_and_Disease/Neurological_Disorders/BNCI2015_013_Error-Related_Potentials</x:v>
      </x:c>
      <x:c r="R348" s="275" t="str">
        <x:v>存在公开仓库、官方入口或稳定数据访问号；2026-08-04去重：EEG-0088并入EEG-0073（BNCI 013-2015 / MOABB BNCI2015_013）</x:v>
      </x:c>
      <x:c r="S348" s="275"/>
      <x:c r="T348" s="275"/>
      <x:c r="U348" s="276"/>
    </x:row>
    <x:row r="349" ht="60" customHeight="1">
      <x:c r="A349" s="264" t="str">
        <x:v>EEG-0086</x:v>
      </x:c>
      <x:c r="B349" s="257" t="str">
        <x:v>08_Health_and_Population</x:v>
      </x:c>
      <x:c r="C349" s="257" t="str">
        <x:v>Sleep_and_Cardiometabolic</x:v>
      </x:c>
      <x:c r="D349" s="257" t="str">
        <x:v>MESA Sleep</x:v>
      </x:c>
      <x:c r="E349" s="257"/>
      <x:c r="F349" s="257"/>
      <x:c r="G349" s="257" t="str">
        <x:v>DOWNLOAD_PUBLIC</x:v>
      </x:c>
      <x:c r="H349" s="257" t="str">
        <x:v>https://sleepdata.org/datasets/mesa</x:v>
      </x:c>
      <x:c r="I349" s="257" t="str">
        <x:v>Sleep stages, arousals, respiratory events；并有 cardiometabolic / atherosclerosis / demographic covariates</x:v>
      </x:c>
      <x:c r="J349" s="257" t="str">
        <x:v>2,056 个含原始 PSG/EEG 的参与者（父睡眠检查 2,237 人）</x:v>
      </x:c>
      <x:c r="K349" s="257" t="str">
        <x:v>3 EEG channels + EOG, EMG, ECG, respiratory and nasal airflow</x:v>
      </x:c>
      <x:c r="L349" s="257" t="str">
        <x:v>256 Hz</x:v>
      </x:c>
      <x:c r="M349" s="257" t="str">
        <x:v>EEG spectrogram, VQGAN tokens</x:v>
      </x:c>
      <x:c r="N349" s="257" t="str">
        <x:v>Raw polysomnography + expert sleep stage and apnea annotations</x:v>
      </x:c>
      <x:c r="O349" s="257" t="str">
        <x:v>申请：NSRR MESA (https://sleepdata.org/datasets/mesa)；通过 sleepdata.org 账号申请权限，批准后网页或 `nsrr download mesa` 下载。</x:v>
      </x:c>
      <x:c r="P349" s="257" t="str">
        <x:v>Chen et al. (2015). Racial/Ethnic Differences in Sleep Disturbances: The Multi-Ethnic Study of Atherosclerosis (MESA). Sleep.</x:v>
      </x:c>
      <x:c r="Q349" s="257" t="str">
        <x:v>02_Biometrics_and_Disease/Neurological_Disorders/MESA_Sleep</x:v>
      </x:c>
      <x:c r="R349" s="257" t="str">
        <x:v>存在公开仓库、官方入口或稳定数据访问号</x:v>
      </x:c>
      <x:c r="S349" s="257"/>
      <x:c r="T349" s="257"/>
      <x:c r="U349" s="213"/>
    </x:row>
    <x:row r="350" ht="60" customHeight="1">
      <x:c r="A350" s="274" t="str">
        <x:v>EEG-0090</x:v>
      </x:c>
      <x:c r="B350" s="275" t="str">
        <x:v>06_Motor_and_Interaction</x:v>
      </x:c>
      <x:c r="C350" s="275" t="str">
        <x:v>Human_Robot_Interaction</x:v>
      </x:c>
      <x:c r="D350" s="275" t="str">
        <x:v>MultiPhysio-HRC: Multimodal Physiological Signals Dataset for industrial Human-Robot Collaboration</x:v>
      </x:c>
      <x:c r="E350" s="275"/>
      <x:c r="F350" s="275" t="str">
        <x:v>Zenodo:18668043 | DOI:10.3390/robotics14120184</x:v>
      </x:c>
      <x:c r="G350" s="275" t="str">
        <x:v>DOWNLOAD_APPLICATION_REQUIRED</x:v>
      </x:c>
      <x:c r="H350" s="275" t="str">
        <x:v>https://zenodo.org/records/18668043</x:v>
      </x:c>
      <x:c r="I350" s="275" t="str">
        <x:v>Industrial Human–Robot Collaboration (HRC) mental-state recognition</x:v>
      </x:c>
      <x:c r="J350" s="275" t="str">
        <x:v>52--42</x:v>
      </x:c>
      <x:c r="K350" s="275" t="str">
        <x:v>12</x:v>
      </x:c>
      <x:c r="L350" s="275" t="str">
        <x:v>256 Hz</x:v>
      </x:c>
      <x:c r="M350" s="275"/>
      <x:c r="N350" s="275" t="str">
        <x:v>Both</x:v>
      </x:c>
      <x:c r="O350" s="275" t="str">
        <x:v>Need apply</x:v>
      </x:c>
      <x:c r="P350" s="275" t="str">
        <x:v>DOI: 10.3390/robotics14120184</x:v>
      </x:c>
      <x:c r="Q350" s="275" t="str">
        <x:v>02_Biometrics_and_Disease/Neurological_Disorders/MultiPhysio-HRC_Multimodal_Physiological_Signals_Dataset_for_industrial_Human-Robot_Collab</x:v>
      </x:c>
      <x:c r="R350" s="275" t="str">
        <x:v>官方数据存在，但需申请、签署协议或获得权限</x:v>
      </x:c>
      <x:c r="S350" s="275"/>
      <x:c r="T350" s="275"/>
      <x:c r="U350" s="276"/>
    </x:row>
    <x:row r="351" ht="60" customHeight="1">
      <x:c r="A351" s="264" t="str">
        <x:v>EEG-0096</x:v>
      </x:c>
      <x:c r="B351" s="257" t="str">
        <x:v>04_Cognition_and_Emotion</x:v>
      </x:c>
      <x:c r="C351" s="257" t="str">
        <x:v>Emotion</x:v>
      </x:c>
      <x:c r="D351" s="257" t="str">
        <x:v>REFED</x:v>
      </x:c>
      <x:c r="E351" s="257"/>
      <x:c r="F351" s="257"/>
      <x:c r="G351" s="257" t="str">
        <x:v>DOWNLOAD_PUBLIC</x:v>
      </x:c>
      <x:c r="H351" s="257" t="str">
        <x:v>https://huggingface.co/datasets/REFED2025/REFED-dataset</x:v>
      </x:c>
      <x:c r="I351" s="257" t="str">
        <x:v>brain signals and real-time dynamic emotion annotation</x:v>
      </x:c>
      <x:c r="J351" s="257" t="str">
        <x:v>32</x:v>
      </x:c>
      <x:c r="K351" s="257" t="str">
        <x:v>64</x:v>
      </x:c>
      <x:c r="L351" s="257" t="str">
        <x:v>1000 Hz</x:v>
      </x:c>
      <x:c r="M351" s="257" t="str">
        <x:v>.mat</x:v>
      </x:c>
      <x:c r="N351" s="257" t="str">
        <x:v>RAW</x:v>
      </x:c>
      <x:c r="O351" s="257" t="str">
        <x:v>Fully open</x:v>
      </x:c>
      <x:c r="P351" s="257" t="str">
        <x:v>https://papers.neurips.cc/paper_files/paper/2025/file/2bf0ed7c35d9d84128e7f7c72ab76402-Paper-Datasets_and_Benchmarks_Track.pdf</x:v>
      </x:c>
      <x:c r="Q351" s="257" t="str">
        <x:v>02_Biometrics_and_Disease/Neurological_Disorders/REFED</x:v>
      </x:c>
      <x:c r="R351" s="257" t="str">
        <x:v>存在公开仓库、官方入口或稳定数据访问号</x:v>
      </x:c>
      <x:c r="S351" s="257"/>
      <x:c r="T351" s="257"/>
      <x:c r="U351" s="213"/>
    </x:row>
    <x:row r="352" ht="60" customHeight="1">
      <x:c r="A352" s="274" t="str">
        <x:v>EEG-0098</x:v>
      </x:c>
      <x:c r="B352" s="275" t="str">
        <x:v>02_Healthcare_and_Disease</x:v>
      </x:c>
      <x:c r="C352" s="275" t="str">
        <x:v>Neurological_Disorders</x:v>
      </x:c>
      <x:c r="D352" s="275" t="str">
        <x:v>Tinnitus Acoustic Therapy EEG Database</x:v>
      </x:c>
      <x:c r="E352" s="275" t="str">
        <x:v>Tinnitus-EEG [EEG-0099]; Cuevas-Romero (2022) [EEG-0315]</x:v>
      </x:c>
      <x:c r="F352" s="275"/>
      <x:c r="G352" s="275" t="str">
        <x:v>DOWNLOAD_PUBLIC</x:v>
      </x:c>
      <x:c r="H352" s="275" t="str">
        <x:v>[Mendeley Data acoustic therapies for tinnitus](https://data.mendeley.com/datasets/kj443jc4yc) | https://data.mendeley.com/datasets/kj443jc4yc/2 | https://data.mendeley.com/datasets/kj443jc4yc/1</x:v>
      </x:c>
      <x:c r="I352" s="275" t="str">
        <x:v>tinnitus；auditory therapy response；clinical auditory EEG biomarkers；Acoustic therapy for tinnitus (longitudinal)；Resting-state (eyes-open/closed) + passive music + acoustic therapy listening + 3 soundscape conditions</x:v>
      </x:c>
      <x:c r="J352" s="275" t="str">
        <x:v>103 enrolled (89 tinnitus + 14 controls); 71 completed full protocol</x:v>
      </x:c>
      <x:c r="K352" s="275" t="str">
        <x:v>17</x:v>
      </x:c>
      <x:c r="L352" s="275" t="str">
        <x:v>256Hz</x:v>
      </x:c>
      <x:c r="M352" s="275" t="str">
        <x:v>EEGLAB</x:v>
      </x:c>
      <x:c r="N352" s="275" t="str">
        <x:v>raw</x:v>
      </x:c>
      <x:c r="O352" s="275" t="str">
        <x:v>公开下载：Mendeley Data acoustic therapies for tinnitus (https://data.mendeley.com/datasets/kj443jc4yc)；按页面提供的版本下载 EEG 数据和元数据。</x:v>
      </x:c>
      <x:c r="P352" s="275" t="str">
        <x:v>Cuevas-Romero et al. (2022)；An electroencephalography-based database for studying the effects of acoustic therapies for tinnitus treatment. Cuevas-Romero et al., 2022, Scientific Data 9:500.；A. R. Cuevas-Romero et al., “An electroencephalography-based database for studying the effects of acoustic therapies for tinnitus treatment,” Sci. Data, vol. 9, no. 1, p. 500, 2022.</x:v>
      </x:c>
      <x:c r="Q352" s="275" t="str">
        <x:v>02_Biometrics_and_Disease/Neurological_Disorders/Tinnitus_Acoustic_Therapy_EEG_Database</x:v>
      </x:c>
      <x:c r="R352" s="275" t="str">
        <x:v>存在公开仓库、官方入口或稳定数据访问号；2026-08-04去重：EEG-0099, EEG-0315并入EEG-0098（Mendeley dataset kj443jc4yc）</x:v>
      </x:c>
      <x:c r="S352" s="275"/>
      <x:c r="T352" s="275"/>
      <x:c r="U352" s="276"/>
    </x:row>
    <x:row r="353" ht="60" customHeight="1">
      <x:c r="A353" s="264" t="str">
        <x:v>EEG-0103</x:v>
      </x:c>
      <x:c r="B353" s="257" t="str">
        <x:v>02_Healthcare_and_Disease</x:v>
      </x:c>
      <x:c r="C353" s="257" t="str">
        <x:v>Clinical_Abnormalities</x:v>
      </x:c>
      <x:c r="D353" s="257" t="str">
        <x:v>MORGOTH HEEDB-Pretrain</x:v>
      </x:c>
      <x:c r="E353" s="257"/>
      <x:c r="F353" s="257"/>
      <x:c r="G353" s="257" t="str">
        <x:v>DOWNLOAD_PUBLIC</x:v>
      </x:c>
      <x:c r="H353" s="257" t="str">
        <x:v>[BDSP MORGOTH 1.0](https://bdsp.io/content/morgoth1/1.0.0/)</x:v>
      </x:c>
      <x:c r="I353" s="257" t="str">
        <x:v>clinical EEG pretraining; all 17 EEG findings</x:v>
      </x:c>
      <x:c r="J353" s="257" t="str">
        <x:v>14,500</x:v>
      </x:c>
      <x:c r="K353" s="257" t="str">
        <x:v>19</x:v>
      </x:c>
      <x:c r="L353" s="257" t="str">
        <x:v>200Hz after MORGOTH preprocessing</x:v>
      </x:c>
      <x:c r="M353" s="257" t="str">
        <x:v>MAT</x:v>
      </x:c>
      <x:c r="N353" s="257" t="str">
        <x:v>processed / standardized MAT</x:v>
      </x:c>
      <x:c r="O353" s="257" t="str">
        <x:v>BDSP credentialed access required; S3 bdsp-opendata-credentialed/morgoth1</x:v>
      </x:c>
      <x:c r="P353" s="257" t="str">
        <x:v>Sun et al. (2026), MORGOTH 1.0</x:v>
      </x:c>
      <x:c r="Q353" s="257" t="str">
        <x:v>02_Biometrics_and_Disease/Clinical_Abnormalities/MORGOTH_HEEDB-Pretrain</x:v>
      </x:c>
      <x:c r="R353" s="257" t="str">
        <x:v>存在公开仓库、官方入口或稳定数据访问号</x:v>
      </x:c>
      <x:c r="S353" s="257"/>
      <x:c r="T353" s="257"/>
      <x:c r="U353" s="213"/>
    </x:row>
    <x:row r="354" ht="60" customHeight="1">
      <x:c r="A354" s="274" t="str">
        <x:v>EEG-0104</x:v>
      </x:c>
      <x:c r="B354" s="275" t="str">
        <x:v>02_Healthcare_and_Disease</x:v>
      </x:c>
      <x:c r="C354" s="275" t="str">
        <x:v>Clinical_Abnormalities</x:v>
      </x:c>
      <x:c r="D354" s="275" t="str">
        <x:v>MORGOTH HEEDB-Test</x:v>
      </x:c>
      <x:c r="E354" s="275"/>
      <x:c r="F354" s="275"/>
      <x:c r="G354" s="275" t="str">
        <x:v>DOWNLOAD_PUBLIC</x:v>
      </x:c>
      <x:c r="H354" s="275" t="str">
        <x:v>[BDSP MORGOTH 1.0](https://bdsp.io/content/morgoth1/1.0.0/)</x:v>
      </x:c>
      <x:c r="I354" s="275" t="str">
        <x:v>internal validation clinical EEG; all 17 EEG findings</x:v>
      </x:c>
      <x:c r="J354" s="275" t="str">
        <x:v>8,527</x:v>
      </x:c>
      <x:c r="K354" s="275" t="str">
        <x:v>19</x:v>
      </x:c>
      <x:c r="L354" s="275" t="str">
        <x:v>200Hz after MORGOTH preprocessing</x:v>
      </x:c>
      <x:c r="M354" s="275" t="str">
        <x:v>MAT</x:v>
      </x:c>
      <x:c r="N354" s="275" t="str">
        <x:v>processed / standardized MAT</x:v>
      </x:c>
      <x:c r="O354" s="275" t="str">
        <x:v>BDSP credentialed access required</x:v>
      </x:c>
      <x:c r="P354" s="275" t="str">
        <x:v>Sun et al. (2026), MORGOTH 1.0</x:v>
      </x:c>
      <x:c r="Q354" s="275" t="str">
        <x:v>02_Biometrics_and_Disease/Clinical_Abnormalities/MORGOTH_HEEDB-Test</x:v>
      </x:c>
      <x:c r="R354" s="275" t="str">
        <x:v>存在公开仓库、官方入口或稳定数据访问号</x:v>
      </x:c>
      <x:c r="S354" s="275"/>
      <x:c r="T354" s="275"/>
      <x:c r="U354" s="276"/>
    </x:row>
    <x:row r="355" ht="60" customHeight="1">
      <x:c r="A355" s="264" t="str">
        <x:v>EEG-0105</x:v>
      </x:c>
      <x:c r="B355" s="257" t="str">
        <x:v>02_Healthcare_and_Disease</x:v>
      </x:c>
      <x:c r="C355" s="257" t="str">
        <x:v>Clinical_Abnormalities</x:v>
      </x:c>
      <x:c r="D355" s="257" t="str">
        <x:v>MORGOTH HEEDB-Train</x:v>
      </x:c>
      <x:c r="E355" s="257"/>
      <x:c r="F355" s="257"/>
      <x:c r="G355" s="257" t="str">
        <x:v>DOWNLOAD_PUBLIC</x:v>
      </x:c>
      <x:c r="H355" s="257" t="str">
        <x:v>[BDSP MORGOTH 1.0](https://bdsp.io/content/morgoth1/1.0.0/)</x:v>
      </x:c>
      <x:c r="I355" s="257" t="str">
        <x:v>fine-tuning clinical EEG; all 17 EEG findings</x:v>
      </x:c>
      <x:c r="J355" s="257" t="str">
        <x:v>10,851</x:v>
      </x:c>
      <x:c r="K355" s="257" t="str">
        <x:v>19</x:v>
      </x:c>
      <x:c r="L355" s="257" t="str">
        <x:v>200Hz after MORGOTH preprocessing</x:v>
      </x:c>
      <x:c r="M355" s="257" t="str">
        <x:v>MAT</x:v>
      </x:c>
      <x:c r="N355" s="257" t="str">
        <x:v>processed / standardized MAT</x:v>
      </x:c>
      <x:c r="O355" s="257" t="str">
        <x:v>BDSP credentialed access required</x:v>
      </x:c>
      <x:c r="P355" s="257" t="str">
        <x:v>Sun et al. (2026), MORGOTH 1.0</x:v>
      </x:c>
      <x:c r="Q355" s="257" t="str">
        <x:v>02_Biometrics_and_Disease/Clinical_Abnormalities/MORGOTH_HEEDB-Train</x:v>
      </x:c>
      <x:c r="R355" s="257" t="str">
        <x:v>存在公开仓库、官方入口或稳定数据访问号</x:v>
      </x:c>
      <x:c r="S355" s="257"/>
      <x:c r="T355" s="257"/>
      <x:c r="U355" s="213"/>
    </x:row>
    <x:row r="356" ht="60" customHeight="1">
      <x:c r="A356" s="274" t="str">
        <x:v>EEG-0106</x:v>
      </x:c>
      <x:c r="B356" s="275" t="str">
        <x:v>02_Healthcare_and_Disease</x:v>
      </x:c>
      <x:c r="C356" s="275" t="str">
        <x:v>Clinical_Abnormalities</x:v>
      </x:c>
      <x:c r="D356" s="275" t="str">
        <x:v>NMT Scalp EEG Dataset</x:v>
      </x:c>
      <x:c r="E356" s="275"/>
      <x:c r="F356" s="275"/>
      <x:c r="G356" s="275" t="str">
        <x:v>DOWNLOAD_PUBLIC</x:v>
      </x:c>
      <x:c r="H356" s="275" t="str">
        <x:v>https://github.com/dll-ncai/eeg_pre-diagnostic_screening</x:v>
      </x:c>
      <x:c r="I356" s="275" t="str">
        <x:v>Recording-level abnormality classification (out-of-distribution external validation, no finetuning); linear probing at 1%/10%/100% labels</x:v>
      </x:c>
      <x:c r="J356" s="275" t="str">
        <x:v>2,417 unique subjects (~625h total)</x:v>
      </x:c>
      <x:c r="K356" s="275" t="str">
        <x:v>19</x:v>
      </x:c>
      <x:c r="L356" s="275" t="str">
        <x:v>200 Hz</x:v>
      </x:c>
      <x:c r="M356" s="275" t="str">
        <x:v>EDF; labeled normal/abnormal</x:v>
      </x:c>
      <x:c r="N356" s="275" t="str">
        <x:v>Raw clinical EEG recordings with normal/abnormal labels</x:v>
      </x:c>
      <x:c r="O356" s="275" t="str">
        <x:v>Free (GitHub — CC BY-SA 4.0 license; no registration)</x:v>
      </x:c>
      <x:c r="P356" s="275" t="str">
        <x:v>Khan et al. (2022). The NMT Scalp EEG Dataset: An Open-Source Annotated Dataset of Healthy and Pathological EEG Recordings for Predictive Modeling. Frontiers in Neuroscience.</x:v>
      </x:c>
      <x:c r="Q356" s="275" t="str">
        <x:v>02_Biometrics_and_Disease/Clinical_Abnormalities/NMT_Scalp_EEG_Dataset</x:v>
      </x:c>
      <x:c r="R356" s="275" t="str">
        <x:v>存在公开仓库、官方入口或稳定数据访问号</x:v>
      </x:c>
      <x:c r="S356" s="275"/>
      <x:c r="T356" s="275"/>
      <x:c r="U356" s="276"/>
    </x:row>
    <x:row r="357" ht="60" customHeight="1">
      <x:c r="A357" s="264" t="str">
        <x:v>EEG-0111</x:v>
      </x:c>
      <x:c r="B357" s="257" t="str">
        <x:v>03_Consciousness_and_State</x:v>
      </x:c>
      <x:c r="C357" s="257" t="str">
        <x:v>Sleep_Staging</x:v>
      </x:c>
      <x:c r="D357" s="257" t="str">
        <x:v>APPLES</x:v>
      </x:c>
      <x:c r="E357" s="257"/>
      <x:c r="F357" s="257"/>
      <x:c r="G357" s="257" t="str">
        <x:v>DOWNLOAD_PUBLIC</x:v>
      </x:c>
      <x:c r="H357" s="257" t="str">
        <x:v>[NSRR APPLES](https://sleepdata.org/datasets/apples)</x:v>
      </x:c>
      <x:c r="I357" s="257" t="str">
        <x:v>External validation cohort for sleep staging (unseen during pre-training and fine-tuning)</x:v>
      </x:c>
      <x:c r="J357" s="257" t="str">
        <x:v>1096.0</x:v>
      </x:c>
      <x:c r="K357" s="257" t="str">
        <x:v>9.0</x:v>
      </x:c>
      <x:c r="L357" s="257" t="str">
        <x:v>128.0</x:v>
      </x:c>
      <x:c r="M357" s="257" t="str">
        <x:v>EDF / XML</x:v>
      </x:c>
      <x:c r="N357" s="257" t="str">
        <x:v>processed</x:v>
      </x:c>
      <x:c r="O357" s="257" t="str">
        <x:v>申请：NSRR APPLES；通过 sleepdata.org 账号申请权限，批准后网页或 `nsrr download apples` 下载。</x:v>
      </x:c>
      <x:c r="P357" s="257" t="str">
        <x:v>Kushida et al. (2006). The Apnea Positive Pressure Long-term Efficacy Study (APPLES): Rationale, Design, Methods, and Procedures. Journal of Clinical Sleep Medicine.</x:v>
      </x:c>
      <x:c r="Q357" s="257" t="str">
        <x:v>03_Consciousness_and_State/Sleep_Staging/APPLES</x:v>
      </x:c>
      <x:c r="R357" s="257" t="str">
        <x:v>存在公开仓库、官方入口或稳定数据访问号</x:v>
      </x:c>
      <x:c r="S357" s="257"/>
      <x:c r="T357" s="257"/>
      <x:c r="U357" s="213"/>
    </x:row>
    <x:row r="358" ht="60" customHeight="1">
      <x:c r="A358" s="274" t="str">
        <x:v>EEG-0115</x:v>
      </x:c>
      <x:c r="B358" s="275" t="str">
        <x:v>03_Consciousness_and_State</x:v>
      </x:c>
      <x:c r="C358" s="275" t="str">
        <x:v>Sleep_Staging</x:v>
      </x:c>
      <x:c r="D358" s="275" t="str">
        <x:v>CCSHS</x:v>
      </x:c>
      <x:c r="E358" s="275"/>
      <x:c r="F358" s="275"/>
      <x:c r="G358" s="275" t="str">
        <x:v>DOWNLOAD_PUBLIC</x:v>
      </x:c>
      <x:c r="H358" s="275" t="str">
        <x:v>[NSRR CCSHS](https://sleepdata.org/datasets/ccshs)</x:v>
      </x:c>
      <x:c r="I358" s="275" t="str">
        <x:v>Sleep stages, sleep-disordered breathing, blood pressure, neuropsychology and behavioral assessments</x:v>
      </x:c>
      <x:c r="J358" s="275" t="str">
        <x:v>515.0</x:v>
      </x:c>
      <x:c r="K358" s="275" t="str">
        <x:v>1.0</x:v>
      </x:c>
      <x:c r="L358" s="275" t="str">
        <x:v>64.0</x:v>
      </x:c>
      <x:c r="M358" s="275" t="str">
        <x:v>EEG spectrogram, VQGAN tokens</x:v>
      </x:c>
      <x:c r="N358" s="275" t="str">
        <x:v>processed</x:v>
      </x:c>
      <x:c r="O358" s="275" t="str">
        <x:v>申请：NSRR CCSHS (https://sleepdata.org/datasets/ccshs)；通过 sleepdata.org 账号申请权限，批准后网页或 `nsrr download ccshs` 下载。</x:v>
      </x:c>
      <x:c r="P358" s="275" t="str">
        <x:v>Rosen et al. (2003). Prevalence and Risk Factors for Sleep-Disordered Breathing in 8- to 11-Year-Old Children: Association with Race and Prematurity. Journal of Pediatrics, 142(4), 383-389.</x:v>
      </x:c>
      <x:c r="Q358" s="275" t="str">
        <x:v>03_Consciousness_and_State/Sleep_Staging/CCSHS</x:v>
      </x:c>
      <x:c r="R358" s="275" t="str">
        <x:v>存在公开仓库、官方入口或稳定数据访问号</x:v>
      </x:c>
      <x:c r="S358" s="275"/>
      <x:c r="T358" s="275"/>
      <x:c r="U358" s="276"/>
    </x:row>
    <x:row r="359" ht="60" customHeight="1">
      <x:c r="A359" s="264" t="str">
        <x:v>EEG-0116</x:v>
      </x:c>
      <x:c r="B359" s="257" t="str">
        <x:v>03_Consciousness_and_State</x:v>
      </x:c>
      <x:c r="C359" s="257" t="str">
        <x:v>Sleep_Staging</x:v>
      </x:c>
      <x:c r="D359" s="257" t="str">
        <x:v>CFS</x:v>
      </x:c>
      <x:c r="E359" s="257" t="str">
        <x:v>Cleveland Family Study; CFS</x:v>
      </x:c>
      <x:c r="F359" s="257"/>
      <x:c r="G359" s="257" t="str">
        <x:v>DOWNLOAD_PUBLIC</x:v>
      </x:c>
      <x:c r="H359" s="257" t="str">
        <x:v>https://sleepdata.org/datasets/cfs</x:v>
      </x:c>
      <x:c r="I359" s="257" t="str">
        <x:v>Sleep apnea / sleep stages / longitudinal clinical covariates / familial aggregation of sleep apnea</x:v>
      </x:c>
      <x:c r="J359" s="257" t="str">
        <x:v>735</x:v>
      </x:c>
      <x:c r="K359" s="257" t="str">
        <x:v>2 EEG channels + EOG, EMG, ECG, thoracic/abdominal effort, airflow</x:v>
      </x:c>
      <x:c r="L359" s="257" t="str">
        <x:v>128 Hz</x:v>
      </x:c>
      <x:c r="M359" s="257" t="str">
        <x:v>EEG spectrogram, VQGAN tokens</x:v>
      </x:c>
      <x:c r="N359" s="257" t="str">
        <x:v>Raw polysomnography + expert sleep staging and apnea annotations</x:v>
      </x:c>
      <x:c r="O359" s="257" t="str">
        <x:v>申请：NSRR CFS (https://sleepdata.org/datasets/cfs)；通过 sleepdata.org 账号申请权限，批准后网页或 `nsrr download cfs` 下载。</x:v>
      </x:c>
      <x:c r="P359" s="257" t="str">
        <x:v>Redline et al. (1995). The Familial Aggregation of Obstructive Sleep Apnea. American Journal of Respiratory and Critical Care Medicine, 151(3 Pt 1):682-687.</x:v>
      </x:c>
      <x:c r="Q359" s="257" t="str">
        <x:v>03_Consciousness_and_State/Sleep_Staging/CFS</x:v>
      </x:c>
      <x:c r="R359" s="257" t="str">
        <x:v>存在公开仓库、官方入口或稳定数据访问号</x:v>
      </x:c>
      <x:c r="S359" s="257"/>
      <x:c r="T359" s="257"/>
      <x:c r="U359" s="213"/>
    </x:row>
    <x:row r="360" ht="60" customHeight="1">
      <x:c r="A360" s="274" t="str">
        <x:v>EEG-0117</x:v>
      </x:c>
      <x:c r="B360" s="275" t="str">
        <x:v>03_Consciousness_and_State</x:v>
      </x:c>
      <x:c r="C360" s="275" t="str">
        <x:v>Sleep_Staging</x:v>
      </x:c>
      <x:c r="D360" s="275" t="str">
        <x:v>CHAT</x:v>
      </x:c>
      <x:c r="E360" s="275"/>
      <x:c r="F360" s="275"/>
      <x:c r="G360" s="275" t="str">
        <x:v>DOWNLOAD_APPLICATION_REQUIRED</x:v>
      </x:c>
      <x:c r="H360" s="275" t="str">
        <x:v>[NSRR CHAT](https://sleepdata.org/datasets/chat)</x:v>
      </x:c>
      <x:c r="I360" s="275" t="str">
        <x:v>pediatric OSA; sleep staging; adenotonsillectomy trial PSG</x:v>
      </x:c>
      <x:c r="J360" s="275" t="str">
        <x:v>1232.0</x:v>
      </x:c>
      <x:c r="K360" s="275" t="str">
        <x:v>1.0</x:v>
      </x:c>
      <x:c r="L360" s="275" t="str">
        <x:v>64.0</x:v>
      </x:c>
      <x:c r="M360" s="275" t="str">
        <x:v>EEG spectrogram, VQGAN tokens</x:v>
      </x:c>
      <x:c r="N360" s="275" t="str">
        <x:v>processed</x:v>
      </x:c>
      <x:c r="O360" s="275" t="str">
        <x:v>NSRR account + data request/DUA</x:v>
      </x:c>
      <x:c r="P360" s="275" t="str">
        <x:v>Marcus et al. (2013). A Randomized Trial of Adenotonsillectomy for Childhood Sleep Apnea. New England Journal of Medicine.</x:v>
      </x:c>
      <x:c r="Q360" s="275" t="str">
        <x:v>03_Consciousness_and_State/Sleep_Staging/CHAT</x:v>
      </x:c>
      <x:c r="R360" s="275" t="str">
        <x:v>官方数据存在，但需申请、签署协议或获得权限</x:v>
      </x:c>
      <x:c r="S360" s="275"/>
      <x:c r="T360" s="275"/>
      <x:c r="U360" s="276"/>
    </x:row>
    <x:row r="361" ht="60" customHeight="1">
      <x:c r="A361" s="264" t="str">
        <x:v>EEG-0121</x:v>
      </x:c>
      <x:c r="B361" s="257" t="str">
        <x:v>03_Consciousness_and_State</x:v>
      </x:c>
      <x:c r="C361" s="257" t="str">
        <x:v>Sleep_Staging</x:v>
      </x:c>
      <x:c r="D361" s="257" t="str">
        <x:v>DREAMS-SUB (DREAMS Subjects Database)</x:v>
      </x:c>
      <x:c r="E361" s="257" t="str">
        <x:v>DREAMS Sleep Databases</x:v>
      </x:c>
      <x:c r="F361" s="257" t="str">
        <x:v>Zenodo:2650142 | DOI:10.5281/zenodo.2650142</x:v>
      </x:c>
      <x:c r="G361" s="257" t="str">
        <x:v>DOWNLOAD_PUBLIC</x:v>
      </x:c>
      <x:c r="H361" s="257"/>
      <x:c r="I361" s="257" t="str">
        <x:v>Sleep staging</x:v>
      </x:c>
      <x:c r="J361" s="257" t="str">
        <x:v>20.0</x:v>
      </x:c>
      <x:c r="K361" s="257" t="str">
        <x:v>1.0</x:v>
      </x:c>
      <x:c r="L361" s="257" t="str">
        <x:v>200.0</x:v>
      </x:c>
      <x:c r="M361" s="257" t="str">
        <x:v>EDF</x:v>
      </x:c>
      <x:c r="N361" s="257" t="str">
        <x:v>raw</x:v>
      </x:c>
      <x:c r="O361" s="257" t="str">
        <x:v>no need</x:v>
      </x:c>
      <x:c r="P361" s="257" t="str">
        <x:v>Devuyst, Dutoit &amp; Kerkhofs (2005). The DREAMS Databases and Assessment Algorithm. Zenodo (https://doi.org/10.5281/zenodo.2650142)</x:v>
      </x:c>
      <x:c r="Q361" s="257" t="str">
        <x:v>03_Consciousness_and_State/Sleep_Staging/DREAMS-SUB_DREAMS_Subjects_Database</x:v>
      </x:c>
      <x:c r="R361" s="257" t="str">
        <x:v>存在公开仓库、官方入口或稳定数据访问号</x:v>
      </x:c>
      <x:c r="S361" s="257"/>
      <x:c r="T361" s="257"/>
      <x:c r="U361" s="213"/>
    </x:row>
    <x:row r="362" ht="60" customHeight="1">
      <x:c r="A362" s="274" t="str">
        <x:v>EEG-0128</x:v>
      </x:c>
      <x:c r="B362" s="275" t="str">
        <x:v>03_Consciousness_and_State</x:v>
      </x:c>
      <x:c r="C362" s="275" t="str">
        <x:v>Sleep_Staging</x:v>
      </x:c>
      <x:c r="D362" s="275" t="str">
        <x:v>ISRUC-Sleep</x:v>
      </x:c>
      <x:c r="E362" s="275"/>
      <x:c r="F362" s="275"/>
      <x:c r="G362" s="275" t="str">
        <x:v>DOWNLOAD_PUBLIC</x:v>
      </x:c>
      <x:c r="H362" s="275" t="str">
        <x:v>https://sleeptight.isr.uc.pt/</x:v>
      </x:c>
      <x:c r="I362" s="275" t="str">
        <x:v>Sleep stage classification (5-class, AASM)</x:v>
      </x:c>
      <x:c r="J362" s="275" t="str">
        <x:v>118 total (SG-I: 100; SG-II: 8 longitudinal; SG-III: 10)</x:v>
      </x:c>
      <x:c r="K362" s="275" t="str">
        <x:v>6 EEG (+EOG/EMG/ECG)</x:v>
      </x:c>
      <x:c r="L362" s="275" t="str">
        <x:v>200 Hz</x:v>
      </x:c>
      <x:c r="M362" s="275" t="str">
        <x:v>EDF / REC + scoring</x:v>
      </x:c>
      <x:c r="N362" s="275" t="str">
        <x:v>Raw + expert scoring</x:v>
      </x:c>
      <x:c r="O362" s="275" t="str">
        <x:v>Free public download</x:v>
      </x:c>
      <x:c r="P362" s="275" t="str">
        <x:v>ISRUC-Sleep: a comprehensive public dataset for sleep researchers. Khalighi et al., 2016, Computer Methods and Programs in Biomedicine 124:180-192.</x:v>
      </x:c>
      <x:c r="Q362" s="275" t="str">
        <x:v>03_Consciousness_and_State/Sleep_Staging/ISRUC-Sleep</x:v>
      </x:c>
      <x:c r="R362" s="275" t="str">
        <x:v>存在公开仓库、官方入口或稳定数据访问号</x:v>
      </x:c>
      <x:c r="S362" s="275"/>
      <x:c r="T362" s="275"/>
      <x:c r="U362" s="276"/>
    </x:row>
    <x:row r="363" ht="60" customHeight="1">
      <x:c r="A363" s="264" t="str">
        <x:v>EEG-0130</x:v>
      </x:c>
      <x:c r="B363" s="257" t="str">
        <x:v>03_Consciousness_and_State</x:v>
      </x:c>
      <x:c r="C363" s="257" t="str">
        <x:v>Sleep_Staging</x:v>
      </x:c>
      <x:c r="D363" s="257" t="str">
        <x:v>MASS</x:v>
      </x:c>
      <x:c r="E363" s="257"/>
      <x:c r="F363" s="257"/>
      <x:c r="G363" s="257" t="str">
        <x:v>DOWNLOAD_PUBLIC</x:v>
      </x:c>
      <x:c r="H363" s="257" t="str">
        <x:v>http://ceams-carsm.ca/mass/</x:v>
      </x:c>
      <x:c r="I363" s="257" t="str">
        <x:v>Sleep stages；也可用于睡眠微结构、spindle、arousal 等研究，具体标签取决于 subset</x:v>
      </x:c>
      <x:c r="J363" s="257" t="str">
        <x:v>200</x:v>
      </x:c>
      <x:c r="K363" s="257" t="str">
        <x:v>20 EEG (subset varies)</x:v>
      </x:c>
      <x:c r="L363" s="257" t="str">
        <x:v>256 Hz</x:v>
      </x:c>
      <x:c r="M363" s="257" t="str">
        <x:v>PSG (EDF); 30-s epochs</x:v>
      </x:c>
      <x:c r="N363" s="257" t="str">
        <x:v>Raw polysomnography + expert sleep stage annotations</x:v>
      </x:c>
      <x:c r="O363" s="257" t="str">
        <x:v>申请：MASS / CÉAMS (https://ceams-carsm.ca/en/mass/)；邮件至 `mass.cnmtl@ssss.gouv.qc.ca`，按需说明 biosignals / sleep stages / annotations 类型并提交所需文档。</x:v>
      </x:c>
      <x:c r="P363" s="257" t="str">
        <x:v>O'Reilly et al. (2014). Montreal Archive of Sleep Studies: an open-access resource for instrument benchmarking and exploratory research. Journal of Sleep Research.</x:v>
      </x:c>
      <x:c r="Q363" s="257" t="str">
        <x:v>03_Consciousness_and_State/Sleep_Staging/MASS</x:v>
      </x:c>
      <x:c r="R363" s="257" t="str">
        <x:v>存在公开仓库、官方入口或稳定数据访问号</x:v>
      </x:c>
      <x:c r="S363" s="257"/>
      <x:c r="T363" s="257"/>
      <x:c r="U363" s="213"/>
    </x:row>
    <x:row r="364" ht="60" customHeight="1">
      <x:c r="A364" s="274" t="str">
        <x:v>EEG-0131</x:v>
      </x:c>
      <x:c r="B364" s="275" t="str">
        <x:v>03_Consciousness_and_State</x:v>
      </x:c>
      <x:c r="C364" s="275" t="str">
        <x:v>Sleep_Staging</x:v>
      </x:c>
      <x:c r="D364" s="275" t="str">
        <x:v>MORGOTH BCH-PSG</x:v>
      </x:c>
      <x:c r="E364" s="275"/>
      <x:c r="F364" s="275"/>
      <x:c r="G364" s="275" t="str">
        <x:v>DOWNLOAD_PUBLIC</x:v>
      </x:c>
      <x:c r="H364" s="275" t="str">
        <x:v>[BDSP MORGOTH 1.0](https://bdsp.io/content/morgoth1/1.0.0/)</x:v>
      </x:c>
      <x:c r="I364" s="275" t="str">
        <x:v>5-class sleep staging</x:v>
      </x:c>
      <x:c r="J364" s="275" t="str">
        <x:v>1,000</x:v>
      </x:c>
      <x:c r="K364" s="275" t="str">
        <x:v>19-channel mode in MORGOTH</x:v>
      </x:c>
      <x:c r="L364" s="275" t="str">
        <x:v>200Hz after MORGOTH preprocessing</x:v>
      </x:c>
      <x:c r="M364" s="275" t="str">
        <x:v>MAT</x:v>
      </x:c>
      <x:c r="N364" s="275" t="str">
        <x:v>processed / standardized MAT</x:v>
      </x:c>
      <x:c r="O364" s="275" t="str">
        <x:v>BDSP credentialed access required</x:v>
      </x:c>
      <x:c r="P364" s="275" t="str">
        <x:v>Sun et al. (2026), MORGOTH 1.0</x:v>
      </x:c>
      <x:c r="Q364" s="275" t="str">
        <x:v>03_Consciousness_and_State/Sleep_Staging/MORGOTH_BCH-PSG</x:v>
      </x:c>
      <x:c r="R364" s="275" t="str">
        <x:v>存在公开仓库、官方入口或稳定数据访问号</x:v>
      </x:c>
      <x:c r="S364" s="275"/>
      <x:c r="T364" s="275"/>
      <x:c r="U364" s="276"/>
    </x:row>
    <x:row r="365" ht="60" customHeight="1">
      <x:c r="A365" s="264" t="str">
        <x:v>EEG-0132</x:v>
      </x:c>
      <x:c r="B365" s="257" t="str">
        <x:v>03_Consciousness_and_State</x:v>
      </x:c>
      <x:c r="C365" s="257" t="str">
        <x:v>Sleep_Staging</x:v>
      </x:c>
      <x:c r="D365" s="257" t="str">
        <x:v>MORGOTH MGH-PSG-Test</x:v>
      </x:c>
      <x:c r="E365" s="257"/>
      <x:c r="F365" s="257"/>
      <x:c r="G365" s="257" t="str">
        <x:v>DOWNLOAD_PUBLIC</x:v>
      </x:c>
      <x:c r="H365" s="257" t="str">
        <x:v>[BDSP MORGOTH 1.0](https://bdsp.io/content/morgoth1/1.0.0/)</x:v>
      </x:c>
      <x:c r="I365" s="257" t="str">
        <x:v>5-class sleep staging</x:v>
      </x:c>
      <x:c r="J365" s="257" t="str">
        <x:v>1,000</x:v>
      </x:c>
      <x:c r="K365" s="257" t="str">
        <x:v>19-channel mode in MORGOTH</x:v>
      </x:c>
      <x:c r="L365" s="257" t="str">
        <x:v>200Hz after MORGOTH preprocessing</x:v>
      </x:c>
      <x:c r="M365" s="257" t="str">
        <x:v>MAT</x:v>
      </x:c>
      <x:c r="N365" s="257" t="str">
        <x:v>processed / standardized MAT</x:v>
      </x:c>
      <x:c r="O365" s="257" t="str">
        <x:v>BDSP credentialed access required</x:v>
      </x:c>
      <x:c r="P365" s="257" t="str">
        <x:v>Sun et al. (2026), MORGOTH 1.0</x:v>
      </x:c>
      <x:c r="Q365" s="257" t="str">
        <x:v>03_Consciousness_and_State/Sleep_Staging/MORGOTH_MGH-PSG-Test</x:v>
      </x:c>
      <x:c r="R365" s="257" t="str">
        <x:v>存在公开仓库、官方入口或稳定数据访问号</x:v>
      </x:c>
      <x:c r="S365" s="257"/>
      <x:c r="T365" s="257"/>
      <x:c r="U365" s="213"/>
    </x:row>
    <x:row r="366" ht="60" customHeight="1">
      <x:c r="A366" s="274" t="str">
        <x:v>EEG-0133</x:v>
      </x:c>
      <x:c r="B366" s="275" t="str">
        <x:v>03_Consciousness_and_State</x:v>
      </x:c>
      <x:c r="C366" s="275" t="str">
        <x:v>Sleep_Staging</x:v>
      </x:c>
      <x:c r="D366" s="275" t="str">
        <x:v>MORGOTH MGH-PSG-Train</x:v>
      </x:c>
      <x:c r="E366" s="275"/>
      <x:c r="F366" s="275"/>
      <x:c r="G366" s="275" t="str">
        <x:v>DOWNLOAD_PUBLIC</x:v>
      </x:c>
      <x:c r="H366" s="275" t="str">
        <x:v>[BDSP MORGOTH 1.0](https://bdsp.io/content/morgoth1/1.0.0/)</x:v>
      </x:c>
      <x:c r="I366" s="275" t="str">
        <x:v>5-class sleep staging</x:v>
      </x:c>
      <x:c r="J366" s="275" t="str">
        <x:v>1,000</x:v>
      </x:c>
      <x:c r="K366" s="275" t="str">
        <x:v>19-channel mode in MORGOTH</x:v>
      </x:c>
      <x:c r="L366" s="275" t="str">
        <x:v>200Hz after MORGOTH preprocessing</x:v>
      </x:c>
      <x:c r="M366" s="275" t="str">
        <x:v>MAT</x:v>
      </x:c>
      <x:c r="N366" s="275" t="str">
        <x:v>processed / standardized MAT</x:v>
      </x:c>
      <x:c r="O366" s="275" t="str">
        <x:v>BDSP credentialed access required</x:v>
      </x:c>
      <x:c r="P366" s="275" t="str">
        <x:v>Sun et al. (2026), MORGOTH 1.0</x:v>
      </x:c>
      <x:c r="Q366" s="275" t="str">
        <x:v>03_Consciousness_and_State/Sleep_Staging/MORGOTH_MGH-PSG-Train</x:v>
      </x:c>
      <x:c r="R366" s="275" t="str">
        <x:v>存在公开仓库、官方入口或稳定数据访问号</x:v>
      </x:c>
      <x:c r="S366" s="275"/>
      <x:c r="T366" s="275"/>
      <x:c r="U366" s="276"/>
    </x:row>
    <x:row r="367" ht="60" customHeight="1">
      <x:c r="A367" s="264" t="str">
        <x:v>EEG-0134</x:v>
      </x:c>
      <x:c r="B367" s="257" t="str">
        <x:v>03_Consciousness_and_State</x:v>
      </x:c>
      <x:c r="C367" s="257" t="str">
        <x:v>Sleep_Staging</x:v>
      </x:c>
      <x:c r="D367" s="257" t="str">
        <x:v>MORGOTH UPenn PSG</x:v>
      </x:c>
      <x:c r="E367" s="257"/>
      <x:c r="F367" s="257"/>
      <x:c r="G367" s="257" t="str">
        <x:v>DOWNLOAD_PUBLIC</x:v>
      </x:c>
      <x:c r="H367" s="257" t="str">
        <x:v>[BDSP MORGOTH 1.0](https://bdsp.io/content/morgoth1/1.0.0/)</x:v>
      </x:c>
      <x:c r="I367" s="257" t="str">
        <x:v>5-class sleep staging external validation</x:v>
      </x:c>
      <x:c r="J367" s="257" t="str">
        <x:v>69</x:v>
      </x:c>
      <x:c r="K367" s="257" t="str">
        <x:v>19-channel mode in MORGOTH</x:v>
      </x:c>
      <x:c r="L367" s="257" t="str">
        <x:v>200Hz after MORGOTH preprocessing</x:v>
      </x:c>
      <x:c r="M367" s="257" t="str">
        <x:v>MAT</x:v>
      </x:c>
      <x:c r="N367" s="257" t="str">
        <x:v>processed / standardized MAT</x:v>
      </x:c>
      <x:c r="O367" s="257" t="str">
        <x:v>BDSP credentialed access required</x:v>
      </x:c>
      <x:c r="P367" s="257" t="str">
        <x:v>Sun et al. (2026), MORGOTH 1.0</x:v>
      </x:c>
      <x:c r="Q367" s="257" t="str">
        <x:v>03_Consciousness_and_State/Sleep_Staging/MORGOTH_UPenn_PSG</x:v>
      </x:c>
      <x:c r="R367" s="257" t="str">
        <x:v>存在公开仓库、官方入口或稳定数据访问号</x:v>
      </x:c>
      <x:c r="S367" s="257"/>
      <x:c r="T367" s="257"/>
      <x:c r="U367" s="213"/>
    </x:row>
    <x:row r="368" ht="60" customHeight="1">
      <x:c r="A368" s="274" t="str">
        <x:v>EEG-0135</x:v>
      </x:c>
      <x:c r="B368" s="275" t="str">
        <x:v>03_Consciousness_and_State</x:v>
      </x:c>
      <x:c r="C368" s="275" t="str">
        <x:v>Sleep_Staging</x:v>
      </x:c>
      <x:c r="D368" s="275" t="str">
        <x:v>MrOS Sleep</x:v>
      </x:c>
      <x:c r="E368" s="275"/>
      <x:c r="F368" s="275"/>
      <x:c r="G368" s="275" t="str">
        <x:v>DOWNLOAD_PUBLIC</x:v>
      </x:c>
      <x:c r="H368" s="275" t="str">
        <x:v>[NSRR MrOS](https://sleepdata.org/datasets/mros)</x:v>
      </x:c>
      <x:c r="I368" s="275" t="str">
        <x:v>Sleep stages, sleep-disordered breathing, actigraphy-derived sleep metrics, clinical covariates</x:v>
      </x:c>
      <x:c r="J368" s="275" t="str">
        <x:v>2,907（Visit 1）；1,026 为重复随访 Visit 2，不相加为唯一人数</x:v>
      </x:c>
      <x:c r="K368" s="275" t="str">
        <x:v>1.0</x:v>
      </x:c>
      <x:c r="L368" s="275" t="str">
        <x:v>64.0</x:v>
      </x:c>
      <x:c r="M368" s="275" t="str">
        <x:v>EEG spectrogram, VQGAN tokens</x:v>
      </x:c>
      <x:c r="N368" s="275" t="str">
        <x:v>processed</x:v>
      </x:c>
      <x:c r="O368" s="275" t="str">
        <x:v>申请：NSRR MrOS (https://sleepdata.org/datasets/mros)；通过 sleepdata.org 账号申请权限，批准后网页或 `nsrr download mros` 下载。</x:v>
      </x:c>
      <x:c r="P368" s="275" t="str">
        <x:v>Blackwell et al. (2011). Associations Between Sleep Architecture and Sleep-Disordered Breathing and Cognition in Older Community-Dwelling Men: The Osteoporotic Fractures in Men Sleep Study. Journal of the American Geriatrics Society.</x:v>
      </x:c>
      <x:c r="Q368" s="275" t="str">
        <x:v>03_Consciousness_and_State/Sleep_Staging/MrOS_Sleep</x:v>
      </x:c>
      <x:c r="R368" s="275" t="str">
        <x:v>存在公开仓库、官方入口或稳定数据访问号</x:v>
      </x:c>
      <x:c r="S368" s="275"/>
      <x:c r="T368" s="275"/>
      <x:c r="U368" s="276"/>
    </x:row>
    <x:row r="369" ht="60" customHeight="1">
      <x:c r="A369" s="264" t="str">
        <x:v>EEG-0141</x:v>
      </x:c>
      <x:c r="B369" s="257" t="str">
        <x:v>03_Consciousness_and_State</x:v>
      </x:c>
      <x:c r="C369" s="257" t="str">
        <x:v>Sleep_Staging</x:v>
      </x:c>
      <x:c r="D369" s="257" t="str">
        <x:v>SEED-SD</x:v>
      </x:c>
      <x:c r="E369" s="257"/>
      <x:c r="F369" s="257"/>
      <x:c r="G369" s="257" t="str">
        <x:v>DOWNLOAD_PUBLIC</x:v>
      </x:c>
      <x:c r="H369" s="257" t="str">
        <x:v>https://bcmi.sjtu.edu.cn/home/seed/seed-SD.html</x:v>
      </x:c>
      <x:c r="I369" s="257" t="str">
        <x:v>Emotion recognition under different sleep conditions (sleep deprivation, sleep recovery, normal sleep)</x:v>
      </x:c>
      <x:c r="J369" s="257" t="str">
        <x:v>40</x:v>
      </x:c>
      <x:c r="K369" s="257" t="str">
        <x:v>62 EEG</x:v>
      </x:c>
      <x:c r="L369" s="257" t="str">
        <x:v>Raw 1000 Hz; preprocessed 200 Hz</x:v>
      </x:c>
      <x:c r="M369" s="257" t="str">
        <x:v>CNT raw; NPY DE features; NPY eye features; XLSX eye raw</x:v>
      </x:c>
      <x:c r="N369" s="257" t="str">
        <x:v>Raw EEG, EEG DE features, eye movement raw/features</x:v>
      </x:c>
      <x:c r="O369" s="257" t="str">
        <x:v>Reported by ELASTIQ; obtain through BCMI/SEED family route if public, otherwise contact authors.</x:v>
      </x:c>
      <x:c r="P369" s="257" t="str">
        <x:v>ELASTIQ; Liu et al. (2026), EEG Foundation Models Tables VIII-XIV</x:v>
      </x:c>
      <x:c r="Q369" s="257" t="str">
        <x:v>03_Consciousness_and_State/Sleep_Staging/SEED-SD</x:v>
      </x:c>
      <x:c r="R369" s="257" t="str">
        <x:v>存在公开仓库、官方入口或稳定数据访问号</x:v>
      </x:c>
      <x:c r="S369" s="257"/>
      <x:c r="T369" s="257"/>
      <x:c r="U369" s="213"/>
    </x:row>
    <x:row r="370" ht="60" customHeight="1">
      <x:c r="A370" s="274" t="str">
        <x:v>EEG-0142</x:v>
      </x:c>
      <x:c r="B370" s="275" t="str">
        <x:v>03_Consciousness_and_State</x:v>
      </x:c>
      <x:c r="C370" s="275" t="str">
        <x:v>Sleep_Staging</x:v>
      </x:c>
      <x:c r="D370" s="275" t="str">
        <x:v>SHHS</x:v>
      </x:c>
      <x:c r="E370" s="275"/>
      <x:c r="F370" s="275"/>
      <x:c r="G370" s="275" t="str">
        <x:v>DOWNLOAD_PUBLIC</x:v>
      </x:c>
      <x:c r="H370" s="275" t="str">
        <x:v>https://sleepdata.org/datasets/shhs</x:v>
      </x:c>
      <x:c r="I370" s="275" t="str">
        <x:v>Sleep staging (5-class: Wake, N1, N2, N3, REM); source/target domain in generalizable sleep staging</x:v>
      </x:c>
      <x:c r="J370" s="275" t="str">
        <x:v>5,793（Visit 1）；2,651 为重复随访 Visit 2，不相加为唯一人数</x:v>
      </x:c>
      <x:c r="K370" s="275" t="str">
        <x:v>2 EEG (C3-A2, C4-A1) + EOG + EMG</x:v>
      </x:c>
      <x:c r="L370" s="275" t="str">
        <x:v>125 Hz</x:v>
      </x:c>
      <x:c r="M370" s="275" t="str">
        <x:v>PSG recordings; paper preprocessed to band-pass 0.3-35 Hz, resampled to 100 Hz, Z-score normalized</x:v>
      </x:c>
      <x:c r="N370" s="275" t="str">
        <x:v>Raw polysomnography + expert annotated sleep stages and respiratory events</x:v>
      </x:c>
      <x:c r="O370" s="275" t="str">
        <x:v>申请：NSRR SHHS (https://sleepdata.org/datasets/shhs)；通过 sleepdata.org 账号申请权限，批准后用网页或 `nsrr download shhs` 下载。</x:v>
      </x:c>
      <x:c r="P370" s="275" t="str">
        <x:v>Quan et al. (1997). The Sleep Heart Health Study: Design, Rationale, and Methods. Sleep.</x:v>
      </x:c>
      <x:c r="Q370" s="275" t="str">
        <x:v>03_Consciousness_and_State/Sleep_Staging/SHHS</x:v>
      </x:c>
      <x:c r="R370" s="275" t="str">
        <x:v>存在公开仓库、官方入口或稳定数据访问号</x:v>
      </x:c>
      <x:c r="S370" s="275"/>
      <x:c r="T370" s="275"/>
      <x:c r="U370" s="276"/>
    </x:row>
    <x:row r="371" ht="60" customHeight="1">
      <x:c r="A371" s="264" t="str">
        <x:v>EEG-0145</x:v>
      </x:c>
      <x:c r="B371" s="257" t="str">
        <x:v>03_Consciousness_and_State</x:v>
      </x:c>
      <x:c r="C371" s="257" t="str">
        <x:v>Sleep_Staging</x:v>
      </x:c>
      <x:c r="D371" s="257" t="str">
        <x:v>SOF</x:v>
      </x:c>
      <x:c r="E371" s="257"/>
      <x:c r="F371" s="257"/>
      <x:c r="G371" s="257" t="str">
        <x:v>DOWNLOAD_PUBLIC</x:v>
      </x:c>
      <x:c r="H371" s="257" t="str">
        <x:v>[NSRR SOF](https://sleepdata.org/datasets/sof)</x:v>
      </x:c>
      <x:c r="I371" s="257" t="str">
        <x:v>sleep stages；sleep-disordered breathing；older-women cohort covariates</x:v>
      </x:c>
      <x:c r="J371" s="257" t="str">
        <x:v>453.0</x:v>
      </x:c>
      <x:c r="K371" s="257" t="str">
        <x:v>1.0</x:v>
      </x:c>
      <x:c r="L371" s="257" t="str">
        <x:v>64.0</x:v>
      </x:c>
      <x:c r="M371" s="257" t="str">
        <x:v>EEG spectrogram, VQGAN tokens</x:v>
      </x:c>
      <x:c r="N371" s="257" t="str">
        <x:v>processed</x:v>
      </x:c>
      <x:c r="O371" s="257" t="str">
        <x:v>申请：NSRR SOF；通过 sleepdata.org 账号申请权限，批准后网页或 `nsrr download sof` 下载。</x:v>
      </x:c>
      <x:c r="P371" s="257" t="str">
        <x:v>Cummings et al. (1990). Appendicular Bone Density and Age Predict Hip Fracture in Women. JAMA, 263(5):665-668.</x:v>
      </x:c>
      <x:c r="Q371" s="257" t="str">
        <x:v>03_Consciousness_and_State/Sleep_Staging/SOF</x:v>
      </x:c>
      <x:c r="R371" s="257" t="str">
        <x:v>存在公开仓库、官方入口或稳定数据访问号</x:v>
      </x:c>
      <x:c r="S371" s="257"/>
      <x:c r="T371" s="257"/>
      <x:c r="U371" s="213"/>
    </x:row>
    <x:row r="372" ht="60" customHeight="1">
      <x:c r="A372" s="274" t="str">
        <x:v>EEG-0148</x:v>
      </x:c>
      <x:c r="B372" s="275" t="str">
        <x:v>03_Consciousness_and_State</x:v>
      </x:c>
      <x:c r="C372" s="275" t="str">
        <x:v>Sleep_Staging</x:v>
      </x:c>
      <x:c r="D372" s="275" t="str">
        <x:v>WSC</x:v>
      </x:c>
      <x:c r="E372" s="275"/>
      <x:c r="F372" s="275"/>
      <x:c r="G372" s="275" t="str">
        <x:v>DOWNLOAD_PUBLIC</x:v>
      </x:c>
      <x:c r="H372" s="275" t="str">
        <x:v>https://sleepdata.org/datasets/wsc</x:v>
      </x:c>
      <x:c r="I372" s="275" t="str">
        <x:v>Sleep EEG synthesis (external test); downstream age/sex/sleep-stage</x:v>
      </x:c>
      <x:c r="J372" s="275" t="str">
        <x:v>1500</x:v>
      </x:c>
      <x:c r="K372" s="275" t="str">
        <x:v>1.0</x:v>
      </x:c>
      <x:c r="L372" s="275" t="str">
        <x:v>100 Hz / 200 Hz</x:v>
      </x:c>
      <x:c r="M372" s="275" t="str">
        <x:v>EEG spectrogram, VQGAN tokens</x:v>
      </x:c>
      <x:c r="N372" s="275" t="str">
        <x:v>Raw polysomnography + expert clinical sleep scoring annotations</x:v>
      </x:c>
      <x:c r="O372" s="275" t="str">
        <x:v>Requires NSRR account and approved research proposal</x:v>
      </x:c>
      <x:c r="P372" s="275" t="str">
        <x:v>Young et al. (1993). The Occurrence of Sleep-Disordered Breathing Among Middle-Aged Adults. New England Journal of Medicine, 328(17):1230-1235.</x:v>
      </x:c>
      <x:c r="Q372" s="275" t="str">
        <x:v>03_Consciousness_and_State/Sleep_Staging/WSC</x:v>
      </x:c>
      <x:c r="R372" s="275" t="str">
        <x:v>存在公开仓库、官方入口或稳定数据访问号</x:v>
      </x:c>
      <x:c r="S372" s="275"/>
      <x:c r="T372" s="275"/>
      <x:c r="U372" s="276"/>
    </x:row>
    <x:row r="373" ht="60" customHeight="1">
      <x:c r="A373" s="264" t="str">
        <x:v>EEG-0164</x:v>
      </x:c>
      <x:c r="B373" s="257" t="str">
        <x:v>04_Cognition_and_Emotion</x:v>
      </x:c>
      <x:c r="C373" s="257" t="str">
        <x:v>Vigilance_Detection</x:v>
      </x:c>
      <x:c r="D373" s="257" t="str">
        <x:v>SEED-VIG</x:v>
      </x:c>
      <x:c r="E373" s="257"/>
      <x:c r="F373" s="257"/>
      <x:c r="G373" s="257" t="str">
        <x:v>DOWNLOAD_APPLICATION_REQUIRED</x:v>
      </x:c>
      <x:c r="H373" s="257" t="str">
        <x:v>https://bcmi.sjtu.edu.cn/home/seed/seed-vig.html</x:v>
      </x:c>
      <x:c r="I373" s="257" t="str">
        <x:v>Vigilance estimation (continuous PERCLOS)</x:v>
      </x:c>
      <x:c r="J373" s="257" t="str">
        <x:v>23</x:v>
      </x:c>
      <x:c r="K373" s="257" t="str">
        <x:v>17 EEG (+forehead)</x:v>
      </x:c>
      <x:c r="L373" s="257" t="str">
        <x:v>1000.0</x:v>
      </x:c>
      <x:c r="M373" s="257" t="str">
        <x:v>MAT</x:v>
      </x:c>
      <x:c r="N373" s="257" t="str">
        <x:v>Processed (segmented; DE &amp; PSD features)</x:v>
      </x:c>
      <x:c r="O373" s="257" t="str">
        <x:v>Free academic use; signed license/application</x:v>
      </x:c>
      <x:c r="P373" s="257" t="str">
        <x:v>A multimodal approach to estimating vigilance using EEG and forehead EOG (SEED-VIG). Zheng &amp; Lu, 2017, Journal of Neural Engineering 14(2):026017.</x:v>
      </x:c>
      <x:c r="Q373" s="257" t="str">
        <x:v>04_Cognition_and_Emotion/Vigilance_Detection/SEED-VIG</x:v>
      </x:c>
      <x:c r="R373" s="257" t="str">
        <x:v>官方数据存在，但需申请、签署协议或获得权限</x:v>
      </x:c>
      <x:c r="S373" s="257"/>
      <x:c r="T373" s="257"/>
      <x:c r="U373" s="213"/>
    </x:row>
    <x:row r="374" ht="60" customHeight="1">
      <x:c r="A374" s="274" t="str">
        <x:v>EEG-0176</x:v>
      </x:c>
      <x:c r="B374" s="275" t="str">
        <x:v>04_Cognition_and_Emotion</x:v>
      </x:c>
      <x:c r="C374" s="275" t="str">
        <x:v>Emotion_Recognition</x:v>
      </x:c>
      <x:c r="D374" s="275" t="str">
        <x:v>EEG-SVRec</x:v>
      </x:c>
      <x:c r="E374" s="275" t="str">
        <x:v>EEG-SvRec</x:v>
      </x:c>
      <x:c r="F374" s="275"/>
      <x:c r="G374" s="275" t="str">
        <x:v>DOWNLOAD_APPLICATION_REQUIRED</x:v>
      </x:c>
      <x:c r="H374" s="275" t="str">
        <x:v>https://huggingface.co/datasets/hezy18/EEG-SVRec/</x:v>
      </x:c>
      <x:c r="I374" s="275" t="str">
        <x:v>Affective engagement/preference during short-video browsing</x:v>
      </x:c>
      <x:c r="J374" s="275" t="str">
        <x:v>30</x:v>
      </x:c>
      <x:c r="K374" s="275" t="str">
        <x:v>62 (64-cap)</x:v>
      </x:c>
      <x:c r="L374" s="275" t="str">
        <x:v>1000 Hz</x:v>
      </x:c>
      <x:c r="M374" s="275" t="str">
        <x:v>Neuroscan (.cnt) + DE (JSON)</x:v>
      </x:c>
      <x:c r="N374" s="275" t="str">
        <x:v>Processed (cleaned + DE features)</x:v>
      </x:c>
      <x:c r="O374" s="275" t="str">
        <x:v>Public on Hugging Face; redistribution of modified copies restricted</x:v>
      </x:c>
      <x:c r="P374" s="275" t="str">
        <x:v>EEG-SVRec: an EEG dataset with user multidimensional affective engagement labels in short video recommendation. Zhang et al., 2024, SIGIR 2024 (arXiv:2404.01008).</x:v>
      </x:c>
      <x:c r="Q374" s="275" t="str">
        <x:v>04_Cognition_and_Emotion/Emotion_Recognition/EEG-SVRec</x:v>
      </x:c>
      <x:c r="R374" s="275" t="str">
        <x:v>官方数据存在，但需申请、签署协议或获得权限</x:v>
      </x:c>
      <x:c r="S374" s="275"/>
      <x:c r="T374" s="275"/>
      <x:c r="U374" s="276"/>
    </x:row>
    <x:row r="375" ht="60" customHeight="1">
      <x:c r="A375" s="264" t="str">
        <x:v>EEG-0180</x:v>
      </x:c>
      <x:c r="B375" s="257" t="str">
        <x:v>04_Cognition_and_Emotion</x:v>
      </x:c>
      <x:c r="C375" s="257" t="str">
        <x:v>Emotion_Recognition</x:v>
      </x:c>
      <x:c r="D375" s="257" t="str">
        <x:v>eNTERFACE 2006 (Emobrain) Dataset</x:v>
      </x:c>
      <x:c r="E375" s="257" t="str">
        <x:v>Emobrain [EEG-0177]</x:v>
      </x:c>
      <x:c r="F375" s="257"/>
      <x:c r="G375" s="257" t="str">
        <x:v>DOWNLOAD_PUBLIC</x:v>
      </x:c>
      <x:c r="H375" s="257" t="str">
        <x:v>https://archive-ouverte.unige.ch/unige:47926 | [eNTERFACE'06 results](http://www.enterface.net/results/)</x:v>
      </x:c>
      <x:c r="I375" s="257" t="str">
        <x:v>Emotion recognition；multimodal emotion recognition; IAPS emotion elicitation</x:v>
      </x:c>
      <x:c r="J375" s="257" t="str">
        <x:v>5</x:v>
      </x:c>
      <x:c r="K375" s="257" t="str">
        <x:v>54 EEG channels</x:v>
      </x:c>
      <x:c r="L375" s="257" t="str">
        <x:v>1024 Hz；参与者1的第一次会话为256 Hz</x:v>
      </x:c>
      <x:c r="M375" s="257" t="str">
        <x:v>Biosemi BDF</x:v>
      </x:c>
      <x:c r="N375" s="257" t="str">
        <x:v>Raw multimodal EEG and fNIRS data</x:v>
      </x:c>
      <x:c r="O375" s="257" t="str">
        <x:v>Requires request to project authors</x:v>
      </x:c>
      <x:c r="P375" s="257" t="str">
        <x:v>Savran et al. 2006；Savran et al. (2006); LaBraM/NeuroLM dataset table</x:v>
      </x:c>
      <x:c r="Q375" s="257" t="str">
        <x:v>04_Cognition_and_Emotion/Emotion_Recognition/eNTERFACE_2006_Emobrain_Dataset</x:v>
      </x:c>
      <x:c r="R375" s="257" t="str">
        <x:v>Canonical five-subject release; EEG-0177 removed as a duplicate after user review on 2026-08-04</x:v>
      </x:c>
      <x:c r="S375" s="257"/>
      <x:c r="T375" s="257"/>
      <x:c r="U375" s="213"/>
    </x:row>
    <x:row r="376" ht="60" customHeight="1">
      <x:c r="A376" s="274" t="str">
        <x:v>EEG-0186</x:v>
      </x:c>
      <x:c r="B376" s="275" t="str">
        <x:v>04_Cognition_and_Emotion</x:v>
      </x:c>
      <x:c r="C376" s="275" t="str">
        <x:v>Emotion_Recognition</x:v>
      </x:c>
      <x:c r="D376" s="275" t="str">
        <x:v>MPED</x:v>
      </x:c>
      <x:c r="E376" s="275"/>
      <x:c r="F376" s="275"/>
      <x:c r="G376" s="275" t="str">
        <x:v>DOWNLOAD_APPLICATION_REQUIRED</x:v>
      </x:c>
      <x:c r="H376" s="275" t="str">
        <x:v>[MPED GitHub](https://github.com/Tengfei000/MPED)</x:v>
      </x:c>
      <x:c r="I376" s="275" t="str">
        <x:v>discrete emotion recognition from EEG + GSR + respiration + ECG</x:v>
      </x:c>
      <x:c r="J376" s="275" t="str">
        <x:v>23</x:v>
      </x:c>
      <x:c r="K376" s="275" t="str">
        <x:v>62 EEG + 3 peripheral channels</x:v>
      </x:c>
      <x:c r="L376" s="275" t="str">
        <x:v>1000 Hz</x:v>
      </x:c>
      <x:c r="M376" s="275" t="str">
        <x:v>MAT (MATLAB); raw signals and precomputed feature sets (HHS, Hjorth, PSD, STFT, HOC)</x:v>
      </x:c>
      <x:c r="N376" s="275" t="str">
        <x:v>Raw and processed EEG + peripheral signals</x:v>
      </x:c>
      <x:c r="O376" s="275" t="str">
        <x:v>Academic use agreement required (via BCMI Lab)</x:v>
      </x:c>
      <x:c r="P376" s="275" t="str">
        <x:v>Song et al. (2019). MPED: A Multi-Modal Physiological Emotion Database for Discrete Emotion Recognition. IEEE Access.</x:v>
      </x:c>
      <x:c r="Q376" s="275" t="str">
        <x:v>04_Cognition_and_Emotion/Emotion_Recognition/MPED</x:v>
      </x:c>
      <x:c r="R376" s="275" t="str">
        <x:v>官方数据存在，但需申请、签署协议或获得权限</x:v>
      </x:c>
      <x:c r="S376" s="275"/>
      <x:c r="T376" s="275"/>
      <x:c r="U376" s="276"/>
    </x:row>
    <x:row r="377" ht="60" customHeight="1">
      <x:c r="A377" s="264" t="str">
        <x:v>EEG-0190</x:v>
      </x:c>
      <x:c r="B377" s="257" t="str">
        <x:v>04_Cognition_and_Emotion</x:v>
      </x:c>
      <x:c r="C377" s="257" t="str">
        <x:v>Emotion_Recognition</x:v>
      </x:c>
      <x:c r="D377" s="257" t="str">
        <x:v>SEED</x:v>
      </x:c>
      <x:c r="E377" s="257"/>
      <x:c r="F377" s="257"/>
      <x:c r="G377" s="257" t="str">
        <x:v>DOWNLOAD_APPLICATION_REQUIRED</x:v>
      </x:c>
      <x:c r="H377" s="257" t="str">
        <x:v>https://bcmi.sjtu.edu.cn/home/seed/seed.html</x:v>
      </x:c>
      <x:c r="I377" s="257" t="str">
        <x:v>Emotion 3-class (pos/neutral/neg)</x:v>
      </x:c>
      <x:c r="J377" s="257" t="str">
        <x:v>15</x:v>
      </x:c>
      <x:c r="K377" s="257" t="str">
        <x:v>62</x:v>
      </x:c>
      <x:c r="L377" s="257" t="str">
        <x:v>Raw CNT 1000 Hz; preprocessed MAT downsampled to 200 Hz</x:v>
      </x:c>
      <x:c r="M377" s="257" t="str">
        <x:v>Neuroscan (.cnt) / MAT</x:v>
      </x:c>
      <x:c r="N377" s="257" t="str">
        <x:v>Both (raw + preprocessed + DE/DASM/RASM)</x:v>
      </x:c>
      <x:c r="O377" s="257" t="str">
        <x:v>Free academic use; signed license/application</x:v>
      </x:c>
      <x:c r="P377" s="257" t="str">
        <x:v>Investigating critical frequency bands and channels for EEG-based emotion recognition with deep neural networks (SEED). Zheng &amp; Lu, 2015, IEEE Transactions on Autonomous Mental Development 7(3):162-175.</x:v>
      </x:c>
      <x:c r="Q377" s="257" t="str">
        <x:v>04_Cognition_and_Emotion/Emotion_Recognition/SEED</x:v>
      </x:c>
      <x:c r="R377" s="257" t="str">
        <x:v>官方数据存在，但需申请、签署协议或获得权限</x:v>
      </x:c>
      <x:c r="S377" s="257"/>
      <x:c r="T377" s="257"/>
      <x:c r="U377" s="213"/>
    </x:row>
    <x:row r="378" ht="60" customHeight="1">
      <x:c r="A378" s="274" t="str">
        <x:v>EEG-0191</x:v>
      </x:c>
      <x:c r="B378" s="275" t="str">
        <x:v>04_Cognition_and_Emotion</x:v>
      </x:c>
      <x:c r="C378" s="275" t="str">
        <x:v>Emotion_Recognition</x:v>
      </x:c>
      <x:c r="D378" s="275" t="str">
        <x:v>SEED-DV</x:v>
      </x:c>
      <x:c r="E378" s="275"/>
      <x:c r="F378" s="275"/>
      <x:c r="G378" s="275" t="str">
        <x:v>DOWNLOAD_APPLICATION_REQUIRED</x:v>
      </x:c>
      <x:c r="H378" s="275" t="str">
        <x:v>https://bcmi.sjtu.edu.cn/home/eeg2video/</x:v>
      </x:c>
      <x:c r="I378" s="275" t="str">
        <x:v>Dynamic visual perception decoding; EEG-to-video reconstruction (40 concepts in 9 classes)</x:v>
      </x:c>
      <x:c r="J378" s="275" t="str">
        <x:v>20</x:v>
      </x:c>
      <x:c r="K378" s="275" t="str">
        <x:v>62 EEG</x:v>
      </x:c>
      <x:c r="L378" s="275" t="str">
        <x:v>Raw 1000 Hz; preprocessed 200 Hz</x:v>
      </x:c>
      <x:c r="M378" s="275" t="str">
        <x:v>CNT raw; preprocessed MAT/features; GIF stimuli</x:v>
      </x:c>
      <x:c r="N378" s="275" t="str">
        <x:v>Raw EEG, preprocessed EEG, video stimuli and annotations</x:v>
      </x:c>
      <x:c r="O378" s="275" t="str">
        <x:v>Apply/download via SJTU BCMI; EEG with video stimuli metadata</x:v>
      </x:c>
      <x:c r="P378" s="275" t="str">
        <x:v>https://bcmi.sjtu.edu.cn/home/eeg2video/</x:v>
      </x:c>
      <x:c r="Q378" s="275" t="str">
        <x:v>04_Cognition_and_Emotion/Emotion_Recognition/SEED-DV</x:v>
      </x:c>
      <x:c r="R378" s="275" t="str">
        <x:v>官方数据存在，但需申请、签署协议或获得权限</x:v>
      </x:c>
      <x:c r="S378" s="275"/>
      <x:c r="T378" s="275"/>
      <x:c r="U378" s="276"/>
    </x:row>
    <x:row r="379" ht="60" customHeight="1">
      <x:c r="A379" s="264" t="str">
        <x:v>EEG-0192</x:v>
      </x:c>
      <x:c r="B379" s="257" t="str">
        <x:v>04_Cognition_and_Emotion</x:v>
      </x:c>
      <x:c r="C379" s="257" t="str">
        <x:v>Emotion_Recognition</x:v>
      </x:c>
      <x:c r="D379" s="257" t="str">
        <x:v>SEED-FRA</x:v>
      </x:c>
      <x:c r="E379" s="257"/>
      <x:c r="F379" s="257"/>
      <x:c r="G379" s="257" t="str">
        <x:v>DOWNLOAD_APPLICATION_REQUIRED</x:v>
      </x:c>
      <x:c r="H379" s="257" t="str">
        <x:v>https://bcmi.sjtu.edu.cn/home/seed/seed-FRA.html</x:v>
      </x:c>
      <x:c r="I379" s="257" t="str">
        <x:v>Emotion 3-class (French film stimuli)</x:v>
      </x:c>
      <x:c r="J379" s="257" t="str">
        <x:v>8</x:v>
      </x:c>
      <x:c r="K379" s="257" t="str">
        <x:v>62</x:v>
      </x:c>
      <x:c r="L379" s="257" t="str">
        <x:v>Raw CNT 1000 Hz</x:v>
      </x:c>
      <x:c r="M379" s="257" t="str">
        <x:v>MAT</x:v>
      </x:c>
      <x:c r="N379" s="257" t="str">
        <x:v>Both (raw + DE; eye features)</x:v>
      </x:c>
      <x:c r="O379" s="257" t="str">
        <x:v>Free academic use; signed license + apply</x:v>
      </x:c>
      <x:c r="P379" s="257" t="str">
        <x:v>Identifying similarities and differences in emotion recognition with EEG and eye movements among Chinese, German, and French people (SEED-FRA). Liu et al., 2022, Journal of Neural Engineering 19(2):026012.</x:v>
      </x:c>
      <x:c r="Q379" s="257" t="str">
        <x:v>04_Cognition_and_Emotion/Emotion_Recognition/SEED-FRA</x:v>
      </x:c>
      <x:c r="R379" s="257" t="str">
        <x:v>官方数据存在，但需申请、签署协议或获得权限</x:v>
      </x:c>
      <x:c r="S379" s="257"/>
      <x:c r="T379" s="257"/>
      <x:c r="U379" s="213"/>
    </x:row>
    <x:row r="380" ht="60" customHeight="1">
      <x:c r="A380" s="274" t="str">
        <x:v>EEG-0193</x:v>
      </x:c>
      <x:c r="B380" s="275" t="str">
        <x:v>04_Cognition_and_Emotion</x:v>
      </x:c>
      <x:c r="C380" s="275" t="str">
        <x:v>Emotion_Recognition</x:v>
      </x:c>
      <x:c r="D380" s="275" t="str">
        <x:v>SEED-GER</x:v>
      </x:c>
      <x:c r="E380" s="275"/>
      <x:c r="F380" s="275"/>
      <x:c r="G380" s="275" t="str">
        <x:v>DOWNLOAD_APPLICATION_REQUIRED</x:v>
      </x:c>
      <x:c r="H380" s="275" t="str">
        <x:v>https://bcmi.sjtu.edu.cn/home/seed/seed-GER.html</x:v>
      </x:c>
      <x:c r="I380" s="275" t="str">
        <x:v>3-class emotion: positive, neutral, negative; EEG + eye movement</x:v>
      </x:c>
      <x:c r="J380" s="275" t="str">
        <x:v>8</x:v>
      </x:c>
      <x:c r="K380" s="275" t="str">
        <x:v>62 EEG</x:v>
      </x:c>
      <x:c r="L380" s="275" t="str">
        <x:v>Raw CNT 1000 Hz</x:v>
      </x:c>
      <x:c r="M380" s="275" t="str">
        <x:v>CNT raw; DE features; eye-tracking Excel/features</x:v>
      </x:c>
      <x:c r="N380" s="275" t="str">
        <x:v>Raw EEG, EEG DE features, eye movement raw/features</x:v>
      </x:c>
      <x:c r="O380" s="275" t="str">
        <x:v>BCMI academic application; download link/password by request.</x:v>
      </x:c>
      <x:c r="P380" s="275" t="str">
        <x:v>Liu et al. (2022); LaBraM/NeuroLM/BrainGPT/EEGPT2 dataset tables</x:v>
      </x:c>
      <x:c r="Q380" s="275" t="str">
        <x:v>04_Cognition_and_Emotion/Emotion_Recognition/SEED-GER</x:v>
      </x:c>
      <x:c r="R380" s="275" t="str">
        <x:v>官方数据存在，但需申请、签署协议或获得权限</x:v>
      </x:c>
      <x:c r="S380" s="275"/>
      <x:c r="T380" s="275"/>
      <x:c r="U380" s="276"/>
    </x:row>
    <x:row r="381" ht="60" customHeight="1">
      <x:c r="A381" s="264" t="str">
        <x:v>EEG-0194</x:v>
      </x:c>
      <x:c r="B381" s="257" t="str">
        <x:v>04_Cognition_and_Emotion</x:v>
      </x:c>
      <x:c r="C381" s="257" t="str">
        <x:v>Emotion_Recognition</x:v>
      </x:c>
      <x:c r="D381" s="257" t="str">
        <x:v>SEED-IV</x:v>
      </x:c>
      <x:c r="E381" s="257"/>
      <x:c r="F381" s="257"/>
      <x:c r="G381" s="257" t="str">
        <x:v>DOWNLOAD_APPLICATION_REQUIRED</x:v>
      </x:c>
      <x:c r="H381" s="257" t="str">
        <x:v>https://bcmi.sjtu.edu.cn/home/seed/seed-iv.html</x:v>
      </x:c>
      <x:c r="I381" s="257" t="str">
        <x:v>Emotion 4-class (happy/sad/fear/neutral)</x:v>
      </x:c>
      <x:c r="J381" s="257" t="str">
        <x:v>15 (7M/8F)</x:v>
      </x:c>
      <x:c r="K381" s="257" t="str">
        <x:v>62</x:v>
      </x:c>
      <x:c r="L381" s="257" t="str">
        <x:v>Raw CNT 1000 Hz(may change);Features downsampled to 200 Hz</x:v>
      </x:c>
      <x:c r="M381" s="257" t="str">
        <x:v>MAT</x:v>
      </x:c>
      <x:c r="N381" s="257" t="str">
        <x:v>Both (raw + preprocessed + DE/PSD)</x:v>
      </x:c>
      <x:c r="O381" s="257" t="str">
        <x:v>Free academic use; signed license + apply</x:v>
      </x:c>
      <x:c r="P381" s="257" t="str">
        <x:v>EmotionMeter: a multimodal framework for recognizing human emotions (SEED-IV). Zheng et al., 2018, IEEE Transactions on Cybernetics 49(3):1110-1122.</x:v>
      </x:c>
      <x:c r="Q381" s="257" t="str">
        <x:v>04_Cognition_and_Emotion/Emotion_Recognition/SEED-IV</x:v>
      </x:c>
      <x:c r="R381" s="257" t="str">
        <x:v>官方数据存在，但需申请、签署协议或获得权限</x:v>
      </x:c>
      <x:c r="S381" s="257"/>
      <x:c r="T381" s="257"/>
      <x:c r="U381" s="213"/>
    </x:row>
    <x:row r="382" ht="60" customHeight="1">
      <x:c r="A382" s="274" t="str">
        <x:v>EEG-0196</x:v>
      </x:c>
      <x:c r="B382" s="275" t="str">
        <x:v>04_Cognition_and_Emotion</x:v>
      </x:c>
      <x:c r="C382" s="275" t="str">
        <x:v>Emotion_Recognition</x:v>
      </x:c>
      <x:c r="D382" s="275" t="str">
        <x:v>SEED-V</x:v>
      </x:c>
      <x:c r="E382" s="275"/>
      <x:c r="F382" s="275"/>
      <x:c r="G382" s="275" t="str">
        <x:v>DOWNLOAD_APPLICATION_REQUIRED</x:v>
      </x:c>
      <x:c r="H382" s="275" t="str">
        <x:v>https://bcmi.sjtu.edu.cn/home/seed/seed-v.html</x:v>
      </x:c>
      <x:c r="I382" s="275" t="str">
        <x:v>Emotion 5-class (happy/sad/fear/disgust/neutral)</x:v>
      </x:c>
      <x:c r="J382" s="275" t="str">
        <x:v>16 (6M/10F)</x:v>
      </x:c>
      <x:c r="K382" s="275" t="str">
        <x:v>62</x:v>
      </x:c>
      <x:c r="L382" s="275" t="str">
        <x:v>1000.0</x:v>
      </x:c>
      <x:c r="M382" s="275" t="str">
        <x:v>MAT</x:v>
      </x:c>
      <x:c r="N382" s="275" t="str">
        <x:v>Both (raw + DE + 33-dim eye features)</x:v>
      </x:c>
      <x:c r="O382" s="275" t="str">
        <x:v>Free academic use; signed license + apply</x:v>
      </x:c>
      <x:c r="P382" s="275" t="str">
        <x:v>A multimodal emotion recognition dataset with five emotions (SEED-V). Liu et al., 2021, IEEE Transactions on Cognitive and Developmental Systems.</x:v>
      </x:c>
      <x:c r="Q382" s="275" t="str">
        <x:v>04_Cognition_and_Emotion/Emotion_Recognition/SEED-V</x:v>
      </x:c>
      <x:c r="R382" s="275" t="str">
        <x:v>官方数据存在，但需申请、签署协议或获得权限</x:v>
      </x:c>
      <x:c r="S382" s="275"/>
      <x:c r="T382" s="275"/>
      <x:c r="U382" s="276"/>
    </x:row>
    <x:row r="383" ht="60" customHeight="1">
      <x:c r="A383" s="264" t="str">
        <x:v>EEG-0197</x:v>
      </x:c>
      <x:c r="B383" s="257" t="str">
        <x:v>04_Cognition_and_Emotion</x:v>
      </x:c>
      <x:c r="C383" s="257" t="str">
        <x:v>Emotion_Recognition</x:v>
      </x:c>
      <x:c r="D383" s="257" t="str">
        <x:v>SEED-VII</x:v>
      </x:c>
      <x:c r="E383" s="257"/>
      <x:c r="F383" s="257"/>
      <x:c r="G383" s="257" t="str">
        <x:v>DOWNLOAD_APPLICATION_REQUIRED</x:v>
      </x:c>
      <x:c r="H383" s="257" t="str">
        <x:v>https://bcmi.sjtu.edu.cn/home/seed/seed-vii.html</x:v>
      </x:c>
      <x:c r="I383" s="257" t="str">
        <x:v>Emotion 7-class (multimodal + intensity)</x:v>
      </x:c>
      <x:c r="J383" s="257" t="str">
        <x:v>20 (10M/10F)</x:v>
      </x:c>
      <x:c r="K383" s="257" t="str">
        <x:v>62</x:v>
      </x:c>
      <x:c r="L383" s="257" t="str">
        <x:v>Raw 1000 Hz; downsampled to 200 Hz for features</x:v>
      </x:c>
      <x:c r="M383" s="257" t="str">
        <x:v>MAT</x:v>
      </x:c>
      <x:c r="N383" s="257" t="str">
        <x:v>Both (raw + preprocessed + DE; eye features)</x:v>
      </x:c>
      <x:c r="O383" s="257" t="str">
        <x:v>Public academic use; signed license + apply</x:v>
      </x:c>
      <x:c r="P383" s="257" t="str">
        <x:v>SEED-VII: a multimodal dataset of six basic emotions with continuous labels for emotion recognition. Jiang et al., 2024, IEEE Transactions on Affective Computing.</x:v>
      </x:c>
      <x:c r="Q383" s="257" t="str">
        <x:v>04_Cognition_and_Emotion/Emotion_Recognition/SEED-VII</x:v>
      </x:c>
      <x:c r="R383" s="257" t="str">
        <x:v>官方数据存在，但需申请、签署协议或获得权限</x:v>
      </x:c>
      <x:c r="S383" s="257"/>
      <x:c r="T383" s="257"/>
      <x:c r="U383" s="213"/>
    </x:row>
    <x:row r="384" ht="60" customHeight="1">
      <x:c r="A384" s="274" t="str">
        <x:v>EEG-0211</x:v>
      </x:c>
      <x:c r="B384" s="275" t="str">
        <x:v>04_Cognition_and_Emotion</x:v>
      </x:c>
      <x:c r="C384" s="275" t="str">
        <x:v>Cognitive_Task_Recognition</x:v>
      </x:c>
      <x:c r="D384" s="275" t="str">
        <x:v>CamCAN EEG</x:v>
      </x:c>
      <x:c r="E384" s="275"/>
      <x:c r="F384" s="275"/>
      <x:c r="G384" s="275" t="str">
        <x:v>DOWNLOAD_PUBLIC</x:v>
      </x:c>
      <x:c r="H384" s="275" t="str">
        <x:v>https://cam-can.mrc-cbu.cam.ac.uk/dataset/</x:v>
      </x:c>
      <x:c r="I384" s="275" t="str">
        <x:v>Cognitive aging research (resting state + task; no standard classification; used for aging/cognition research)</x:v>
      </x:c>
      <x:c r="J384" s="275" t="str">
        <x:v>~700</x:v>
      </x:c>
      <x:c r="K384" s="275" t="str">
        <x:v>306 MEG + 70 EEG (concurrent)</x:v>
      </x:c>
      <x:c r="L384" s="275" t="str">
        <x:v>1000 Hz</x:v>
      </x:c>
      <x:c r="M384" s="275" t="str">
        <x:v>FIF (MNE format)</x:v>
      </x:c>
      <x:c r="N384" s="275" t="str">
        <x:v>Raw</x:v>
      </x:c>
      <x:c r="O384" s="275" t="str">
        <x:v>Free (requires DUA via CamCAN)</x:v>
      </x:c>
      <x:c r="P384" s="275" t="str">
        <x:v>Taylor et al. 2017, NeuroImage</x:v>
      </x:c>
      <x:c r="Q384" s="275" t="str">
        <x:v>04_Cognition_and_Emotion/Cognitive_Task_Recognition/CamCAN_EEG</x:v>
      </x:c>
      <x:c r="R384" s="275" t="str">
        <x:v>存在公开仓库、官方入口或稳定数据访问号</x:v>
      </x:c>
      <x:c r="S384" s="275"/>
      <x:c r="T384" s="275"/>
      <x:c r="U384" s="276"/>
    </x:row>
    <x:row r="385" ht="60" customHeight="1">
      <x:c r="A385" s="264" t="str">
        <x:v>EEG-0217</x:v>
      </x:c>
      <x:c r="B385" s="257" t="str">
        <x:v>04_Cognition_and_Emotion</x:v>
      </x:c>
      <x:c r="C385" s="257" t="str">
        <x:v>Workload_Detection</x:v>
      </x:c>
      <x:c r="D385" s="257" t="str">
        <x:v>da Vinci Surgical Workload EEG Dataset</x:v>
      </x:c>
      <x:c r="E385" s="257"/>
      <x:c r="F385" s="257" t="str">
        <x:v>DOI:10.13026/qj5m-n649</x:v>
      </x:c>
      <x:c r="G385" s="257" t="str">
        <x:v>DOWNLOAD_PUBLIC</x:v>
      </x:c>
      <x:c r="H385" s="257" t="str">
        <x:v>https://doi.org/10.13026/qj5m-n649</x:v>
      </x:c>
      <x:c r="I385" s="257" t="str">
        <x:v>Robot-assisted surgery / cognitive workload performance evaluation</x:v>
      </x:c>
      <x:c r="J385" s="257" t="str">
        <x:v>25</x:v>
      </x:c>
      <x:c r="K385" s="257" t="str">
        <x:v>14 EEG channels + eye-gaze tracking</x:v>
      </x:c>
      <x:c r="L385" s="257" t="str">
        <x:v>128 Hz (EEG) / 50 Hz (Eye-gaze)</x:v>
      </x:c>
      <x:c r="M385" s="257" t="str">
        <x:v>EDF / CSV</x:v>
      </x:c>
      <x:c r="N385" s="257" t="str">
        <x:v>Synchronized raw EEG + eye-gaze tracking coordinates + performance scores</x:v>
      </x:c>
      <x:c r="O385" s="257" t="str">
        <x:v>Open Access (PhysioNet; ODC Attribution License v1.0)</x:v>
      </x:c>
      <x:c r="P385" s="257"/>
      <x:c r="Q385" s="257" t="str">
        <x:v>04_Cognition_and_Emotion/Workload_Detection/da_Vinci_Surgical_Workload_EEG_Dataset</x:v>
      </x:c>
      <x:c r="R385" s="257" t="str">
        <x:v>存在公开仓库、官方入口或稳定数据访问号</x:v>
      </x:c>
      <x:c r="S385" s="257"/>
      <x:c r="T385" s="257"/>
      <x:c r="U385" s="213"/>
    </x:row>
    <x:row r="386" ht="60" customHeight="1">
      <x:c r="A386" s="274" t="str">
        <x:v>EEG-0229</x:v>
      </x:c>
      <x:c r="B386" s="275" t="str">
        <x:v>04_Cognition_and_Emotion</x:v>
      </x:c>
      <x:c r="C386" s="275" t="str">
        <x:v>Cognitive_Task_Recognition</x:v>
      </x:c>
      <x:c r="D386" s="275" t="str">
        <x:v>EPFL P300 dataset</x:v>
      </x:c>
      <x:c r="E386" s="275"/>
      <x:c r="F386" s="275"/>
      <x:c r="G386" s="275" t="str">
        <x:v>DOWNLOAD_PUBLIC</x:v>
      </x:c>
      <x:c r="H386" s="275" t="str">
        <x:v>https://www.epfl.ch/labs/mmspg/research/page-58317-en-html/bci-2/</x:v>
      </x:c>
      <x:c r="I386" s="275" t="str">
        <x:v>6-choice P300 paradigm (attend to 1 of 6 flashing images)</x:v>
      </x:c>
      <x:c r="J386" s="275" t="str">
        <x:v>8</x:v>
      </x:c>
      <x:c r="K386" s="275" t="str">
        <x:v>32 EEG channels</x:v>
      </x:c>
      <x:c r="L386" s="275" t="str">
        <x:v>2048 Hz</x:v>
      </x:c>
      <x:c r="M386" s="275" t="str">
        <x:v>MAT</x:v>
      </x:c>
      <x:c r="N386" s="275" t="str">
        <x:v>Raw EEG with target/non-target flash annotations</x:v>
      </x:c>
      <x:c r="O386" s="275" t="str">
        <x:v>Open Access (EPFL MMSPG; also via BNCI Horizon 2020 / MOABB)</x:v>
      </x:c>
      <x:c r="P386" s="275" t="str">
        <x:v>EPFL (Hoffmann et al.)</x:v>
      </x:c>
      <x:c r="Q386" s="275" t="str">
        <x:v>04_Cognition_and_Emotion/Cognitive_Task_Recognition/EPFL_P300_dataset</x:v>
      </x:c>
      <x:c r="R386" s="275" t="str">
        <x:v>存在公开仓库、官方入口或稳定数据访问号</x:v>
      </x:c>
      <x:c r="S386" s="275"/>
      <x:c r="T386" s="275"/>
      <x:c r="U386" s="276"/>
    </x:row>
    <x:row r="387" ht="60" customHeight="1">
      <x:c r="A387" s="264" t="str">
        <x:v>EEG-0245</x:v>
      </x:c>
      <x:c r="B387" s="257" t="str">
        <x:v>04_Cognition_and_Emotion</x:v>
      </x:c>
      <x:c r="C387" s="257" t="str">
        <x:v>Workload_Detection</x:v>
      </x:c>
      <x:c r="D387" s="257" t="str">
        <x:v>Shin EEG-NIRS (cognitive)</x:v>
      </x:c>
      <x:c r="E387" s="257"/>
      <x:c r="F387" s="257"/>
      <x:c r="G387" s="257" t="str">
        <x:v>DOWNLOAD_PUBLIC</x:v>
      </x:c>
      <x:c r="H387" s="257" t="str">
        <x:v>http://doc.ml.tu-berlin.de/hBCI</x:v>
      </x:c>
      <x:c r="I387" s="257" t="str">
        <x:v>n-back / DSR / word-generation (hybrid EEG-NIRS)</x:v>
      </x:c>
      <x:c r="J387" s="257" t="str">
        <x:v>26</x:v>
      </x:c>
      <x:c r="K387" s="257" t="str">
        <x:v>28 (30 EEG)</x:v>
      </x:c>
      <x:c r="L387" s="257" t="str">
        <x:v>1000 Hz</x:v>
      </x:c>
      <x:c r="M387" s="257" t="str">
        <x:v>BrainVision</x:v>
      </x:c>
      <x:c r="N387" s="257" t="str">
        <x:v>Both (raw + ERP/TF/hemodynamic results)</x:v>
      </x:c>
      <x:c r="O387" s="257" t="str">
        <x:v>Open under GNU GPL; agree to license to download</x:v>
      </x:c>
      <x:c r="P387" s="257" t="str">
        <x:v>Simultaneous acquisition of EEG and NIRS during cognitive tasks for an open access dataset. Shin et al., 2018, Scientific Data 5:180003.</x:v>
      </x:c>
      <x:c r="Q387" s="257" t="str">
        <x:v>04_Cognition_and_Emotion/Workload_Detection/Shin_EEG-NIRS_cognitive</x:v>
      </x:c>
      <x:c r="R387" s="257" t="str">
        <x:v>存在公开仓库、官方入口或稳定数据访问号</x:v>
      </x:c>
      <x:c r="S387" s="257"/>
      <x:c r="T387" s="257"/>
      <x:c r="U387" s="213"/>
    </x:row>
    <x:row r="388" ht="60" customHeight="1">
      <x:c r="A388" s="274" t="str">
        <x:v>EEG-0246</x:v>
      </x:c>
      <x:c r="B388" s="275" t="str">
        <x:v>04_Cognition_and_Emotion</x:v>
      </x:c>
      <x:c r="C388" s="275" t="str">
        <x:v>Workload_Detection</x:v>
      </x:c>
      <x:c r="D388" s="275" t="str">
        <x:v>Shin2017B</x:v>
      </x:c>
      <x:c r="E388" s="275"/>
      <x:c r="F388" s="275"/>
      <x:c r="G388" s="275" t="str">
        <x:v>DOWNLOAD_PUBLIC</x:v>
      </x:c>
      <x:c r="H388" s="275" t="str">
        <x:v>http://doc.ml.tu-berlin.de/hBCI</x:v>
      </x:c>
      <x:c r="I388" s="275" t="str">
        <x:v>Mental Arithmetic (3-digit minus 1-digit subtraction) vs. baseline/rest, 2-class cognitive task</x:v>
      </x:c>
      <x:c r="J388" s="275" t="str">
        <x:v>29</x:v>
      </x:c>
      <x:c r="K388" s="275" t="str">
        <x:v>30</x:v>
      </x:c>
      <x:c r="L388" s="275" t="str">
        <x:v>1000</x:v>
      </x:c>
      <x:c r="M388" s="275" t="str">
        <x:v>MAT</x:v>
      </x:c>
      <x:c r="N388" s="275" t="str">
        <x:v>Processed</x:v>
      </x:c>
      <x:c r="O388" s="275" t="str">
        <x:v>Public, but must agree to GNU GPL v3 license terms before download</x:v>
      </x:c>
      <x:c r="P388" s="275" t="str">
        <x:v>"Shin, J., von Lühmann, A., Blankertz, B., Kim, D.W., Jeong, J., Hwang, H.J. and Müller, K.R., 2017. Open access dataset for EEG+NIRS single-trial classification. IEEE Transactions on Neural Systems and Rehabilitation Engineering, 25(10), pp.1735-1745."</x:v>
      </x:c>
      <x:c r="Q388" s="275" t="str">
        <x:v>04_Cognition_and_Emotion/Workload_Detection/Shin2017B</x:v>
      </x:c>
      <x:c r="R388" s="275" t="str">
        <x:v>存在公开仓库、官方入口或稳定数据访问号</x:v>
      </x:c>
      <x:c r="S388" s="275"/>
      <x:c r="T388" s="275"/>
      <x:c r="U388" s="276"/>
    </x:row>
    <x:row r="389" ht="60" customHeight="1">
      <x:c r="A389" s="264" t="str">
        <x:v>EEG-0259</x:v>
      </x:c>
      <x:c r="B389" s="257" t="str">
        <x:v>04_Cognition_and_Emotion</x:v>
      </x:c>
      <x:c r="C389" s="257" t="str">
        <x:v>ERP_and_Event_Detection</x:v>
      </x:c>
      <x:c r="D389" s="257" t="str">
        <x:v>BI2012-BI2015</x:v>
      </x:c>
      <x:c r="E389" s="257"/>
      <x:c r="F389" s="257" t="str">
        <x:v>Zenodo:2649006</x:v>
      </x:c>
      <x:c r="G389" s="257" t="str">
        <x:v>DOWNLOAD_PUBLIC</x:v>
      </x:c>
      <x:c r="H389" s="257" t="str">
        <x:v>https://zenodo.org/records/2649006</x:v>
      </x:c>
      <x:c r="I389" s="257" t="str">
        <x:v>P300 / ERP</x:v>
      </x:c>
      <x:c r="J389" s="257" t="str">
        <x:v>24-64 (varies by year)</x:v>
      </x:c>
      <x:c r="K389" s="257" t="str">
        <x:v>16 or 32 EEG</x:v>
      </x:c>
      <x:c r="L389" s="257" t="str">
        <x:v>128-512 Hz</x:v>
      </x:c>
      <x:c r="M389" s="257"/>
      <x:c r="N389" s="257" t="str">
        <x:v>Raw</x:v>
      </x:c>
      <x:c r="O389" s="257" t="str">
        <x:v>Open; license not re-verified</x:v>
      </x:c>
      <x:c r="P389" s="257" t="str">
        <x:v>GIPSA-lab CNRS (Congedo)</x:v>
      </x:c>
      <x:c r="Q389" s="257" t="str">
        <x:v>04_Cognition_and_Emotion/ERP_and_Event_Detection/BI2012-BI2015</x:v>
      </x:c>
      <x:c r="R389" s="257" t="str">
        <x:v>存在公开仓库、官方入口或稳定数据访问号</x:v>
      </x:c>
      <x:c r="S389" s="257"/>
      <x:c r="T389" s="257"/>
      <x:c r="U389" s="213"/>
    </x:row>
    <x:row r="390" ht="60" customHeight="1">
      <x:c r="A390" s="274" t="str">
        <x:v>EEG-0262</x:v>
      </x:c>
      <x:c r="B390" s="275" t="str">
        <x:v>04_Cognition_and_Emotion</x:v>
      </x:c>
      <x:c r="C390" s="275" t="str">
        <x:v>ERP_and_Event_Detection</x:v>
      </x:c>
      <x:c r="D390" s="275" t="str">
        <x:v>Cattan2019 VR P300 (Zenodo)</x:v>
      </x:c>
      <x:c r="E390" s="275" t="str">
        <x:v>VR.EEG.2018-GIPSA (Brain Invaders VR 2018) [EEG-0491]</x:v>
      </x:c>
      <x:c r="F390" s="275" t="str">
        <x:v>Zenodo:2605204 | DOI:10.5281/zenodo.2605204</x:v>
      </x:c>
      <x:c r="G390" s="275" t="str">
        <x:v>DOWNLOAD_PUBLIC</x:v>
      </x:c>
      <x:c r="H390" s="275" t="str">
        <x:v>https://zenodo.org/records/2605204 | https://doi.org/10.5281/zenodo.2605204</x:v>
      </x:c>
      <x:c r="I390" s="275" t="str">
        <x:v>P300 / ERP (VR)；Visual P300 BCI (Brain Invaders; PC vs Virtual Reality comparison)</x:v>
      </x:c>
      <x:c r="J390" s="275" t="str">
        <x:v>21</x:v>
      </x:c>
      <x:c r="K390" s="275" t="str">
        <x:v>16 EEG</x:v>
      </x:c>
      <x:c r="L390" s="275" t="str">
        <x:v>512 Hz</x:v>
      </x:c>
      <x:c r="M390" s="275"/>
      <x:c r="N390" s="275" t="str">
        <x:v>Raw</x:v>
      </x:c>
      <x:c r="O390" s="275" t="str">
        <x:v>Open; license not re-verified</x:v>
      </x:c>
      <x:c r="P390" s="275" t="str">
        <x:v>GIPSA-lab；Cattan et al. 2019</x:v>
      </x:c>
      <x:c r="Q390" s="275" t="str">
        <x:v>04_Cognition_and_Emotion/ERP_and_Event_Detection/Cattan2019_VR_P300_Zenodo</x:v>
      </x:c>
      <x:c r="R390" s="275" t="str">
        <x:v>存在公开仓库、官方入口或稳定数据访问号；2026-08-04去重：EEG-0491并入EEG-0262（Zenodo record 2605204）</x:v>
      </x:c>
      <x:c r="S390" s="275"/>
      <x:c r="T390" s="275"/>
      <x:c r="U390" s="276"/>
    </x:row>
    <x:row r="391" ht="60" customHeight="1">
      <x:c r="A391" s="264" t="str">
        <x:v>EEG-0267</x:v>
      </x:c>
      <x:c r="B391" s="257" t="str">
        <x:v>04_Cognition_and_Emotion</x:v>
      </x:c>
      <x:c r="C391" s="257" t="str">
        <x:v>ERP_and_Event_Detection</x:v>
      </x:c>
      <x:c r="D391" s="257" t="str">
        <x:v>ERP Core</x:v>
      </x:c>
      <x:c r="E391" s="257" t="str">
        <x:v>ErpCore2021_N170; ERP CORE N170</x:v>
      </x:c>
      <x:c r="F391" s="257"/>
      <x:c r="G391" s="257" t="str">
        <x:v>DOWNLOAD_APPLICATION_REQUIRED</x:v>
      </x:c>
      <x:c r="H391" s="257" t="str">
        <x:v>https://osf.io/thsqg/</x:v>
      </x:c>
      <x:c r="I391" s="257" t="str">
        <x:v>ERP Component Detection — 7 paradigms (MMN / N170 / N2pc / N400 / P3 / LRP / ERN)</x:v>
      </x:c>
      <x:c r="J391" s="257" t="str">
        <x:v>40</x:v>
      </x:c>
      <x:c r="K391" s="257" t="str">
        <x:v>30 EEG + 6 EOG/EMG</x:v>
      </x:c>
      <x:c r="L391" s="257" t="str">
        <x:v>1024 Hz</x:v>
      </x:c>
      <x:c r="M391" s="257" t="str">
        <x:v>BrainVision (.vhdr/.vmrk/.eeg; EEG-BIDS)</x:v>
      </x:c>
      <x:c r="N391" s="257" t="str">
        <x:v>Raw + processed</x:v>
      </x:c>
      <x:c r="O391" s="257" t="str">
        <x:v>Open, CC-BY 4.0 / CC BY-SA 4.0, no application</x:v>
      </x:c>
      <x:c r="P391" s="257" t="str">
        <x:v>Kappenman, Luck et al. 2021, UC Davis</x:v>
      </x:c>
      <x:c r="Q391" s="257" t="str">
        <x:v>04_Cognition_and_Emotion/ERP_and_Event_Detection/ERP_Core</x:v>
      </x:c>
      <x:c r="R391" s="257" t="str">
        <x:v>官方数据存在，但需申请、签署协议或获得权限</x:v>
      </x:c>
      <x:c r="S391" s="257"/>
      <x:c r="T391" s="257"/>
      <x:c r="U391" s="213"/>
    </x:row>
    <x:row r="392" ht="60" customHeight="1">
      <x:c r="A392" s="274" t="str">
        <x:v>EEG-0285</x:v>
      </x:c>
      <x:c r="B392" s="275" t="str">
        <x:v>04_Cognition_and_Emotion</x:v>
      </x:c>
      <x:c r="C392" s="275" t="str">
        <x:v>ERP_and_Event_Detection</x:v>
      </x:c>
      <x:c r="D392" s="275" t="str">
        <x:v>Target-vs-NonTarget</x:v>
      </x:c>
      <x:c r="E392" s="275"/>
      <x:c r="F392" s="275" t="str">
        <x:v>Zenodo:3268762</x:v>
      </x:c>
      <x:c r="G392" s="275" t="str">
        <x:v>DOWNLOAD_PUBLIC</x:v>
      </x:c>
      <x:c r="H392" s="275" t="str">
        <x:v>[BI2015b](https://zenodo.org/records/3268762)</x:v>
      </x:c>
      <x:c r="I392" s="275" t="str">
        <x:v>P300 target vs non-target classification</x:v>
      </x:c>
      <x:c r="J392" s="275" t="str">
        <x:v>50</x:v>
      </x:c>
      <x:c r="K392" s="275" t="str">
        <x:v>32</x:v>
      </x:c>
      <x:c r="L392" s="275" t="str">
        <x:v>512Hz</x:v>
      </x:c>
      <x:c r="M392" s="275" t="str">
        <x:v>MOABB-supported / 原始格式</x:v>
      </x:c>
      <x:c r="N392" s="275" t="str">
        <x:v>raw / 原始发布数据</x:v>
      </x:c>
      <x:c r="O392" s="275" t="str">
        <x:v>公开下载：对应 Brain Invaders / TVNT 数据在 Zenodo，例如 BI2015b (https://zenodo.org/records/3268762)；也可通过 MOABB 相关 dataset object 自动拉取。</x:v>
      </x:c>
      <x:c r="P392" s="275" t="str">
        <x:v>未给出</x:v>
      </x:c>
      <x:c r="Q392" s="275" t="str">
        <x:v>04_Cognition_and_Emotion/ERP_and_Event_Detection/Target-vs-NonTarget</x:v>
      </x:c>
      <x:c r="R392" s="275" t="str">
        <x:v>存在公开仓库、官方入口或稳定数据访问号</x:v>
      </x:c>
      <x:c r="S392" s="275"/>
      <x:c r="T392" s="275"/>
      <x:c r="U392" s="276"/>
    </x:row>
    <x:row r="393" ht="60" customHeight="1">
      <x:c r="A393" s="264" t="str">
        <x:v>EEG-0292</x:v>
      </x:c>
      <x:c r="B393" s="257" t="str">
        <x:v>05_Naturalistic_Stimulus_Decoding</x:v>
      </x:c>
      <x:c r="C393" s="257" t="str">
        <x:v>Language_and_Reading</x:v>
      </x:c>
      <x:c r="D393" s="257" t="str">
        <x:v>Brain Treebank</x:v>
      </x:c>
      <x:c r="E393" s="257"/>
      <x:c r="F393" s="257"/>
      <x:c r="G393" s="257" t="str">
        <x:v>DOWNLOAD_PUBLIC</x:v>
      </x:c>
      <x:c r="H393" s="257" t="str">
        <x:v>[Brain Treebank](https://braintreebank.dev/)</x:v>
      </x:c>
      <x:c r="I393" s="257" t="str">
        <x:v>naturalistic language/movie iEEG; sentence onset, speech/non-speech, pitch, volume decoding</x:v>
      </x:c>
      <x:c r="J393" s="257" t="str">
        <x:v>10</x:v>
      </x:c>
      <x:c r="K393" s="257" t="str">
        <x:v>~168 electrodes/subj avg</x:v>
      </x:c>
      <x:c r="L393" s="257" t="str">
        <x:v>2048Hz</x:v>
      </x:c>
      <x:c r="M393" s="257" t="str">
        <x:v>H5 / ZIP</x:v>
      </x:c>
      <x:c r="N393" s="257" t="str">
        <x:v>raw iEEG + annotations/features</x:v>
      </x:c>
      <x:c r="O393" s="257" t="str">
        <x:v>Public download; ~130GB zipped; CC BY 4.0.</x:v>
      </x:c>
      <x:c r="P393" s="257" t="str">
        <x:v>Wang et al. (2023, BrainBERT); Wang et al. (2024, Brain Treebank)</x:v>
      </x:c>
      <x:c r="Q393" s="257" t="str">
        <x:v>05_Naturalistic_Stimulus_Decoding/Language_and_Reading/Brain_Treebank</x:v>
      </x:c>
      <x:c r="R393" s="257" t="str">
        <x:v>存在公开仓库、官方入口或稳定数据访问号</x:v>
      </x:c>
      <x:c r="S393" s="257"/>
      <x:c r="T393" s="257"/>
      <x:c r="U393" s="213"/>
    </x:row>
    <x:row r="394" ht="60" customHeight="1">
      <x:c r="A394" s="274" t="str">
        <x:v>EEG-0302</x:v>
      </x:c>
      <x:c r="B394" s="275" t="str">
        <x:v>05_Naturalistic_Stimulus_Decoding</x:v>
      </x:c>
      <x:c r="C394" s="275" t="str">
        <x:v>Language_and_Reading</x:v>
      </x:c>
      <x:c r="D394" s="275" t="str">
        <x:v>Kymata-SOTO Language Dataset</x:v>
      </x:c>
      <x:c r="E394" s="275"/>
      <x:c r="F394" s="275"/>
      <x:c r="G394" s="275" t="str">
        <x:v>DOWNLOAD_PUBLIC</x:v>
      </x:c>
      <x:c r="H394" s="275" t="str">
        <x:v>[Cambridge Repository Kymata-SOTO](https://www.repository.cam.ac.uk/items/7f3929d0-c2e7-4553-b0e5-f12ac702b4f3)</x:v>
      </x:c>
      <x:c r="I394" s="275" t="str">
        <x:v>natural conversational speech listening; EEG/MEG language processing</x:v>
      </x:c>
      <x:c r="J394" s="275" t="str">
        <x:v>35</x:v>
      </x:c>
      <x:c r="K394" s="275" t="str">
        <x:v>EEG + MEG; EEG channel count not stated in brief</x:v>
      </x:c>
      <x:c r="L394" s="275" t="str">
        <x:v>未给出 in brief</x:v>
      </x:c>
      <x:c r="M394" s="275" t="str">
        <x:v>raw EEG/MEG release</x:v>
      </x:c>
      <x:c r="N394" s="275" t="str">
        <x:v>raw</x:v>
      </x:c>
      <x:c r="O394" s="275" t="str">
        <x:v>Cambridge repository public record; license/terms on repository page</x:v>
      </x:c>
      <x:c r="P394" s="275" t="str">
        <x:v>Yang et al. (2026), Scientific Data; BrainOmni (2025/2026)</x:v>
      </x:c>
      <x:c r="Q394" s="275" t="str">
        <x:v>05_Naturalistic_Stimulus_Decoding/Language_and_Reading/Kymata-SOTO_Language_Dataset</x:v>
      </x:c>
      <x:c r="R394" s="275" t="str">
        <x:v>存在公开仓库、官方入口或稳定数据访问号</x:v>
      </x:c>
      <x:c r="S394" s="275"/>
      <x:c r="T394" s="275"/>
      <x:c r="U394" s="276"/>
    </x:row>
    <x:row r="395" ht="60" customHeight="1">
      <x:c r="A395" s="264" t="str">
        <x:v>EEG-0311</x:v>
      </x:c>
      <x:c r="B395" s="257" t="str">
        <x:v>05_Naturalistic_Stimulus_Decoding</x:v>
      </x:c>
      <x:c r="C395" s="257" t="str">
        <x:v>Language_and_Reading</x:v>
      </x:c>
      <x:c r="D395" s="257" t="str">
        <x:v>ZuCo</x:v>
      </x:c>
      <x:c r="E395" s="257"/>
      <x:c r="F395" s="257"/>
      <x:c r="G395" s="257" t="str">
        <x:v>DOWNLOAD_PUBLIC</x:v>
      </x:c>
      <x:c r="H395" s="257" t="str">
        <x:v>https://osf.io/q3zws/</x:v>
      </x:c>
      <x:c r="I395" s="257" t="str">
        <x:v>Natural sentence reading (EEG + eye-tracking)</x:v>
      </x:c>
      <x:c r="J395" s="257" t="str">
        <x:v>12 (ZuCo 1.0) + 18 (ZuCo 2.0)</x:v>
      </x:c>
      <x:c r="K395" s="257" t="str">
        <x:v>128</x:v>
      </x:c>
      <x:c r="L395" s="257" t="str">
        <x:v>500 Hz</x:v>
      </x:c>
      <x:c r="M395" s="257" t="str">
        <x:v>MAT</x:v>
      </x:c>
      <x:c r="N395" s="257" t="str">
        <x:v>Both (raw + Automagic-preprocessed + features)</x:v>
      </x:c>
      <x:c r="O395" s="257" t="str">
        <x:v>Open (OSF q3zws), CC-BY 4.0</x:v>
      </x:c>
      <x:c r="P395" s="257" t="str">
        <x:v>ZuCo, a simultaneous EEG and eye-tracking resource for natural sentence reading. Hollenstein et al., 2018, Scientific Data 5:180291.</x:v>
      </x:c>
      <x:c r="Q395" s="257" t="str">
        <x:v>05_Naturalistic_Stimulus_Decoding/Language_and_Reading/ZuCo</x:v>
      </x:c>
      <x:c r="R395" s="257" t="str">
        <x:v>存在公开仓库、官方入口或稳定数据访问号</x:v>
      </x:c>
      <x:c r="S395" s="257"/>
      <x:c r="T395" s="257"/>
      <x:c r="U395" s="213"/>
    </x:row>
    <x:row r="396" ht="60" customHeight="1">
      <x:c r="A396" s="274" t="str">
        <x:v>EEG-0325</x:v>
      </x:c>
      <x:c r="B396" s="275" t="str">
        <x:v>05_Naturalistic_Stimulus_Decoding</x:v>
      </x:c>
      <x:c r="C396" s="275" t="str">
        <x:v>Visual_Perception</x:v>
      </x:c>
      <x:c r="D396" s="275" t="str">
        <x:v>CineBrain</x:v>
      </x:c>
      <x:c r="E396" s="275"/>
      <x:c r="F396" s="275"/>
      <x:c r="G396" s="275" t="str">
        <x:v>DOWNLOAD_PUBLIC</x:v>
      </x:c>
      <x:c r="H396" s="275" t="str">
        <x:v>https://huggingface.co/datasets/Fudan-fMRI/CineBrain</x:v>
      </x:c>
      <x:c r="I396" s="275" t="str">
        <x:v>audiovisual brain-conditioned video generation / continuous video reconstruction</x:v>
      </x:c>
      <x:c r="J396" s="275" t="str">
        <x:v>6</x:v>
      </x:c>
      <x:c r="K396" s="275" t="str">
        <x:v>64</x:v>
      </x:c>
      <x:c r="L396" s="275" t="str">
        <x:v>1000 Hz</x:v>
      </x:c>
      <x:c r="M396" s="275" t="str">
        <x:v>.mff</x:v>
      </x:c>
      <x:c r="N396" s="275" t="str">
        <x:v>Both</x:v>
      </x:c>
      <x:c r="O396" s="275" t="str">
        <x:v>License</x:v>
      </x:c>
      <x:c r="P396" s="275" t="str">
        <x:v>arXiv:2503.06940 / CVPR 2026</x:v>
      </x:c>
      <x:c r="Q396" s="275" t="str">
        <x:v>05_Naturalistic_Stimulus_Decoding/Visual_Perception/CineBrain</x:v>
      </x:c>
      <x:c r="R396" s="275" t="str">
        <x:v>存在公开仓库、官方入口或稳定数据访问号</x:v>
      </x:c>
      <x:c r="S396" s="275"/>
      <x:c r="T396" s="275"/>
      <x:c r="U396" s="276"/>
    </x:row>
    <x:row r="397" ht="60" customHeight="1">
      <x:c r="A397" s="264" t="str">
        <x:v>EEG-0328</x:v>
      </x:c>
      <x:c r="B397" s="257" t="str">
        <x:v>05_Naturalistic_Stimulus_Decoding</x:v>
      </x:c>
      <x:c r="C397" s="257" t="str">
        <x:v>Visual_Perception</x:v>
      </x:c>
      <x:c r="D397" s="257" t="str">
        <x:v>EEG-3D</x:v>
      </x:c>
      <x:c r="E397" s="257"/>
      <x:c r="F397" s="257"/>
      <x:c r="G397" s="257" t="str">
        <x:v>DOWNLOAD_PUBLIC</x:v>
      </x:c>
      <x:c r="H397" s="257" t="str">
        <x:v>https://huggingface.co/datasets/guozq21/neuro-3D</x:v>
      </x:c>
      <x:c r="I397" s="257" t="str">
        <x:v>3D visual decoding from EEG (colored 3D point cloud reconstruction); 3D visual classification: object classification (72 categories) and color-type classification (6 categories); 3D object reconstruction benchmark (N-way top-K, Chamfer Distance, F1)</x:v>
      </x:c>
      <x:c r="J397" s="257" t="str">
        <x:v>12.0</x:v>
      </x:c>
      <x:c r="K397" s="257" t="str">
        <x:v>64.0</x:v>
      </x:c>
      <x:c r="L397" s="257" t="str">
        <x:v>1000.0</x:v>
      </x:c>
      <x:c r="M397" s="257" t="str">
        <x:v>NumPy .npy (per-subject processed arrays, e.g. process_data_1s_250Hz.npy and process_data_6s_100Hz.npy); hosted on HuggingFace (guozq21/neuro-3D)</x:v>
      </x:c>
      <x:c r="N397" s="257" t="str">
        <x:v>Processed Data</x:v>
      </x:c>
      <x:c r="O397" s="257" t="str">
        <x:v>Fully open</x:v>
      </x:c>
      <x:c r="P397" s="257" t="str">
        <x:v>Guo et al. (2025). Neuro-3D: Towards 3D Visual Decoding from EEG Signals. CVPR 2025.</x:v>
      </x:c>
      <x:c r="Q397" s="257" t="str">
        <x:v>05_Naturalistic_Stimulus_Decoding/Visual_Perception/EEG-3D</x:v>
      </x:c>
      <x:c r="R397" s="257" t="str">
        <x:v>存在公开仓库、官方入口或稳定数据访问号</x:v>
      </x:c>
      <x:c r="S397" s="257"/>
      <x:c r="T397" s="257"/>
      <x:c r="U397" s="213"/>
    </x:row>
    <x:row r="398" ht="60" customHeight="1">
      <x:c r="A398" s="274" t="str">
        <x:v>EEG-0329</x:v>
      </x:c>
      <x:c r="B398" s="275" t="str">
        <x:v>05_Naturalistic_Stimulus_Decoding</x:v>
      </x:c>
      <x:c r="C398" s="275" t="str">
        <x:v>Visual_Perception</x:v>
      </x:c>
      <x:c r="D398" s="275" t="str">
        <x:v>EEG-ImageNet</x:v>
      </x:c>
      <x:c r="E398" s="275"/>
      <x:c r="F398" s="275"/>
      <x:c r="G398" s="275" t="str">
        <x:v>DOWNLOAD_PUBLIC</x:v>
      </x:c>
      <x:c r="H398" s="275" t="str">
        <x:v>https://tinyurl.com/eeg-visual-classification</x:v>
      </x:c>
      <x:c r="I398" s="275" t="str">
        <x:v>ImageNet visual object classification；multi-granularity labels；image reconstruction benchmark</x:v>
      </x:c>
      <x:c r="J398" s="275" t="str">
        <x:v>8.0</x:v>
      </x:c>
      <x:c r="K398" s="275" t="str">
        <x:v>62.0</x:v>
      </x:c>
      <x:c r="L398" s="275" t="str">
        <x:v>1000.0</x:v>
      </x:c>
      <x:c r="M398" s="275" t="str">
        <x:v>.pth (PyTorch tensor files; EEG-ImageNet_1.pth + EEG-ImageNet_2.pth)</x:v>
      </x:c>
      <x:c r="N398" s="275" t="str">
        <x:v>Processed Data</x:v>
      </x:c>
      <x:c r="O398" s="275" t="str">
        <x:v>公开下载：official GitHub (https://github.com/Promise-Z5Q2SQ/EEG-ImageNet-Dataset)；仓库 README 提供 cloud storage 数据包链接。</x:v>
      </x:c>
      <x:c r="P398" s="275" t="str">
        <x:v>Shuqi Zhu et al. (2024). EEG-ImageNet: An Electroencephalogram Dataset and Benchmarks with Image Visual Stimuli of Multi-Granularity Labels. arXiv:2406.07151</x:v>
      </x:c>
      <x:c r="Q398" s="275" t="str">
        <x:v>05_Naturalistic_Stimulus_Decoding/Visual_Perception/EEG-ImageNet</x:v>
      </x:c>
      <x:c r="R398" s="275" t="str">
        <x:v>存在公开仓库、官方入口或稳定数据访问号</x:v>
      </x:c>
      <x:c r="S398" s="275"/>
      <x:c r="T398" s="275"/>
      <x:c r="U398" s="276"/>
    </x:row>
    <x:row r="399" ht="60" customHeight="1">
      <x:c r="A399" s="264" t="str">
        <x:v>EEG-0331</x:v>
      </x:c>
      <x:c r="B399" s="257" t="str">
        <x:v>05_Naturalistic_Stimulus_Decoding</x:v>
      </x:c>
      <x:c r="C399" s="257" t="str">
        <x:v>Visual_Perception</x:v>
      </x:c>
      <x:c r="D399" s="257" t="str">
        <x:v>EgoBrain</x:v>
      </x:c>
      <x:c r="E399" s="257"/>
      <x:c r="F399" s="257"/>
      <x:c r="G399" s="257" t="str">
        <x:v>DOWNLOAD_APPLICATION_REQUIRED</x:v>
      </x:c>
      <x:c r="H399" s="257" t="str">
        <x:v>https://huggingface.co/datasets/ut-vision/EgoBrain</x:v>
      </x:c>
      <x:c r="I399" s="257" t="str">
        <x:v>Multimodal (EEG + egocentric video) human action understanding / action recognition (29 daily-activity categories)</x:v>
      </x:c>
      <x:c r="J399" s="257" t="str">
        <x:v>40.0</x:v>
      </x:c>
      <x:c r="K399" s="257" t="str">
        <x:v>32.0</x:v>
      </x:c>
      <x:c r="L399" s="257" t="str">
        <x:v>256.0</x:v>
      </x:c>
      <x:c r="M399" s="257" t="str">
        <x:v>raw EDF converted to HDF5</x:v>
      </x:c>
      <x:c r="N399" s="257" t="str">
        <x:v>both</x:v>
      </x:c>
      <x:c r="O399" s="257" t="str">
        <x:v>Need apply</x:v>
      </x:c>
      <x:c r="P399" s="257" t="str">
        <x:v>Nie Lin et al. (2025). EgoBrain: Synergizing Minds and Eyes For Human Action Understanding. arXiv:2506.01353</x:v>
      </x:c>
      <x:c r="Q399" s="257" t="str">
        <x:v>05_Naturalistic_Stimulus_Decoding/Visual_Perception/EgoBrain</x:v>
      </x:c>
      <x:c r="R399" s="257" t="str">
        <x:v>官方数据存在，但需申请、签署协议或获得权限</x:v>
      </x:c>
      <x:c r="S399" s="257"/>
      <x:c r="T399" s="257"/>
      <x:c r="U399" s="213"/>
    </x:row>
    <x:row r="400" ht="60" customHeight="1">
      <x:c r="A400" s="274" t="str">
        <x:v>EEG-0338</x:v>
      </x:c>
      <x:c r="B400" s="275" t="str">
        <x:v>05_Naturalistic_Stimulus_Decoding</x:v>
      </x:c>
      <x:c r="C400" s="275" t="str">
        <x:v>Visual_Perception</x:v>
      </x:c>
      <x:c r="D400" s="275" t="str">
        <x:v>THINGS-EEG2</x:v>
      </x:c>
      <x:c r="E400" s="275"/>
      <x:c r="F400" s="275"/>
      <x:c r="G400" s="275" t="str">
        <x:v>DOWNLOAD_PUBLIC</x:v>
      </x:c>
      <x:c r="H400" s="275" t="str">
        <x:v>https://osf.io/3jk45/ (preproc: https://osf.io/3eayd/)</x:v>
      </x:c>
      <x:c r="I400" s="275" t="str">
        <x:v>Rapid serial visual object recognition (THINGS images)</x:v>
      </x:c>
      <x:c r="J400" s="275" t="str">
        <x:v>10</x:v>
      </x:c>
      <x:c r="K400" s="275" t="str">
        <x:v>64 (63 usable)</x:v>
      </x:c>
      <x:c r="L400" s="275" t="str">
        <x:v>1000 Hz</x:v>
      </x:c>
      <x:c r="M400" s="275" t="str">
        <x:v>BrainVision (raw) / NumPy (preproc)</x:v>
      </x:c>
      <x:c r="N400" s="275" t="str">
        <x:v>Both</x:v>
      </x:c>
      <x:c r="O400" s="275" t="str">
        <x:v>Free on OSF</x:v>
      </x:c>
      <x:c r="P400" s="275" t="str">
        <x:v>A large and rich EEG dataset for modeling human visual object recognition (THINGS-EEG2). Gifford et al., 2022, NeuroImage 264:119754.</x:v>
      </x:c>
      <x:c r="Q400" s="275" t="str">
        <x:v>05_Naturalistic_Stimulus_Decoding/Visual_Perception/THINGS-EEG2</x:v>
      </x:c>
      <x:c r="R400" s="275" t="str">
        <x:v>存在公开仓库、官方入口或稳定数据访问号</x:v>
      </x:c>
      <x:c r="S400" s="275"/>
      <x:c r="T400" s="275"/>
      <x:c r="U400" s="276"/>
    </x:row>
    <x:row r="401" ht="60" customHeight="1">
      <x:c r="A401" s="264" t="str">
        <x:v>EEG-0346</x:v>
      </x:c>
      <x:c r="B401" s="257" t="str">
        <x:v>05_Naturalistic_Stimulus_Decoding</x:v>
      </x:c>
      <x:c r="C401" s="257" t="str">
        <x:v>Multisensory_Perception</x:v>
      </x:c>
      <x:c r="D401" s="257" t="str">
        <x:v>NATVIEW (EEG-fMRI)</x:v>
      </x:c>
      <x:c r="E401" s="257" t="str">
        <x:v>Telesford (2023) [EEG-0347]</x:v>
      </x:c>
      <x:c r="F401" s="257"/>
      <x:c r="G401" s="257" t="str">
        <x:v>DOWNLOAD_PUBLIC</x:v>
      </x:c>
      <x:c r="H401" s="257" t="str">
        <x:v>http://fcon_1000.projects.nitrc.org/indi/eeg_fmri_nat_view.html | https://fcon_1000.projects.nitrc.org/indi/retro/nat_view.html</x:v>
      </x:c>
      <x:c r="I401" s="257" t="str">
        <x:v>Naturalistic movie viewing (simultaneous EEG-fMRI)；Visual: Movie, rest, Inscapes, checkerboard</x:v>
      </x:c>
      <x:c r="J401" s="257" t="str">
        <x:v>22</x:v>
      </x:c>
      <x:c r="K401" s="257" t="str">
        <x:v>64 (61 EEG +EOG/ECG)</x:v>
      </x:c>
      <x:c r="L401" s="257" t="str">
        <x:v>5000 Hz</x:v>
      </x:c>
      <x:c r="M401" s="257" t="str">
        <x:v>EEGLAB</x:v>
      </x:c>
      <x:c r="N401" s="257" t="str">
        <x:v>Both (raw + preprocessed, BIDS)</x:v>
      </x:c>
      <x:c r="O401" s="257" t="str">
        <x:v>Open (FCP/INDI, AWS S3), CC BY 4.0</x:v>
      </x:c>
      <x:c r="P401" s="257" t="str">
        <x:v>An open-access dataset of naturalistic viewing using simultaneous EEG-fMRI. Telesford et al., 2023, Scientific Data 10:554.；Q. K. Telesford et al., “An open-access dataset of naturalistic viewing using simultaneous EEG-fMRI,” Sci. Data, vol. 10, no. 1, p. 554, 2023.</x:v>
      </x:c>
      <x:c r="Q401" s="257" t="str">
        <x:v>05_Naturalistic_Stimulus_Decoding/Multisensory_Perception/NATVIEW_EEG-fMRI</x:v>
      </x:c>
      <x:c r="R401" s="257" t="str">
        <x:v>存在公开仓库、官方入口或稳定数据访问号；2026-08-04去重：EEG-0347并入EEG-0346（NATVIEW/NITRC official project identity）</x:v>
      </x:c>
      <x:c r="S401" s="257"/>
      <x:c r="T401" s="257"/>
      <x:c r="U401" s="213"/>
    </x:row>
    <x:row r="402" ht="60" customHeight="1">
      <x:c r="A402" s="274" t="str">
        <x:v>EEG-0349</x:v>
      </x:c>
      <x:c r="B402" s="275" t="str">
        <x:v>06_Motor_and_Interaction</x:v>
      </x:c>
      <x:c r="C402" s="275" t="str">
        <x:v>Motor_Imagery_and_Execution</x:v>
      </x:c>
      <x:c r="D402" s="275" t="str">
        <x:v>AlexMI</x:v>
      </x:c>
      <x:c r="E402" s="275"/>
      <x:c r="F402" s="275"/>
      <x:c r="G402" s="275" t="str">
        <x:v>DOWNLOAD_PUBLIC</x:v>
      </x:c>
      <x:c r="H402" s="275" t="str">
        <x:v>[MOABB AlexMI](https://moabb.neurotechx.com/docs/generated/moabb.datasets.AlexMI.html)</x:v>
      </x:c>
      <x:c r="I402" s="275" t="str">
        <x:v>motor imagery: right hand, feet, rest</x:v>
      </x:c>
      <x:c r="J402" s="275" t="str">
        <x:v>8</x:v>
      </x:c>
      <x:c r="K402" s="275" t="str">
        <x:v>16</x:v>
      </x:c>
      <x:c r="L402" s="275" t="str">
        <x:v>512Hz</x:v>
      </x:c>
      <x:c r="M402" s="275" t="str">
        <x:v>MNE raw / MOABB</x:v>
      </x:c>
      <x:c r="N402" s="275" t="str">
        <x:v>raw</x:v>
      </x:c>
      <x:c r="O402" s="275" t="str">
        <x:v>MOABB auto-download; original Barachant PhD dataset.</x:v>
      </x:c>
      <x:c r="P402" s="275" t="str">
        <x:v>Barachant; MIRepNet; Liu et al. (2026), EEG Foundation Models Tables VIII-XIV</x:v>
      </x:c>
      <x:c r="Q402" s="275" t="str">
        <x:v>06_Motor_and_Interaction/Motor_Imagery_and_Execution/AlexMI</x:v>
      </x:c>
      <x:c r="R402" s="275" t="str">
        <x:v>存在公开仓库、官方入口或稳定数据访问号</x:v>
      </x:c>
      <x:c r="S402" s="275"/>
      <x:c r="T402" s="275"/>
      <x:c r="U402" s="276"/>
    </x:row>
    <x:row r="403" ht="60" customHeight="1">
      <x:c r="A403" s="264" t="str">
        <x:v>EEG-0350</x:v>
      </x:c>
      <x:c r="B403" s="257" t="str">
        <x:v>06_Motor_and_Interaction</x:v>
      </x:c>
      <x:c r="C403" s="257" t="str">
        <x:v>Motor_Imagery_and_Execution</x:v>
      </x:c>
      <x:c r="D403" s="257" t="str">
        <x:v>AlexMI (Zenodo)</x:v>
      </x:c>
      <x:c r="E403" s="257"/>
      <x:c r="F403" s="257" t="str">
        <x:v>Zenodo:806023</x:v>
      </x:c>
      <x:c r="G403" s="257" t="str">
        <x:v>DOWNLOAD_APPLICATION_REQUIRED</x:v>
      </x:c>
      <x:c r="H403" s="257" t="str">
        <x:v>https://zenodo.org/records/806023</x:v>
      </x:c>
      <x:c r="I403" s="257" t="str">
        <x:v>Motor Imagery (right hand, feet, rest)</x:v>
      </x:c>
      <x:c r="J403" s="257" t="str">
        <x:v>8</x:v>
      </x:c>
      <x:c r="K403" s="257" t="str">
        <x:v>16 EEG</x:v>
      </x:c>
      <x:c r="L403" s="257" t="str">
        <x:v>512 Hz</x:v>
      </x:c>
      <x:c r="M403" s="257"/>
      <x:c r="N403" s="257" t="str">
        <x:v>Raw</x:v>
      </x:c>
      <x:c r="O403" s="257" t="str">
        <x:v>Open; CC BY-SA 4.0; no application</x:v>
      </x:c>
      <x:c r="P403" s="257" t="str">
        <x:v>Barachant, Univ. Grenoble</x:v>
      </x:c>
      <x:c r="Q403" s="257" t="str">
        <x:v>06_Motor_and_Interaction/Motor_Imagery_and_Execution/AlexMI_Zenodo</x:v>
      </x:c>
      <x:c r="R403" s="257" t="str">
        <x:v>官方数据存在，但需申请、签署协议或获得权限</x:v>
      </x:c>
      <x:c r="S403" s="257"/>
      <x:c r="T403" s="257"/>
      <x:c r="U403" s="213"/>
    </x:row>
    <x:row r="404" ht="60" customHeight="1">
      <x:c r="A404" s="274" t="str">
        <x:v>EEG-0351</x:v>
      </x:c>
      <x:c r="B404" s="275" t="str">
        <x:v>06_Motor_and_Interaction</x:v>
      </x:c>
      <x:c r="C404" s="275" t="str">
        <x:v>Motor_Imagery_and_Execution</x:v>
      </x:c>
      <x:c r="D404" s="275" t="str">
        <x:v>BCI Competition III Dataset IIIa</x:v>
      </x:c>
      <x:c r="E404" s="275"/>
      <x:c r="F404" s="275"/>
      <x:c r="G404" s="275" t="str">
        <x:v>DOWNLOAD_PUBLIC</x:v>
      </x:c>
      <x:c r="H404" s="275" t="str">
        <x:v>https://www.bbci.de/competition/iii/</x:v>
      </x:c>
      <x:c r="I404" s="275" t="str">
        <x:v>Motor imagery</x:v>
      </x:c>
      <x:c r="J404" s="275" t="str">
        <x:v>3</x:v>
      </x:c>
      <x:c r="K404" s="275" t="str">
        <x:v>60 EEG</x:v>
      </x:c>
      <x:c r="L404" s="275" t="str">
        <x:v>250 Hz commonly reported</x:v>
      </x:c>
      <x:c r="M404" s="275" t="str">
        <x:v>GDF/MAT</x:v>
      </x:c>
      <x:c r="N404" s="275" t="str">
        <x:v>Raw EEG</x:v>
      </x:c>
      <x:c r="O404" s="275" t="str">
        <x:v>Open competition data</x:v>
      </x:c>
      <x:c r="P404" s="275" t="str">
        <x:v>Blankertz et al. 2006</x:v>
      </x:c>
      <x:c r="Q404" s="275" t="str">
        <x:v>06_Motor_and_Interaction/Motor_Imagery_and_Execution/BCI_Competition_III_Dataset_IIIa</x:v>
      </x:c>
      <x:c r="R404" s="275" t="str">
        <x:v>存在公开仓库、官方入口或稳定数据访问号</x:v>
      </x:c>
      <x:c r="S404" s="275"/>
      <x:c r="T404" s="275"/>
      <x:c r="U404" s="276"/>
    </x:row>
    <x:row r="405" ht="60" customHeight="1">
      <x:c r="A405" s="264" t="str">
        <x:v>EEG-0352</x:v>
      </x:c>
      <x:c r="B405" s="257" t="str">
        <x:v>06_Motor_and_Interaction</x:v>
      </x:c>
      <x:c r="C405" s="257" t="str">
        <x:v>Motor_Imagery_and_Execution</x:v>
      </x:c>
      <x:c r="D405" s="257" t="str">
        <x:v>BCI Competition III Dataset IVa</x:v>
      </x:c>
      <x:c r="E405" s="257"/>
      <x:c r="F405" s="257"/>
      <x:c r="G405" s="257" t="str">
        <x:v>DOWNLOAD_PUBLIC</x:v>
      </x:c>
      <x:c r="H405" s="257" t="str">
        <x:v>https://www.bbci.de/competition/iii/</x:v>
      </x:c>
      <x:c r="I405" s="257" t="str">
        <x:v>Motor imagery</x:v>
      </x:c>
      <x:c r="J405" s="257" t="str">
        <x:v>5</x:v>
      </x:c>
      <x:c r="K405" s="257" t="str">
        <x:v>118 EEG</x:v>
      </x:c>
      <x:c r="L405" s="257" t="str">
        <x:v>100 Hz commonly reported</x:v>
      </x:c>
      <x:c r="M405" s="257" t="str">
        <x:v>MAT</x:v>
      </x:c>
      <x:c r="N405" s="257" t="str">
        <x:v>Raw EEG</x:v>
      </x:c>
      <x:c r="O405" s="257" t="str">
        <x:v>Open competition data</x:v>
      </x:c>
      <x:c r="P405" s="257" t="str">
        <x:v>Blankertz et al. 2006</x:v>
      </x:c>
      <x:c r="Q405" s="257" t="str">
        <x:v>06_Motor_and_Interaction/Motor_Imagery_and_Execution/BCI_Competition_III_Dataset_IVa</x:v>
      </x:c>
      <x:c r="R405" s="257" t="str">
        <x:v>存在公开仓库、官方入口或稳定数据访问号</x:v>
      </x:c>
      <x:c r="S405" s="257"/>
      <x:c r="T405" s="257"/>
      <x:c r="U405" s="213"/>
    </x:row>
    <x:row r="406" ht="60" customHeight="1">
      <x:c r="A406" s="274" t="str">
        <x:v>EEG-0354</x:v>
      </x:c>
      <x:c r="B406" s="275" t="str">
        <x:v>06_Motor_and_Interaction</x:v>
      </x:c>
      <x:c r="C406" s="275" t="str">
        <x:v>Motor_Imagery_and_Execution</x:v>
      </x:c>
      <x:c r="D406" s="275" t="str">
        <x:v>BCI Competition IV-1</x:v>
      </x:c>
      <x:c r="E406" s="275" t="str">
        <x:v>BCI Competition IV Data set 1</x:v>
      </x:c>
      <x:c r="F406" s="275"/>
      <x:c r="G406" s="275" t="str">
        <x:v>DOWNLOAD_PUBLIC</x:v>
      </x:c>
      <x:c r="H406" s="275" t="str">
        <x:v>https://www.bbci.de/competition/iv/desc_1.html</x:v>
      </x:c>
      <x:c r="I406" s="275" t="str">
        <x:v>Motor imagery (2 of left/right/foot) + continuous eval</x:v>
      </x:c>
      <x:c r="J406" s="275" t="str">
        <x:v>7 (4 real + 3 artificial)</x:v>
      </x:c>
      <x:c r="K406" s="275" t="str">
        <x:v>59</x:v>
      </x:c>
      <x:c r="L406" s="275" t="str">
        <x:v>1000 Hz (also 100)</x:v>
      </x:c>
      <x:c r="M406" s="275" t="str">
        <x:v>ASCII / MAT</x:v>
      </x:c>
      <x:c r="N406" s="275" t="str">
        <x:v>Raw (BP 0.05-200 Hz)</x:v>
      </x:c>
      <x:c r="O406" s="275" t="str">
        <x:v>Free for academic use</x:v>
      </x:c>
      <x:c r="P406" s="275" t="str">
        <x:v>The non-invasive Berlin brain-computer interface: fast acquisition of effective performance in untrained subjects (BCI Competition IV-1). Blankertz et al., 2007, NeuroImage 37(2):539-550.</x:v>
      </x:c>
      <x:c r="Q406" s="275" t="str">
        <x:v>06_Motor_and_Interaction/Motor_Imagery_and_Execution/BCI_Competition_IV-1</x:v>
      </x:c>
      <x:c r="R406" s="275" t="str">
        <x:v>存在公开仓库、官方入口或稳定数据访问号</x:v>
      </x:c>
      <x:c r="S406" s="275"/>
      <x:c r="T406" s="275"/>
      <x:c r="U406" s="276"/>
    </x:row>
    <x:row r="407" ht="60" customHeight="1">
      <x:c r="A407" s="264" t="str">
        <x:v>EEG-0356</x:v>
      </x:c>
      <x:c r="B407" s="257" t="str">
        <x:v>06_Motor_and_Interaction</x:v>
      </x:c>
      <x:c r="C407" s="257" t="str">
        <x:v>Motor_Imagery_and_Execution</x:v>
      </x:c>
      <x:c r="D407" s="257" t="str">
        <x:v>BCIC-Upperlimb</x:v>
      </x:c>
      <x:c r="E407" s="257"/>
      <x:c r="F407" s="257"/>
      <x:c r="G407" s="257" t="str">
        <x:v>DOWNLOAD_PUBLIC</x:v>
      </x:c>
      <x:c r="H407" s="257" t="str">
        <x:v>https://moabb.neurotechx.com/docs/generated/moabb.datasets.BCIComp2020UpperLimb.html</x:v>
      </x:c>
      <x:c r="I407" s="257" t="str">
        <x:v>3-class upper-limb motor imagery: cylindrical, spherical, lumbrical grasp</x:v>
      </x:c>
      <x:c r="J407" s="257" t="str">
        <x:v>15</x:v>
      </x:c>
      <x:c r="K407" s="257" t="str">
        <x:v>60</x:v>
      </x:c>
      <x:c r="L407" s="257" t="str">
        <x:v>250 Hz</x:v>
      </x:c>
      <x:c r="M407" s="257" t="str">
        <x:v>MAT / MOABB</x:v>
      </x:c>
      <x:c r="N407" s="257" t="str">
        <x:v>raw / MOABB-prepared</x:v>
      </x:c>
      <x:c r="O407" s="257" t="str">
        <x:v>MOABB auto-download; BCI Competition 2020 Track 4; CC BY 4.0.</x:v>
      </x:c>
      <x:c r="P407" s="257" t="str">
        <x:v>Jeong et al. / BCI Competition 2020; ELASTIQ; Liu et al. (2026), EEG Foundation Models Tables VIII-XIV</x:v>
      </x:c>
      <x:c r="Q407" s="257" t="str">
        <x:v>06_Motor_and_Interaction/Motor_Imagery_and_Execution/BCIC-Upperlimb</x:v>
      </x:c>
      <x:c r="R407" s="257" t="str">
        <x:v>存在公开仓库、官方入口或稳定数据访问号</x:v>
      </x:c>
      <x:c r="S407" s="257"/>
      <x:c r="T407" s="257"/>
      <x:c r="U407" s="213"/>
    </x:row>
    <x:row r="408" ht="60" customHeight="1">
      <x:c r="A408" s="274" t="str">
        <x:v>EEG-0366</x:v>
      </x:c>
      <x:c r="B408" s="275" t="str">
        <x:v>06_Motor_and_Interaction</x:v>
      </x:c>
      <x:c r="C408" s="275" t="str">
        <x:v>Motor_Imagery_and_Execution</x:v>
      </x:c>
      <x:c r="D408" s="275" t="str">
        <x:v>BNCI2003_004 (BCI Competition II)</x:v>
      </x:c>
      <x:c r="E408" s="275"/>
      <x:c r="F408" s="275"/>
      <x:c r="G408" s="275" t="str">
        <x:v>DOWNLOAD_APPLICATION_REQUIRED</x:v>
      </x:c>
      <x:c r="H408" s="275" t="str">
        <x:v>https://moabb.neurotechx.com/docs/generated/moabb.datasets.BNCI2003_004.html</x:v>
      </x:c>
      <x:c r="I408" s="275" t="str">
        <x:v>Motor Imagery (right hand, feet)</x:v>
      </x:c>
      <x:c r="J408" s="275" t="str">
        <x:v>5</x:v>
      </x:c>
      <x:c r="K408" s="275" t="str">
        <x:v>118</x:v>
      </x:c>
      <x:c r="L408" s="275" t="str">
        <x:v>100 Hz</x:v>
      </x:c>
      <x:c r="M408" s="275" t="str">
        <x:v>MOABB-supported / 原始格式</x:v>
      </x:c>
      <x:c r="N408" s="275" t="str">
        <x:v>raw / 原始发布数据</x:v>
      </x:c>
      <x:c r="O408" s="275" t="str">
        <x:v>Open, CC BY 4.0, no application</x:v>
      </x:c>
      <x:c r="P408" s="275" t="str">
        <x:v>Klaus-Robert Müller, Fraunhofer FIRST</x:v>
      </x:c>
      <x:c r="Q408" s="275" t="str">
        <x:v>06_Motor_and_Interaction/Motor_Imagery_and_Execution/BNCI2003_004_BCI_Competition_II</x:v>
      </x:c>
      <x:c r="R408" s="275" t="str">
        <x:v>官方数据存在，但需申请、签署协议或获得权限</x:v>
      </x:c>
      <x:c r="S408" s="275"/>
      <x:c r="T408" s="275"/>
      <x:c r="U408" s="276"/>
    </x:row>
    <x:row r="409" ht="60" customHeight="1">
      <x:c r="A409" s="264" t="str">
        <x:v>EEG-0369</x:v>
      </x:c>
      <x:c r="B409" s="257" t="str">
        <x:v>06_Motor_and_Interaction</x:v>
      </x:c>
      <x:c r="C409" s="257" t="str">
        <x:v>Motor_Imagery_and_Execution</x:v>
      </x:c>
      <x:c r="D409" s="257" t="str">
        <x:v>BNCI 001-2019 (Attempted arm movement)</x:v>
      </x:c>
      <x:c r="E409" s="257" t="str">
        <x:v>BNCI 001-2019 (Attempted arm [EEG-0496]</x:v>
      </x:c>
      <x:c r="F409" s="257" t="str">
        <x:v>BNCI:BNCI 001-2019</x:v>
      </x:c>
      <x:c r="G409" s="257" t="str">
        <x:v>DOWNLOAD_PUBLIC</x:v>
      </x:c>
      <x:c r="H409" s="257" t="str">
        <x:v>[BNCI Horizon Data sets](https://bnci-horizon-2020.eu/database/data-sets) | http://bnci-horizon-2020.eu/database/data-sets</x:v>
      </x:c>
      <x:c r="I409" s="257" t="str">
        <x:v>5-class motor imagery；Decoding 5 attempted hand movements vs rest in SCI</x:v>
      </x:c>
      <x:c r="J409" s="257" t="str">
        <x:v>10</x:v>
      </x:c>
      <x:c r="K409" s="257" t="str">
        <x:v>61</x:v>
      </x:c>
      <x:c r="L409" s="257" t="str">
        <x:v>256Hz</x:v>
      </x:c>
      <x:c r="M409" s="257" t="str">
        <x:v>MOABB-supported / 原始格式</x:v>
      </x:c>
      <x:c r="N409" s="257" t="str">
        <x:v>未给出</x:v>
      </x:c>
      <x:c r="O409" s="257" t="str">
        <x:v>public BNCI; CC-BY-4.0</x:v>
      </x:c>
      <x:c r="P409" s="257" t="str">
        <x:v>未给出；Ofner/Müller-Putz, TU Graz</x:v>
      </x:c>
      <x:c r="Q409" s="257" t="str">
        <x:v>06_Motor_and_Interaction/Motor_Imagery_and_Execution/BNCI_001-2019_Attempted_Arm_Movement</x:v>
      </x:c>
      <x:c r="R409" s="257" t="str">
        <x:v>存在公开仓库、官方入口或稳定数据访问号；2026-08-04去重：EEG-0496并入EEG-0369（BNCI 001-2019 / BNCI2019_001）</x:v>
      </x:c>
      <x:c r="S409" s="257"/>
      <x:c r="T409" s="257"/>
      <x:c r="U409" s="213"/>
    </x:row>
    <x:row r="410" ht="60" customHeight="1">
      <x:c r="A410" s="274" t="str">
        <x:v>EEG-0371</x:v>
      </x:c>
      <x:c r="B410" s="275" t="str">
        <x:v>06_Motor_and_Interaction</x:v>
      </x:c>
      <x:c r="C410" s="275" t="str">
        <x:v>Motor_Imagery_and_Execution</x:v>
      </x:c>
      <x:c r="D410" s="275" t="str">
        <x:v>BNCI2022_001 (Difficulty level)</x:v>
      </x:c>
      <x:c r="E410" s="275" t="str">
        <x:v>BNCI 001-2022 (EEG correlates of difficulty level) [EEG-0526]</x:v>
      </x:c>
      <x:c r="F410" s="275" t="str">
        <x:v>BNCI:BNCI 001-2022</x:v>
      </x:c>
      <x:c r="G410" s="275" t="str">
        <x:v>DOWNLOAD_PUBLIC</x:v>
      </x:c>
      <x:c r="H410" s="275" t="str">
        <x:v>https://moabb.neurotechx.com/docs/generated/moabb.datasets.BNCI2022_001.html | http://bnci-horizon-2020.eu/database/data-sets</x:v>
      </x:c>
      <x:c r="I410" s="275" t="str">
        <x:v>Motor Imagery / Cognitive Difficulty；Drone joystick piloting in simulation under varying difficulty levels</x:v>
      </x:c>
      <x:c r="J410" s="275" t="str">
        <x:v>13</x:v>
      </x:c>
      <x:c r="K410" s="275" t="str">
        <x:v>64</x:v>
      </x:c>
      <x:c r="L410" s="275" t="str">
        <x:v>256 Hz</x:v>
      </x:c>
      <x:c r="M410" s="275"/>
      <x:c r="N410" s="275" t="str">
        <x:v>Raw</x:v>
      </x:c>
      <x:c r="O410" s="275" t="str">
        <x:v>Open, CC BY 4.0, no application</x:v>
      </x:c>
      <x:c r="P410" s="275" t="str">
        <x:v>José del R. Millán, EPFL；Jao et al. 2021</x:v>
      </x:c>
      <x:c r="Q410" s="275" t="str">
        <x:v>06_Motor_and_Interaction/Motor_Imagery_and_Execution/BNCI2022_001_Difficulty_level</x:v>
      </x:c>
      <x:c r="R410" s="275" t="str">
        <x:v>官方数据存在，但需申请、签署协议或获得权限；2026-08-04去重：EEG-0526并入EEG-0371（BNCI 001-2022 / BNCI2022_001）</x:v>
      </x:c>
      <x:c r="S410" s="275"/>
      <x:c r="T410" s="275"/>
      <x:c r="U410" s="276"/>
    </x:row>
    <x:row r="411" ht="60" customHeight="1">
      <x:c r="A411" s="264" t="str">
        <x:v>EEG-0372</x:v>
      </x:c>
      <x:c r="B411" s="257" t="str">
        <x:v>06_Motor_and_Interaction</x:v>
      </x:c>
      <x:c r="C411" s="257" t="str">
        <x:v>Motor_Imagery_and_Execution</x:v>
      </x:c>
      <x:c r="D411" s="257" t="str">
        <x:v>BNCI2024_001 (Handwritten characters)</x:v>
      </x:c>
      <x:c r="E411" s="257" t="str">
        <x:v>BNCI 001-2024 (Handwritten character classification through continuous kinematic decoding) [EEG-0527]</x:v>
      </x:c>
      <x:c r="F411" s="257" t="str">
        <x:v>BNCI:BNCI 001-2024</x:v>
      </x:c>
      <x:c r="G411" s="257" t="str">
        <x:v>DOWNLOAD_PUBLIC</x:v>
      </x:c>
      <x:c r="H411" s="257" t="str">
        <x:v>https://moabb.neurotechx.com/docs/generated/moabb.datasets.BNCI2024_001.html | http://bnci-horizon-2020.eu/database/data-sets</x:v>
      </x:c>
      <x:c r="I411" s="257" t="str">
        <x:v>Motor Imagery / Kinematic Decoding (handwriting)；Writing 10 handwritten letters with right index finger</x:v>
      </x:c>
      <x:c r="J411" s="257" t="str">
        <x:v>20</x:v>
      </x:c>
      <x:c r="K411" s="257" t="str">
        <x:v>60</x:v>
      </x:c>
      <x:c r="L411" s="257" t="str">
        <x:v>500 Hz</x:v>
      </x:c>
      <x:c r="M411" s="257"/>
      <x:c r="N411" s="257" t="str">
        <x:v>Raw</x:v>
      </x:c>
      <x:c r="O411" s="257" t="str">
        <x:v>Open, CC BY 4.0, no application</x:v>
      </x:c>
      <x:c r="P411" s="257" t="str">
        <x:v>Gernot Müller-Putz, Graz Univ. of Technology；Crell &amp; Müller-Putz 2024</x:v>
      </x:c>
      <x:c r="Q411" s="257" t="str">
        <x:v>06_Motor_and_Interaction/Motor_Imagery_and_Execution/BNCI2024_001_Handwritten_characters</x:v>
      </x:c>
      <x:c r="R411" s="257" t="str">
        <x:v>官方数据存在，但需申请、签署协议或获得权限；2026-08-04去重：EEG-0527并入EEG-0372（BNCI 001-2024 / BNCI2024_001）</x:v>
      </x:c>
      <x:c r="S411" s="257"/>
      <x:c r="T411" s="257"/>
      <x:c r="U411" s="213"/>
    </x:row>
    <x:row r="412" ht="60" customHeight="1">
      <x:c r="A412" s="274" t="str">
        <x:v>EEG-0373</x:v>
      </x:c>
      <x:c r="B412" s="275" t="str">
        <x:v>06_Motor_and_Interaction</x:v>
      </x:c>
      <x:c r="C412" s="275" t="str">
        <x:v>Motor_Imagery_and_Execution</x:v>
      </x:c>
      <x:c r="D412" s="275" t="str">
        <x:v>BNCI2025_001 (Motor Kinematics Reaching)</x:v>
      </x:c>
      <x:c r="E412" s="275" t="str">
        <x:v>BNCI 001-2025 (Simultaneous encoding of speed, distance, and direction in discrete reaching) [EEG-0528]</x:v>
      </x:c>
      <x:c r="F412" s="275" t="str">
        <x:v>BNCI:BNCI 001-2025</x:v>
      </x:c>
      <x:c r="G412" s="275" t="str">
        <x:v>DOWNLOAD_PUBLIC</x:v>
      </x:c>
      <x:c r="H412" s="275" t="str">
        <x:v>https://moabb.neurotechx.com/docs/generated/moabb.datasets.BNCI2025_001.html | http://bnci-horizon-2020.eu/database/data-sets</x:v>
      </x:c>
      <x:c r="I412" s="275" t="str">
        <x:v>Motor Execution (center-out reaching)；Discrete hand reaching in 4 directions with varying speed and distance</x:v>
      </x:c>
      <x:c r="J412" s="275" t="str">
        <x:v>20</x:v>
      </x:c>
      <x:c r="K412" s="275" t="str">
        <x:v>67</x:v>
      </x:c>
      <x:c r="L412" s="275" t="str">
        <x:v>500 Hz</x:v>
      </x:c>
      <x:c r="M412" s="275"/>
      <x:c r="N412" s="275" t="str">
        <x:v>Raw</x:v>
      </x:c>
      <x:c r="O412" s="275" t="str">
        <x:v>Open, CC BY 4.0, no application</x:v>
      </x:c>
      <x:c r="P412" s="275" t="str">
        <x:v>Gernot Müller-Putz, Graz；Srisrisawang &amp; Müller-Putz 2024</x:v>
      </x:c>
      <x:c r="Q412" s="275" t="str">
        <x:v>06_Motor_and_Interaction/Motor_Imagery_and_Execution/BNCI2025_001_Motor_Kinematics_Reaching</x:v>
      </x:c>
      <x:c r="R412" s="275" t="str">
        <x:v>官方数据存在，但需申请、签署协议或获得权限；2026-08-04去重：EEG-0528并入EEG-0373（BNCI 001-2025 / BNCI2025_001）</x:v>
      </x:c>
      <x:c r="S412" s="275"/>
      <x:c r="T412" s="275"/>
      <x:c r="U412" s="276"/>
    </x:row>
    <x:row r="413" ht="60" customHeight="1">
      <x:c r="A413" s="264" t="str">
        <x:v>EEG-0374</x:v>
      </x:c>
      <x:c r="B413" s="257" t="str">
        <x:v>06_Motor_and_Interaction</x:v>
      </x:c>
      <x:c r="C413" s="257" t="str">
        <x:v>Motor_Imagery_and_Execution</x:v>
      </x:c>
      <x:c r="D413" s="257" t="str">
        <x:v>BNCI2025_002 (Continuous 2D Trajectory)</x:v>
      </x:c>
      <x:c r="E413" s="257" t="str">
        <x:v>BNCI 002-2025 (Continuous 2D trajectory decoding from attempted movement) [EEG-0529]</x:v>
      </x:c>
      <x:c r="F413" s="257" t="str">
        <x:v>BNCI:BNCI 002-2025</x:v>
      </x:c>
      <x:c r="G413" s="257" t="str">
        <x:v>DOWNLOAD_PUBLIC</x:v>
      </x:c>
      <x:c r="H413" s="257" t="str">
        <x:v>https://moabb.neurotechx.com/docs/generated/moabb.datasets.BNCI2025_002.html | http://bnci-horizon-2020.eu/database/data-sets</x:v>
      </x:c>
      <x:c r="I413" s="257" t="str">
        <x:v>Motor Imagery (continuous 2D trajectory)；Continuous 2D trajectory tracking of attempted hand movements</x:v>
      </x:c>
      <x:c r="J413" s="257" t="str">
        <x:v>10</x:v>
      </x:c>
      <x:c r="K413" s="257" t="str">
        <x:v>60</x:v>
      </x:c>
      <x:c r="L413" s="257" t="str">
        <x:v>200 Hz</x:v>
      </x:c>
      <x:c r="M413" s="257"/>
      <x:c r="N413" s="257" t="str">
        <x:v>Raw</x:v>
      </x:c>
      <x:c r="O413" s="257" t="str">
        <x:v>Open, CC BY 4.0, no application</x:v>
      </x:c>
      <x:c r="P413" s="257" t="str">
        <x:v>Gernot Müller-Putz, Graz；Pulferer et al. 2022</x:v>
      </x:c>
      <x:c r="Q413" s="257" t="str">
        <x:v>06_Motor_and_Interaction/Motor_Imagery_and_Execution/BNCI2025_002_Continuous_2D_Trajectory</x:v>
      </x:c>
      <x:c r="R413" s="257" t="str">
        <x:v>官方数据存在，但需申请、签署协议或获得权限；2026-08-04去重：EEG-0529并入EEG-0374（BNCI 002-2025 / BNCI2025_002）</x:v>
      </x:c>
      <x:c r="S413" s="257"/>
      <x:c r="T413" s="257"/>
      <x:c r="U413" s="213"/>
    </x:row>
    <x:row r="414" ht="60" customHeight="1">
      <x:c r="A414" s="274" t="str">
        <x:v>EEG-0375</x:v>
      </x:c>
      <x:c r="B414" s="275" t="str">
        <x:v>06_Motor_and_Interaction</x:v>
      </x:c>
      <x:c r="C414" s="275" t="str">
        <x:v>Motor_Imagery_and_Execution</x:v>
      </x:c>
      <x:c r="D414" s="275" t="str">
        <x:v>Brandl (2020)</x:v>
      </x:c>
      <x:c r="E414" s="275"/>
      <x:c r="F414" s="275"/>
      <x:c r="G414" s="275" t="str">
        <x:v>DOWNLOAD_APPLICATION_REQUIRED</x:v>
      </x:c>
      <x:c r="H414" s="275" t="str">
        <x:v>https://depositonce.tu-berlin.de/handle/11303/10934.2</x:v>
      </x:c>
      <x:c r="I414" s="275" t="str">
        <x:v>MI 2-class (left/right hand) under 6 distraction conditions</x:v>
      </x:c>
      <x:c r="J414" s="275" t="str">
        <x:v>16</x:v>
      </x:c>
      <x:c r="K414" s="275" t="str">
        <x:v>63</x:v>
      </x:c>
      <x:c r="L414" s="275" t="str">
        <x:v>1000</x:v>
      </x:c>
      <x:c r="M414" s="275" t="str">
        <x:v>MAT (MATLAB v7.3 / HDF5)</x:v>
      </x:c>
      <x:c r="N414" s="275" t="str">
        <x:v>Raw (BBCI/MATLAB format)</x:v>
      </x:c>
      <x:c r="O414" s="275" t="str">
        <x:v>Open access on DepositOnce, no application needed</x:v>
      </x:c>
      <x:c r="P414" s="275" t="str">
        <x:v>S. Brandl et al., “Motor imagery under distraction—an open access BCI dataset,” Front. Neurosci., vol. 14, p. 566147, 2020.</x:v>
      </x:c>
      <x:c r="Q414" s="275" t="str">
        <x:v>06_Motor_and_Interaction/Motor_Imagery_and_Execution/Brandl_2020</x:v>
      </x:c>
      <x:c r="R414" s="275" t="str">
        <x:v>官方数据存在，但需申请、签署协议或获得权限</x:v>
      </x:c>
      <x:c r="S414" s="275"/>
      <x:c r="T414" s="275"/>
      <x:c r="U414" s="276"/>
    </x:row>
    <x:row r="415" ht="60" customHeight="1">
      <x:c r="A415" s="264" t="str">
        <x:v>EEG-0381</x:v>
      </x:c>
      <x:c r="B415" s="257" t="str">
        <x:v>06_Motor_and_Interaction</x:v>
      </x:c>
      <x:c r="C415" s="257" t="str">
        <x:v>Motor_Imagery_and_Execution</x:v>
      </x:c>
      <x:c r="D415" s="257" t="str">
        <x:v>DriverDistraction</x:v>
      </x:c>
      <x:c r="E415" s="257"/>
      <x:c r="F415" s="257"/>
      <x:c r="G415" s="257" t="str">
        <x:v>DOWNLOAD_PUBLIC</x:v>
      </x:c>
      <x:c r="H415" s="257" t="str">
        <x:v>https://moabb.neurotechx.com/docs/generated/moabb.datasets.Brandl2020.html</x:v>
      </x:c>
      <x:c r="I415" s="257" t="str">
        <x:v>driver distraction / motor imagery under distraction; EEG-X/SAMBA source</x:v>
      </x:c>
      <x:c r="J415" s="257" t="str">
        <x:v>16</x:v>
      </x:c>
      <x:c r="K415" s="257" t="str">
        <x:v>63</x:v>
      </x:c>
      <x:c r="L415" s="257" t="str">
        <x:v>1000 Hz</x:v>
      </x:c>
      <x:c r="M415" s="257" t="str">
        <x:v>MOABB-supported / original release</x:v>
      </x:c>
      <x:c r="N415" s="257" t="str">
        <x:v>raw / release-dependent</x:v>
      </x:c>
      <x:c r="O415" s="257" t="str">
        <x:v>MOABB lists Brandl2020 as Motor Imagery under distraction; verify exact link and metadata before use.</x:v>
      </x:c>
      <x:c r="P415" s="257" t="str">
        <x:v>Brandl &amp; Blankertz (2020); EEG-X/SAMBA; Liu et al. (2026), EEG Foundation Models Tables VIII-XIV</x:v>
      </x:c>
      <x:c r="Q415" s="257" t="str">
        <x:v>06_Motor_and_Interaction/Motor_Imagery_and_Execution/DriverDistraction</x:v>
      </x:c>
      <x:c r="R415" s="257" t="str">
        <x:v>存在公开仓库、官方入口或稳定数据访问号</x:v>
      </x:c>
      <x:c r="S415" s="257"/>
      <x:c r="T415" s="257"/>
      <x:c r="U415" s="213"/>
    </x:row>
    <x:row r="416" ht="60" customHeight="1">
      <x:c r="A416" s="274" t="str">
        <x:v>EEG-0382</x:v>
      </x:c>
      <x:c r="B416" s="275" t="str">
        <x:v>06_Motor_and_Interaction</x:v>
      </x:c>
      <x:c r="C416" s="275" t="str">
        <x:v>Motor_Imagery_and_Execution</x:v>
      </x:c>
      <x:c r="D416" s="275" t="str">
        <x:v>EEG-Controlled Exoskeleton</x:v>
      </x:c>
      <x:c r="E416" s="275"/>
      <x:c r="F416" s="275"/>
      <x:c r="G416" s="275" t="str">
        <x:v>DOWNLOAD_PUBLIC</x:v>
      </x:c>
      <x:c r="H416" s="275" t="str">
        <x:v>https://www.nature.com/articles/s41597-026-07476-w</x:v>
      </x:c>
      <x:c r="I416" s="275" t="str">
        <x:v>Closed-loop BMI lower-limb exoskeleton (walk/stop via kinesthetic MI)</x:v>
      </x:c>
      <x:c r="J416" s="275" t="str">
        <x:v>7</x:v>
      </x:c>
      <x:c r="K416" s="275" t="str">
        <x:v>60 (+EOG/IMU; MRI for 5)</x:v>
      </x:c>
      <x:c r="L416" s="275" t="str">
        <x:v>100 Hz (in Experiment-Sessions); 5 kHz (in MRI-Sessions)</x:v>
      </x:c>
      <x:c r="M416" s="275" t="str">
        <x:v>N.A. (multimodal)</x:v>
      </x:c>
      <x:c r="N416" s="275" t="str">
        <x:v>Raw (multimodal)</x:v>
      </x:c>
      <x:c r="O416" s="275" t="str">
        <x:v>Open; CC BY-NC-ND 4.0</x:v>
      </x:c>
      <x:c r="P416" s="275" t="str">
        <x:v>A dataset for closed-loop BMI control of a lower-limb exoskeleton during walking. Sarkar et al., 2026, Scientific Data.</x:v>
      </x:c>
      <x:c r="Q416" s="275" t="str">
        <x:v>06_Motor_and_Interaction/Motor_Imagery_and_Execution/EEG-Controlled_Exoskeleton</x:v>
      </x:c>
      <x:c r="R416" s="275" t="str">
        <x:v>存在公开仓库、官方入口或稳定数据访问号</x:v>
      </x:c>
      <x:c r="S416" s="275"/>
      <x:c r="T416" s="275"/>
      <x:c r="U416" s="276"/>
    </x:row>
    <x:row r="417" ht="60" customHeight="1">
      <x:c r="A417" s="264" t="str">
        <x:v>EEG-0387</x:v>
      </x:c>
      <x:c r="B417" s="257" t="str">
        <x:v>06_Motor_and_Interaction</x:v>
      </x:c>
      <x:c r="C417" s="257" t="str">
        <x:v>Motor_Imagery_and_Execution</x:v>
      </x:c>
      <x:c r="D417" s="257" t="str">
        <x:v>GrosseWentrup2009</x:v>
      </x:c>
      <x:c r="E417" s="257"/>
      <x:c r="F417" s="257"/>
      <x:c r="G417" s="257" t="str">
        <x:v>DOWNLOAD_PUBLIC</x:v>
      </x:c>
      <x:c r="H417" s="257" t="str">
        <x:v>[MOABB GrosseWentrup2009](https://moabb.neurotechx.com/docs/generated/moabb.datasets.GrosseWentrup2009.html)</x:v>
      </x:c>
      <x:c r="I417" s="257" t="str">
        <x:v>Motor imagery classification (Z=2 classes: left vs right hand imagined movement); used with Nearest Centroid classifier on covariance/Frechet-mean features</x:v>
      </x:c>
      <x:c r="J417" s="257" t="str">
        <x:v>10.0</x:v>
      </x:c>
      <x:c r="K417" s="257" t="str">
        <x:v>128.0</x:v>
      </x:c>
      <x:c r="L417" s="257" t="str">
        <x:v>500.0</x:v>
      </x:c>
      <x:c r="M417" s="257" t="str">
        <x:v>Accessed programmatically via the MOABB (Mother of All BCI Benchmarks) platform (Aristimunha et al., 2023)</x:v>
      </x:c>
      <x:c r="N417" s="257" t="str">
        <x:v>raw / 原始发布数据</x:v>
      </x:c>
      <x:c r="O417" s="257" t="str">
        <x:v>public via MOABB; CC-BY-4.0</x:v>
      </x:c>
      <x:c r="P417" s="257" t="str">
        <x:v>Grosse-Wentrup, M., Liefhold, C., Gramann, K., &amp; Buss, M. (2009). Beamforming in noninvasive brain-computer interfaces. IEEE Transactions on Biomedical Engineering, 56(4), 1209-1219.</x:v>
      </x:c>
      <x:c r="Q417" s="257" t="str">
        <x:v>06_Motor_and_Interaction/Motor_Imagery_and_Execution/GrosseWentrup2009</x:v>
      </x:c>
      <x:c r="R417" s="257" t="str">
        <x:v>存在公开仓库、官方入口或稳定数据访问号</x:v>
      </x:c>
      <x:c r="S417" s="257"/>
      <x:c r="T417" s="257"/>
      <x:c r="U417" s="213"/>
    </x:row>
    <x:row r="418" ht="60" customHeight="1">
      <x:c r="A418" s="274" t="str">
        <x:v>EEG-0391</x:v>
      </x:c>
      <x:c r="B418" s="275" t="str">
        <x:v>06_Motor_and_Interaction</x:v>
      </x:c>
      <x:c r="C418" s="275" t="str">
        <x:v>Motor_Imagery_and_Execution</x:v>
      </x:c>
      <x:c r="D418" s="275" t="str">
        <x:v>HGD</x:v>
      </x:c>
      <x:c r="E418" s="275"/>
      <x:c r="F418" s="275"/>
      <x:c r="G418" s="275" t="str">
        <x:v>DOWNLOAD_PUBLIC</x:v>
      </x:c>
      <x:c r="H418" s="275" t="str">
        <x:v>https://gin.g-node.org/robintibor/high-gamma-dataset</x:v>
      </x:c>
      <x:c r="I418" s="275" t="str">
        <x:v>Motor Imagery / motor execution; 4 targets (left hand, right hand, both feet, rest)</x:v>
      </x:c>
      <x:c r="J418" s="275" t="str">
        <x:v>14</x:v>
      </x:c>
      <x:c r="K418" s="275" t="str">
        <x:v>128</x:v>
      </x:c>
      <x:c r="L418" s="275" t="str">
        <x:v>500 Hz</x:v>
      </x:c>
      <x:c r="M418" s="275" t="str">
        <x:v>accessed via MOABB</x:v>
      </x:c>
      <x:c r="N418" s="275" t="str">
        <x:v>raw / preprocessed variants</x:v>
      </x:c>
      <x:c r="O418" s="275" t="str">
        <x:v>公开下载：High-Gamma Dataset GitHub (https://github.com/robintibor/high-gamma-dataset)；也可用 MOABB Schirrmeister2017 (https://moabb.neurotechx.com/docs/generated/moabb.datasets.Schirrmeister2017.html) 或 Braindecode 自动拉取。</x:v>
      </x:c>
      <x:c r="P418" s="275" t="str">
        <x:v>Schirrmeister et al. (2017). Deep learning with convolutional neural networks for EEG decoding and visualization. Human Brain Mapping 38(11):5391-5420.</x:v>
      </x:c>
      <x:c r="Q418" s="275" t="str">
        <x:v>06_Motor_and_Interaction/Motor_Imagery_and_Execution/HGD</x:v>
      </x:c>
      <x:c r="R418" s="275" t="str">
        <x:v>存在公开仓库、官方入口或稳定数据访问号</x:v>
      </x:c>
      <x:c r="S418" s="275"/>
      <x:c r="T418" s="275"/>
      <x:c r="U418" s="276"/>
    </x:row>
    <x:row r="419" ht="60" customHeight="1">
      <x:c r="A419" s="264" t="str">
        <x:v>EEG-0393</x:v>
      </x:c>
      <x:c r="B419" s="257" t="str">
        <x:v>06_Motor_and_Interaction</x:v>
      </x:c>
      <x:c r="C419" s="257" t="str">
        <x:v>Motor_Imagery_and_Execution</x:v>
      </x:c>
      <x:c r="D419" s="257" t="str">
        <x:v>Kaya2018</x:v>
      </x:c>
      <x:c r="E419" s="257"/>
      <x:c r="F419" s="257"/>
      <x:c r="G419" s="257" t="str">
        <x:v>DOWNLOAD_PUBLIC</x:v>
      </x:c>
      <x:c r="H419" s="257" t="str">
        <x:v>https://moabb.neurotechx.com/docs/generated/moabb.datasets.Kaya2018.html</x:v>
      </x:c>
      <x:c r="I419" s="257" t="str">
        <x:v>motor imagery: left hand, right hand, passive/rest</x:v>
      </x:c>
      <x:c r="J419" s="257" t="str">
        <x:v>7</x:v>
      </x:c>
      <x:c r="K419" s="257" t="str">
        <x:v>19</x:v>
      </x:c>
      <x:c r="L419" s="257" t="str">
        <x:v>200 Hz</x:v>
      </x:c>
      <x:c r="M419" s="257" t="str">
        <x:v>MOABB-supported / original release</x:v>
      </x:c>
      <x:c r="N419" s="257" t="str">
        <x:v>raw / MOABB-prepared</x:v>
      </x:c>
      <x:c r="O419" s="257" t="str">
        <x:v>MOABB auto-download; cite original Kaya dataset.</x:v>
      </x:c>
      <x:c r="P419" s="257" t="str">
        <x:v>Kaya et al.; SingLEM; Liu et al. (2026), EEG Foundation Models Tables VIII-XIV</x:v>
      </x:c>
      <x:c r="Q419" s="257" t="str">
        <x:v>06_Motor_and_Interaction/Motor_Imagery_and_Execution/Kaya2018</x:v>
      </x:c>
      <x:c r="R419" s="257" t="str">
        <x:v>存在公开仓库、官方入口或稳定数据访问号</x:v>
      </x:c>
      <x:c r="S419" s="257"/>
      <x:c r="T419" s="257"/>
      <x:c r="U419" s="213"/>
    </x:row>
    <x:row r="420" ht="60" customHeight="1">
      <x:c r="A420" s="274" t="str">
        <x:v>EEG-0401</x:v>
      </x:c>
      <x:c r="B420" s="275" t="str">
        <x:v>06_Motor_and_Interaction</x:v>
      </x:c>
      <x:c r="C420" s="275" t="str">
        <x:v>Motor_Imagery_and_Execution</x:v>
      </x:c>
      <x:c r="D420" s="275" t="str">
        <x:v>MI-under-Distraction</x:v>
      </x:c>
      <x:c r="E420" s="275"/>
      <x:c r="F420" s="275"/>
      <x:c r="G420" s="275" t="str">
        <x:v>DOWNLOAD_PUBLIC</x:v>
      </x:c>
      <x:c r="H420" s="275" t="str">
        <x:v>https://github.com/stephaniebrandl/bci-under-distraction</x:v>
      </x:c>
      <x:c r="I420" s="275" t="str">
        <x:v>Motor imagery under distraction (Stroop context)</x:v>
      </x:c>
      <x:c r="J420" s="275" t="str">
        <x:v>16</x:v>
      </x:c>
      <x:c r="K420" s="275" t="str">
        <x:v>63</x:v>
      </x:c>
      <x:c r="L420" s="275" t="str">
        <x:v>1000 Hz</x:v>
      </x:c>
      <x:c r="M420" s="275" t="str">
        <x:v>Neuroscan/BBCI .mat</x:v>
      </x:c>
      <x:c r="N420" s="275" t="str">
        <x:v>Raw (.mat, BBCI format)</x:v>
      </x:c>
      <x:c r="O420" s="275" t="str">
        <x:v>Open (TU Berlin DepositOnce)</x:v>
      </x:c>
      <x:c r="P420" s="275" t="str">
        <x:v>Motor imagery under distraction - an open access BCI dataset. Brandl et al., 2020, Frontiers in Neuroscience 14:566147.</x:v>
      </x:c>
      <x:c r="Q420" s="275" t="str">
        <x:v>06_Motor_and_Interaction/Motor_Imagery_and_Execution/MI-under-Distraction</x:v>
      </x:c>
      <x:c r="R420" s="275" t="str">
        <x:v>存在公开仓库、官方入口或稳定数据访问号</x:v>
      </x:c>
      <x:c r="S420" s="275"/>
      <x:c r="T420" s="275"/>
      <x:c r="U420" s="276"/>
    </x:row>
    <x:row r="421" ht="60" customHeight="1">
      <x:c r="A421" s="264" t="str">
        <x:v>EEG-0408</x:v>
      </x:c>
      <x:c r="B421" s="257" t="str">
        <x:v>06_Motor_and_Interaction</x:v>
      </x:c>
      <x:c r="C421" s="257" t="str">
        <x:v>Motor_Imagery_and_Execution</x:v>
      </x:c>
      <x:c r="D421" s="257" t="str">
        <x:v>OpenBMI</x:v>
      </x:c>
      <x:c r="E421" s="257"/>
      <x:c r="F421" s="257"/>
      <x:c r="G421" s="257" t="str">
        <x:v>DOWNLOAD_PUBLIC</x:v>
      </x:c>
      <x:c r="H421" s="257" t="str">
        <x:v>http://gigadb.org/dataset/100542</x:v>
      </x:c>
      <x:c r="I421" s="257" t="str">
        <x:v>MI + ERP (P300) + SSVEP</x:v>
      </x:c>
      <x:c r="J421" s="257" t="str">
        <x:v>54</x:v>
      </x:c>
      <x:c r="K421" s="257" t="str">
        <x:v>62</x:v>
      </x:c>
      <x:c r="L421" s="257" t="str">
        <x:v>1000 Hz</x:v>
      </x:c>
      <x:c r="M421" s="257" t="str">
        <x:v>MAT</x:v>
      </x:c>
      <x:c r="N421" s="257" t="str">
        <x:v>Raw (+ OpenBMI toolbox)</x:v>
      </x:c>
      <x:c r="O421" s="257" t="str">
        <x:v>Open (GigaDB), CC-BY</x:v>
      </x:c>
      <x:c r="P421" s="257" t="str">
        <x:v>EEG dataset and OpenBMI toolbox for three BCI paradigms: an investigation into BCI illiteracy. Lee et al., 2019, GigaScience 8(5):giz002.</x:v>
      </x:c>
      <x:c r="Q421" s="257" t="str">
        <x:v>06_Motor_and_Interaction/Motor_Imagery_and_Execution/OpenBMI</x:v>
      </x:c>
      <x:c r="R421" s="257" t="str">
        <x:v>存在公开仓库、官方入口或稳定数据访问号</x:v>
      </x:c>
      <x:c r="S421" s="257"/>
      <x:c r="T421" s="257"/>
      <x:c r="U421" s="213"/>
    </x:row>
    <x:row r="422" ht="60" customHeight="1">
      <x:c r="A422" s="274" t="str">
        <x:v>EEG-0409</x:v>
      </x:c>
      <x:c r="B422" s="275" t="str">
        <x:v>06_Motor_and_Interaction</x:v>
      </x:c>
      <x:c r="C422" s="275" t="str">
        <x:v>Motor_Imagery_and_Execution</x:v>
      </x:c>
      <x:c r="D422" s="275" t="str">
        <x:v>OpenNeuro ds002336</x:v>
      </x:c>
      <x:c r="E422" s="275"/>
      <x:c r="F422" s="275" t="str">
        <x:v>OpenNeuro:ds002336,ds002338</x:v>
      </x:c>
      <x:c r="G422" s="275" t="str">
        <x:v>DOWNLOAD_PUBLIC</x:v>
      </x:c>
      <x:c r="H422" s="275" t="str">
        <x:v>[OpenNeuro ds002336](https://openneuro.org/datasets/ds002336)</x:v>
      </x:c>
      <x:c r="I422" s="275" t="str">
        <x:v>motor imagery neurofeedback；EEG-fMRI integration；NF scores；activation maps</x:v>
      </x:c>
      <x:c r="J422" s="275" t="str">
        <x:v>30</x:v>
      </x:c>
      <x:c r="K422" s="275" t="str">
        <x:v>10-20</x:v>
      </x:c>
      <x:c r="L422" s="275" t="str">
        <x:v>5000Hz</x:v>
      </x:c>
      <x:c r="M422" s="275" t="str">
        <x:v>BIDS</x:v>
      </x:c>
      <x:c r="N422" s="275" t="str">
        <x:v>raw BIDS</x:v>
      </x:c>
      <x:c r="O422" s="275" t="str">
        <x:v>公开下载：OpenNeuro ds002336 (https://openneuro.org/datasets/ds002336) 和 OpenNeuro ds002338 (https://openneuro.org/datasets/ds002338)；用 OpenNeuro CLI / DataLad 分别获取 XP1 / XP2。</x:v>
      </x:c>
      <x:c r="P422" s="275" t="str">
        <x:v>未给出</x:v>
      </x:c>
      <x:c r="Q422" s="275" t="str">
        <x:v>06_Motor_and_Interaction/Motor_Imagery_and_Execution/OpenNeuro_ds002336</x:v>
      </x:c>
      <x:c r="R422" s="275" t="str">
        <x:v>存在公开仓库、官方入口或稳定数据访问号</x:v>
      </x:c>
      <x:c r="S422" s="275" t="str">
        <x:v>2 (ds002336) / 1 (ds002338)</x:v>
      </x:c>
      <x:c r="T422" s="275" t="str">
        <x:v>ds002336: motorloc 320, MI 200, NF 400; ds002338: ~320/run</x:v>
      </x:c>
      <x:c r="U422" s="276" t="str">
        <x:v>ds002336: 6 runs/subject; ds002338: 5 runs/subject</x:v>
      </x:c>
    </x:row>
    <x:row r="423" ht="60" customHeight="1">
      <x:c r="A423" s="264" t="str">
        <x:v>EEG-0410</x:v>
      </x:c>
      <x:c r="B423" s="257" t="str">
        <x:v>06_Motor_and_Interaction</x:v>
      </x:c>
      <x:c r="C423" s="257" t="str">
        <x:v>Motor_Imagery_and_Execution</x:v>
      </x:c>
      <x:c r="D423" s="257" t="str">
        <x:v>Shin EEG-NIRS (MI)</x:v>
      </x:c>
      <x:c r="E423" s="257" t="str">
        <x:v>Shin2017A; Shin EEG-NIRS motor imagery</x:v>
      </x:c>
      <x:c r="F423" s="257"/>
      <x:c r="G423" s="257" t="str">
        <x:v>DOWNLOAD_PUBLIC</x:v>
      </x:c>
      <x:c r="H423" s="257" t="str">
        <x:v>http://doc.ml.tu-berlin.de/simultaneous_EEG_NIRS/</x:v>
      </x:c>
      <x:c r="I423" s="257" t="str">
        <x:v>Motor imagery + mental arithmetic (hybrid EEG-NIRS)</x:v>
      </x:c>
      <x:c r="J423" s="257" t="str">
        <x:v>29</x:v>
      </x:c>
      <x:c r="K423" s="257" t="str">
        <x:v>30</x:v>
      </x:c>
      <x:c r="L423" s="257" t="str">
        <x:v>200 Hz (rec 1000)</x:v>
      </x:c>
      <x:c r="M423" s="257" t="str">
        <x:v>MAT (BrainVision)</x:v>
      </x:c>
      <x:c r="N423" s="257" t="str">
        <x:v>Both (raw + preprocessed/ERP)</x:v>
      </x:c>
      <x:c r="O423" s="257" t="str">
        <x:v>Open (TU-Berlin DepositOnce), CC-BY</x:v>
      </x:c>
      <x:c r="P423" s="257" t="str">
        <x:v>Open access dataset for EEG+NIRS single-trial classification. Shin et al., 2017, IEEE TNSRE 25(10):1735-1745.</x:v>
      </x:c>
      <x:c r="Q423" s="257" t="str">
        <x:v>06_Motor_and_Interaction/Motor_Imagery_and_Execution/Shin_EEG-NIRS_MI</x:v>
      </x:c>
      <x:c r="R423" s="257" t="str">
        <x:v>存在公开仓库、官方入口或稳定数据访问号</x:v>
      </x:c>
      <x:c r="S423" s="257"/>
      <x:c r="T423" s="257"/>
      <x:c r="U423" s="213"/>
    </x:row>
    <x:row r="424" ht="60" customHeight="1">
      <x:c r="A424" s="274" t="str">
        <x:v>EEG-0416</x:v>
      </x:c>
      <x:c r="B424" s="275" t="str">
        <x:v>06_Motor_and_Interaction</x:v>
      </x:c>
      <x:c r="C424" s="275" t="str">
        <x:v>Motor_Imagery_and_Execution</x:v>
      </x:c>
      <x:c r="D424" s="275" t="str">
        <x:v>Weibo2014</x:v>
      </x:c>
      <x:c r="E424" s="275" t="str">
        <x:v>Weibo2014; Yi2014</x:v>
      </x:c>
      <x:c r="F424" s="275"/>
      <x:c r="G424" s="275" t="str">
        <x:v>DOWNLOAD_PUBLIC</x:v>
      </x:c>
      <x:c r="H424" s="275" t="str">
        <x:v>https://moabb.neurotechx.com/docs/generated/moabb.datasets.Weibo2014.html</x:v>
      </x:c>
      <x:c r="I424" s="275" t="str">
        <x:v>Motor Imagery (7-class)</x:v>
      </x:c>
      <x:c r="J424" s="275" t="str">
        <x:v>10</x:v>
      </x:c>
      <x:c r="K424" s="275" t="str">
        <x:v>60</x:v>
      </x:c>
      <x:c r="L424" s="275" t="str">
        <x:v>200 Hz</x:v>
      </x:c>
      <x:c r="M424" s="275" t="str">
        <x:v>MOABB-supported / 原始格式</x:v>
      </x:c>
      <x:c r="N424" s="275" t="str">
        <x:v>raw / 原始发布数据</x:v>
      </x:c>
      <x:c r="O424" s="275" t="str">
        <x:v>public via MOABB; CC0-1.0</x:v>
      </x:c>
      <x:c r="P424" s="275" t="str">
        <x:v>Weibo et al., PLoS ONE</x:v>
      </x:c>
      <x:c r="Q424" s="275" t="str">
        <x:v>06_Motor_and_Interaction/Motor_Imagery_and_Execution/Weibo2014</x:v>
      </x:c>
      <x:c r="R424" s="275" t="str">
        <x:v>存在公开仓库、官方入口或稳定数据访问号</x:v>
      </x:c>
      <x:c r="S424" s="275"/>
      <x:c r="T424" s="275"/>
      <x:c r="U424" s="276"/>
    </x:row>
    <x:row r="425" ht="60" customHeight="1">
      <x:c r="A425" s="264" t="str">
        <x:v>EEG-0422</x:v>
      </x:c>
      <x:c r="B425" s="257" t="str">
        <x:v>06_Motor_and_Interaction</x:v>
      </x:c>
      <x:c r="C425" s="257" t="str">
        <x:v>SSVEP_and_Evoked_BCI</x:v>
      </x:c>
      <x:c r="D425" s="257" t="str">
        <x:v>Castillos c-VEP</x:v>
      </x:c>
      <x:c r="E425" s="257"/>
      <x:c r="F425" s="257" t="str">
        <x:v>Zenodo:8255618</x:v>
      </x:c>
      <x:c r="G425" s="257" t="str">
        <x:v>DOWNLOAD_APPLICATION_REQUIRED</x:v>
      </x:c>
      <x:c r="H425" s="257" t="str">
        <x:v>https://zenodo.org/records/8255618</x:v>
      </x:c>
      <x:c r="I425" s="257" t="str">
        <x:v>c-VEP (code-modulated)</x:v>
      </x:c>
      <x:c r="J425" s="257" t="str">
        <x:v>12</x:v>
      </x:c>
      <x:c r="K425" s="257" t="str">
        <x:v>32 EEG</x:v>
      </x:c>
      <x:c r="L425" s="257" t="str">
        <x:v>500 Hz</x:v>
      </x:c>
      <x:c r="M425" s="257"/>
      <x:c r="N425" s="257" t="str">
        <x:v>Raw</x:v>
      </x:c>
      <x:c r="O425" s="257" t="str">
        <x:v>Open, CC-BY 4.0, no application</x:v>
      </x:c>
      <x:c r="P425" s="257" t="str">
        <x:v>Castillos et al.</x:v>
      </x:c>
      <x:c r="Q425" s="257" t="str">
        <x:v>06_Motor_and_Interaction/SSVEP_and_Evoked_BCI/Castillos_c-VEP</x:v>
      </x:c>
      <x:c r="R425" s="257" t="str">
        <x:v>官方数据存在，但需申请、签署协议或获得权限</x:v>
      </x:c>
      <x:c r="S425" s="257"/>
      <x:c r="T425" s="257"/>
      <x:c r="U425" s="213"/>
    </x:row>
    <x:row r="426" ht="60" customHeight="1">
      <x:c r="A426" s="274" t="str">
        <x:v>EEG-0428</x:v>
      </x:c>
      <x:c r="B426" s="275" t="str">
        <x:v>06_Motor_and_Interaction</x:v>
      </x:c>
      <x:c r="C426" s="275" t="str">
        <x:v>SSVEP_and_Evoked_BCI</x:v>
      </x:c>
      <x:c r="D426" s="275" t="str">
        <x:v>Data for Efficient dual-frequency SSVEP brain-computer interface system</x:v>
      </x:c>
      <x:c r="E426" s="275"/>
      <x:c r="F426" s="275"/>
      <x:c r="G426" s="275" t="str">
        <x:v>DOWNLOAD_PUBLIC</x:v>
      </x:c>
      <x:c r="H426" s="275" t="str">
        <x:v>https://bci.med.tsinghua.edu.cn/download.html</x:v>
      </x:c>
      <x:c r="I426" s="275" t="str">
        <x:v>Binocular interocular dual-frequency SSVEP spelling task</x:v>
      </x:c>
      <x:c r="J426" s="275" t="str">
        <x:v>10 subjects</x:v>
      </x:c>
      <x:c r="K426" s="275" t="str">
        <x:v>9 EEG channels</x:v>
      </x:c>
      <x:c r="L426" s="275" t="str">
        <x:v>250 Hz</x:v>
      </x:c>
      <x:c r="M426" s="275" t="str">
        <x:v>MAT</x:v>
      </x:c>
      <x:c r="N426" s="275" t="str">
        <x:v>Raw EEG</x:v>
      </x:c>
      <x:c r="O426" s="275" t="str">
        <x:v>Open Access</x:v>
      </x:c>
      <x:c r="P426" s="275" t="str">
        <x:v>Sun et al. 2024</x:v>
      </x:c>
      <x:c r="Q426" s="275" t="str">
        <x:v>06_Motor_and_Interaction/SSVEP_and_Evoked_BCI/Data_for_Efficient_dual-frequency_SSVEP_brain-computer_interface_system</x:v>
      </x:c>
      <x:c r="R426" s="275" t="str">
        <x:v>存在公开仓库、官方入口或稳定数据访问号</x:v>
      </x:c>
      <x:c r="S426" s="275"/>
      <x:c r="T426" s="275"/>
      <x:c r="U426" s="276"/>
    </x:row>
    <x:row r="427" ht="60" customHeight="1">
      <x:c r="A427" s="264" t="str">
        <x:v>EEG-0431</x:v>
      </x:c>
      <x:c r="B427" s="257" t="str">
        <x:v>06_Motor_and_Interaction</x:v>
      </x:c>
      <x:c r="C427" s="257" t="str">
        <x:v>SSVEP_and_Evoked_BCI</x:v>
      </x:c>
      <x:c r="D427" s="257" t="str">
        <x:v>Dual Frequency and Phase Modulation SSVEP-BCI Dataset</x:v>
      </x:c>
      <x:c r="E427" s="257"/>
      <x:c r="F427" s="257"/>
      <x:c r="G427" s="257" t="str">
        <x:v>DOWNLOAD_PUBLIC</x:v>
      </x:c>
      <x:c r="H427" s="257" t="str">
        <x:v>https://bci.med.tsinghua.edu.cn/download.html</x:v>
      </x:c>
      <x:c r="I427" s="257" t="str">
        <x:v>Dual-frequency and phase modulated SSVEP target spelling task</x:v>
      </x:c>
      <x:c r="J427" s="257" t="str">
        <x:v>12 subjects</x:v>
      </x:c>
      <x:c r="K427" s="257" t="str">
        <x:v>9 EEG channels</x:v>
      </x:c>
      <x:c r="L427" s="257" t="str">
        <x:v>1000 Hz</x:v>
      </x:c>
      <x:c r="M427" s="257" t="str">
        <x:v>MAT</x:v>
      </x:c>
      <x:c r="N427" s="257" t="str">
        <x:v>Raw EEG</x:v>
      </x:c>
      <x:c r="O427" s="257" t="str">
        <x:v>Open Access</x:v>
      </x:c>
      <x:c r="P427" s="257" t="str">
        <x:v>Liang et al. 2020</x:v>
      </x:c>
      <x:c r="Q427" s="257" t="str">
        <x:v>06_Motor_and_Interaction/SSVEP_and_Evoked_BCI/Dual_Frequency_and_Phase_Modulation_SSVEP-BCI_Dataset</x:v>
      </x:c>
      <x:c r="R427" s="257" t="str">
        <x:v>存在公开仓库、官方入口或稳定数据访问号</x:v>
      </x:c>
      <x:c r="S427" s="257"/>
      <x:c r="T427" s="257"/>
      <x:c r="U427" s="213"/>
    </x:row>
    <x:row r="428" ht="60" customHeight="1">
      <x:c r="A428" s="274" t="str">
        <x:v>EEG-0434</x:v>
      </x:c>
      <x:c r="B428" s="275" t="str">
        <x:v>06_Motor_and_Interaction</x:v>
      </x:c>
      <x:c r="C428" s="275" t="str">
        <x:v>SSVEP_and_Evoked_BCI</x:v>
      </x:c>
      <x:c r="D428" s="275" t="str">
        <x:v>FBCCA-DW dataset</x:v>
      </x:c>
      <x:c r="E428" s="275"/>
      <x:c r="F428" s="275"/>
      <x:c r="G428" s="275" t="str">
        <x:v>DOWNLOAD_PUBLIC</x:v>
      </x:c>
      <x:c r="H428" s="275" t="str">
        <x:v>https://bci.med.tsinghua.edu.cn/download.html</x:v>
      </x:c>
      <x:c r="I428" s="275" t="str">
        <x:v>40-class visual SSVEP target spelling task (8-15.8 Hz)</x:v>
      </x:c>
      <x:c r="J428" s="275" t="str">
        <x:v>14 subjects</x:v>
      </x:c>
      <x:c r="K428" s="275" t="str">
        <x:v>65 channels (64 EEG + 1 trigger)</x:v>
      </x:c>
      <x:c r="L428" s="275" t="str">
        <x:v>250 Hz</x:v>
      </x:c>
      <x:c r="M428" s="275" t="str">
        <x:v>MAT</x:v>
      </x:c>
      <x:c r="N428" s="275" t="str">
        <x:v>Raw EEG</x:v>
      </x:c>
      <x:c r="O428" s="275" t="str">
        <x:v>Open Access</x:v>
      </x:c>
      <x:c r="P428" s="275" t="str">
        <x:v>Chen et al. 2021</x:v>
      </x:c>
      <x:c r="Q428" s="275" t="str">
        <x:v>06_Motor_and_Interaction/SSVEP_and_Evoked_BCI/FBCCA-DW_dataset</x:v>
      </x:c>
      <x:c r="R428" s="275" t="str">
        <x:v>存在公开仓库、官方入口或稳定数据访问号</x:v>
      </x:c>
      <x:c r="S428" s="275"/>
      <x:c r="T428" s="275"/>
      <x:c r="U428" s="276"/>
    </x:row>
    <x:row r="429" ht="60" customHeight="1">
      <x:c r="A429" s="264" t="str">
        <x:v>EEG-0438</x:v>
      </x:c>
      <x:c r="B429" s="257" t="str">
        <x:v>06_Motor_and_Interaction</x:v>
      </x:c>
      <x:c r="C429" s="257" t="str">
        <x:v>SSVEP_and_Evoked_BCI</x:v>
      </x:c>
      <x:c r="D429" s="257" t="str">
        <x:v>Kalunga2016 (SSVEP Exo)</x:v>
      </x:c>
      <x:c r="E429" s="257"/>
      <x:c r="F429" s="257"/>
      <x:c r="G429" s="257" t="str">
        <x:v>DOWNLOAD_PUBLIC</x:v>
      </x:c>
      <x:c r="H429" s="257" t="str">
        <x:v>https://moabb.neurotechx.com/docs/generated/moabb.datasets.Kalunga2016.html</x:v>
      </x:c>
      <x:c r="I429" s="257" t="str">
        <x:v>SSVEP EEG; EEG-X downstream source</x:v>
      </x:c>
      <x:c r="J429" s="257" t="str">
        <x:v>12</x:v>
      </x:c>
      <x:c r="K429" s="257" t="str">
        <x:v>8</x:v>
      </x:c>
      <x:c r="L429" s="257" t="str">
        <x:v>256 Hz</x:v>
      </x:c>
      <x:c r="M429" s="257" t="str">
        <x:v>MAT</x:v>
      </x:c>
      <x:c r="N429" s="257" t="str">
        <x:v>raw / release-dependent</x:v>
      </x:c>
      <x:c r="O429" s="257" t="str">
        <x:v>Reported by EEG-X; exact public dataset/access route needs confirmation.</x:v>
      </x:c>
      <x:c r="P429" s="257" t="str">
        <x:v>Kalunga et al. (2016); EEG-X; Liu et al. (2026), EEG Foundation Models Tables VIII-XIV</x:v>
      </x:c>
      <x:c r="Q429" s="257" t="str">
        <x:v>06_Motor_and_Interaction/SSVEP_and_Evoked_BCI/Kalunga2016_SSVEP_Exo</x:v>
      </x:c>
      <x:c r="R429" s="257" t="str">
        <x:v>存在公开仓库、官方入口或稳定数据访问号</x:v>
      </x:c>
      <x:c r="S429" s="257"/>
      <x:c r="T429" s="257"/>
      <x:c r="U429" s="213"/>
    </x:row>
    <x:row r="430" ht="60" customHeight="1">
      <x:c r="A430" s="274" t="str">
        <x:v>EEG-0444</x:v>
      </x:c>
      <x:c r="B430" s="275" t="str">
        <x:v>06_Motor_and_Interaction</x:v>
      </x:c>
      <x:c r="C430" s="275" t="str">
        <x:v>SSVEP_and_Evoked_BCI</x:v>
      </x:c>
      <x:c r="D430" s="275" t="str">
        <x:v>Nakanishi2015</x:v>
      </x:c>
      <x:c r="E430" s="275" t="str">
        <x:v>Nakanishi 2015 SSVEP dataset</x:v>
      </x:c>
      <x:c r="F430" s="275"/>
      <x:c r="G430" s="275" t="str">
        <x:v>DOWNLOAD_PUBLIC</x:v>
      </x:c>
      <x:c r="H430" s="275" t="str">
        <x:v>https://moabb.neurotechx.com/docs/generated/moabb.datasets.Nakanishi2015.html</x:v>
      </x:c>
      <x:c r="I430" s="275" t="str">
        <x:v>12-class SSVEP (joint frequency-phase modulation)</x:v>
      </x:c>
      <x:c r="J430" s="275" t="str">
        <x:v>9</x:v>
      </x:c>
      <x:c r="K430" s="275" t="str">
        <x:v>8.0</x:v>
      </x:c>
      <x:c r="L430" s="275" t="str">
        <x:v>256.0</x:v>
      </x:c>
      <x:c r="M430" s="275" t="str">
        <x:v>MAT (MATLAB; 4-D tensor [12 targets x 8 channels x 1114 samples x 15 trials] per subject)</x:v>
      </x:c>
      <x:c r="N430" s="275" t="str">
        <x:v>raw / MOABB-prepared</x:v>
      </x:c>
      <x:c r="O430" s="275" t="str">
        <x:v>MOABB auto-download; original paper reports 10 subjects, MOABB/benchmark snapshot uses 9.</x:v>
      </x:c>
      <x:c r="P430" s="275" t="str">
        <x:v>Nakanishi et al. (2015). A Comparison Study of Canonical Correlation Analysis Based Methods for Detecting Steady-State Visual Evoked Potentials. PLoS ONE.</x:v>
      </x:c>
      <x:c r="Q430" s="275" t="str">
        <x:v>06_Motor_and_Interaction/SSVEP_and_Evoked_BCI/Nakanishi2015</x:v>
      </x:c>
      <x:c r="R430" s="275" t="str">
        <x:v>存在公开仓库、官方入口或稳定数据访问号</x:v>
      </x:c>
      <x:c r="S430" s="275"/>
      <x:c r="T430" s="275"/>
      <x:c r="U430" s="276"/>
    </x:row>
    <x:row r="431" ht="60" customHeight="1">
      <x:c r="A431" s="264" t="str">
        <x:v>EEG-0449</x:v>
      </x:c>
      <x:c r="B431" s="257" t="str">
        <x:v>06_Motor_and_Interaction</x:v>
      </x:c>
      <x:c r="C431" s="257" t="str">
        <x:v>SSVEP_and_Evoked_BCI</x:v>
      </x:c>
      <x:c r="D431" s="257" t="str">
        <x:v>Thielen2021</x:v>
      </x:c>
      <x:c r="E431" s="257"/>
      <x:c r="F431" s="257"/>
      <x:c r="G431" s="257" t="str">
        <x:v>DOWNLOAD_PUBLIC</x:v>
      </x:c>
      <x:c r="H431" s="257" t="str">
        <x:v>https://moabb.neurotechx.com/docs/generated/moabb.datasets.Thielen2021.html</x:v>
      </x:c>
      <x:c r="I431" s="257" t="str">
        <x:v>code-modulated visual evoked potential BCI</x:v>
      </x:c>
      <x:c r="J431" s="257" t="str">
        <x:v>30</x:v>
      </x:c>
      <x:c r="K431" s="257" t="str">
        <x:v>8</x:v>
      </x:c>
      <x:c r="L431" s="257" t="str">
        <x:v>512Hz</x:v>
      </x:c>
      <x:c r="M431" s="257" t="str">
        <x:v>MOABB-supported / 原始格式</x:v>
      </x:c>
      <x:c r="N431" s="257" t="str">
        <x:v>raw / 原始发布数据</x:v>
      </x:c>
      <x:c r="O431" s="257" t="str">
        <x:v>public via MOABB; CC0-1.0</x:v>
      </x:c>
      <x:c r="P431" s="257" t="str">
        <x:v>Thielen, Marsman, Farquhar, Desain, Radboud University</x:v>
      </x:c>
      <x:c r="Q431" s="257" t="str">
        <x:v>06_Motor_and_Interaction/SSVEP_and_Evoked_BCI/Thielen2021</x:v>
      </x:c>
      <x:c r="R431" s="257" t="str">
        <x:v>存在公开仓库、官方入口或稳定数据访问号</x:v>
      </x:c>
      <x:c r="S431" s="257"/>
      <x:c r="T431" s="257"/>
      <x:c r="U431" s="213"/>
    </x:row>
    <x:row r="432" ht="60" customHeight="1">
      <x:c r="A432" s="274" t="str">
        <x:v>EEG-0451</x:v>
      </x:c>
      <x:c r="B432" s="275" t="str">
        <x:v>06_Motor_and_Interaction</x:v>
      </x:c>
      <x:c r="C432" s="275" t="str">
        <x:v>SSVEP_and_Evoked_BCI</x:v>
      </x:c>
      <x:c r="D432" s="275" t="str">
        <x:v>Tsinghua JFPM SSVEP Dataset</x:v>
      </x:c>
      <x:c r="E432" s="275"/>
      <x:c r="F432" s="275"/>
      <x:c r="G432" s="275" t="str">
        <x:v>DOWNLOAD_PUBLIC</x:v>
      </x:c>
      <x:c r="H432" s="275" t="str">
        <x:v>https://bci.med.tsinghua.edu.cn/download.html</x:v>
      </x:c>
      <x:c r="I432" s="275" t="str">
        <x:v>High-speed SSVEP BCI speller spelling task</x:v>
      </x:c>
      <x:c r="J432" s="275" t="str">
        <x:v>10 subjects</x:v>
      </x:c>
      <x:c r="K432" s="275" t="str">
        <x:v>9 EEG channels</x:v>
      </x:c>
      <x:c r="L432" s="275" t="str">
        <x:v>250 Hz</x:v>
      </x:c>
      <x:c r="M432" s="275" t="str">
        <x:v>MAT</x:v>
      </x:c>
      <x:c r="N432" s="275" t="str">
        <x:v>Raw EEG</x:v>
      </x:c>
      <x:c r="O432" s="275" t="str">
        <x:v>Open Access</x:v>
      </x:c>
      <x:c r="P432" s="275" t="str">
        <x:v>Chen et al. 2015</x:v>
      </x:c>
      <x:c r="Q432" s="275" t="str">
        <x:v>06_Motor_and_Interaction/SSVEP_and_Evoked_BCI/Tsinghua_JFPM_SSVEP_Dataset</x:v>
      </x:c>
      <x:c r="R432" s="275" t="str">
        <x:v>存在公开仓库、官方入口或稳定数据访问号</x:v>
      </x:c>
      <x:c r="S432" s="275"/>
      <x:c r="T432" s="275"/>
      <x:c r="U432" s="276"/>
    </x:row>
    <x:row r="433" ht="60" customHeight="1">
      <x:c r="A433" s="264" t="str">
        <x:v>EEG-0455</x:v>
      </x:c>
      <x:c r="B433" s="257" t="str">
        <x:v>06_Motor_and_Interaction</x:v>
      </x:c>
      <x:c r="C433" s="257" t="str">
        <x:v>Interaction_and_Control</x:v>
      </x:c>
      <x:c r="D433" s="257" t="str">
        <x:v>BCI Competition III Dataset II</x:v>
      </x:c>
      <x:c r="E433" s="257"/>
      <x:c r="F433" s="257"/>
      <x:c r="G433" s="257" t="str">
        <x:v>DOWNLOAD_PUBLIC</x:v>
      </x:c>
      <x:c r="H433" s="257" t="str">
        <x:v>https://www.bbci.de/competition/iii/</x:v>
      </x:c>
      <x:c r="I433" s="257" t="str">
        <x:v>P300 speller</x:v>
      </x:c>
      <x:c r="J433" s="257" t="str">
        <x:v>2</x:v>
      </x:c>
      <x:c r="K433" s="257" t="str">
        <x:v>64 EEG</x:v>
      </x:c>
      <x:c r="L433" s="257" t="str">
        <x:v>240 Hz commonly reported</x:v>
      </x:c>
      <x:c r="M433" s="257" t="str">
        <x:v>MAT</x:v>
      </x:c>
      <x:c r="N433" s="257" t="str">
        <x:v>Raw EEG</x:v>
      </x:c>
      <x:c r="O433" s="257" t="str">
        <x:v>Open competition data</x:v>
      </x:c>
      <x:c r="P433" s="257" t="str">
        <x:v>Blankertz et al. 2006</x:v>
      </x:c>
      <x:c r="Q433" s="257" t="str">
        <x:v>06_Motor_and_Interaction/Interaction_and_Control/BCI_Competition_III_Dataset_II</x:v>
      </x:c>
      <x:c r="R433" s="257" t="str">
        <x:v>存在公开仓库、官方入口或稳定数据访问号</x:v>
      </x:c>
      <x:c r="S433" s="257"/>
      <x:c r="T433" s="257"/>
      <x:c r="U433" s="213"/>
    </x:row>
    <x:row r="434" ht="60" customHeight="1">
      <x:c r="A434" s="274" t="str">
        <x:v>EEG-0456</x:v>
      </x:c>
      <x:c r="B434" s="275" t="str">
        <x:v>06_Motor_and_Interaction</x:v>
      </x:c>
      <x:c r="C434" s="275" t="str">
        <x:v>Interaction_and_Control</x:v>
      </x:c>
      <x:c r="D434" s="275" t="str">
        <x:v>BCI-speech (BCIC2020-3)</x:v>
      </x:c>
      <x:c r="E434" s="275" t="str">
        <x:v>BCIC2020-3 (BCI Competition 2020 Track 3)</x:v>
      </x:c>
      <x:c r="F434" s="275"/>
      <x:c r="G434" s="275" t="str">
        <x:v>DOWNLOAD_PUBLIC</x:v>
      </x:c>
      <x:c r="H434" s="275" t="str">
        <x:v>https://nemar.org/dataexplorer/detail?dataset_id=nm000113</x:v>
      </x:c>
      <x:c r="I434" s="275" t="str">
        <x:v>Imagined-speech keyword classification (5 words)</x:v>
      </x:c>
      <x:c r="J434" s="275" t="str">
        <x:v>15 (OmniEEG lists 45*)</x:v>
      </x:c>
      <x:c r="K434" s="275" t="str">
        <x:v>64</x:v>
      </x:c>
      <x:c r="L434" s="275" t="str">
        <x:v>256 Hz</x:v>
      </x:c>
      <x:c r="M434" s="275" t="str">
        <x:v>MAT / EEGLAB</x:v>
      </x:c>
      <x:c r="N434" s="275" t="str">
        <x:v>Raw</x:v>
      </x:c>
      <x:c r="O434" s="275" t="str">
        <x:v>Open via BCI Competition 2020 / NeMAR</x:v>
      </x:c>
      <x:c r="P434" s="275" t="str">
        <x:v>2020 International Brain-Computer Interface Competition (Track 3: imagined speech). Jeong et al., 2022, Frontiers in Human Neuroscience 16:898300.</x:v>
      </x:c>
      <x:c r="Q434" s="275" t="str">
        <x:v>06_Motor_and_Interaction/Interaction_and_Control/BCI-speech_BCIC2020-3</x:v>
      </x:c>
      <x:c r="R434" s="275" t="str">
        <x:v>存在公开仓库、官方入口或稳定数据访问号</x:v>
      </x:c>
      <x:c r="S434" s="275"/>
      <x:c r="T434" s="275"/>
      <x:c r="U434" s="276"/>
    </x:row>
    <x:row r="435" ht="60" customHeight="1">
      <x:c r="A435" s="264" t="str">
        <x:v>EEG-0457</x:v>
      </x:c>
      <x:c r="B435" s="257" t="str">
        <x:v>06_Motor_and_Interaction</x:v>
      </x:c>
      <x:c r="C435" s="257" t="str">
        <x:v>Interaction_and_Control</x:v>
      </x:c>
      <x:c r="D435" s="257" t="str">
        <x:v>BCIC-II-IIb</x:v>
      </x:c>
      <x:c r="E435" s="257"/>
      <x:c r="F435" s="257"/>
      <x:c r="G435" s="257" t="str">
        <x:v>DOWNLOAD_PUBLIC</x:v>
      </x:c>
      <x:c r="H435" s="257" t="str">
        <x:v>[BCI Competition II Data set IIb](https://www.bbci.de/competition/ii/)</x:v>
      </x:c>
      <x:c r="I435" s="257" t="str">
        <x:v>ERN / ERP BCI Competition II dataset IIb; SAMBA downstream source</x:v>
      </x:c>
      <x:c r="J435" s="257" t="str">
        <x:v>1</x:v>
      </x:c>
      <x:c r="K435" s="257" t="str">
        <x:v>64</x:v>
      </x:c>
      <x:c r="L435" s="257" t="str">
        <x:v>240Hz</x:v>
      </x:c>
      <x:c r="M435" s="257" t="str">
        <x:v>BCI Competition release</x:v>
      </x:c>
      <x:c r="N435" s="257" t="str">
        <x:v>raw / release-dependent</x:v>
      </x:c>
      <x:c r="O435" s="257" t="str">
        <x:v>Reported by SAMBA; exact BCI Competition page and metadata need confirmation.</x:v>
      </x:c>
      <x:c r="P435" s="257" t="str">
        <x:v>SAMBA; Liu et al. (2026), EEG Foundation Models Tables VIII-XIV</x:v>
      </x:c>
      <x:c r="Q435" s="257" t="str">
        <x:v>06_Motor_and_Interaction/Interaction_and_Control/BCIC-II-IIb</x:v>
      </x:c>
      <x:c r="R435" s="257" t="str">
        <x:v>存在公开仓库、官方入口或稳定数据访问号</x:v>
      </x:c>
      <x:c r="S435" s="257"/>
      <x:c r="T435" s="257"/>
      <x:c r="U435" s="213"/>
    </x:row>
    <x:row r="436" ht="60" customHeight="1">
      <x:c r="A436" s="274" t="str">
        <x:v>EEG-0458</x:v>
      </x:c>
      <x:c r="B436" s="275" t="str">
        <x:v>06_Motor_and_Interaction</x:v>
      </x:c>
      <x:c r="C436" s="275" t="str">
        <x:v>Interaction_and_Control</x:v>
      </x:c>
      <x:c r="D436" s="275" t="str">
        <x:v>BCIC-III-II</x:v>
      </x:c>
      <x:c r="E436" s="275"/>
      <x:c r="F436" s="275"/>
      <x:c r="G436" s="275" t="str">
        <x:v>DOWNLOAD_PUBLIC</x:v>
      </x:c>
      <x:c r="H436" s="275" t="str">
        <x:v>[BCI Competition III Data set II](https://www.bbci.de/competition/iii/desc_II.pdf)</x:v>
      </x:c>
      <x:c r="I436" s="275" t="str">
        <x:v>ERN / ERP BCI Competition III dataset II; SAMBA downstream source</x:v>
      </x:c>
      <x:c r="J436" s="275" t="str">
        <x:v>2</x:v>
      </x:c>
      <x:c r="K436" s="275" t="str">
        <x:v>64</x:v>
      </x:c>
      <x:c r="L436" s="275" t="str">
        <x:v>240Hz</x:v>
      </x:c>
      <x:c r="M436" s="275" t="str">
        <x:v>BCI Competition release</x:v>
      </x:c>
      <x:c r="N436" s="275" t="str">
        <x:v>raw / release-dependent</x:v>
      </x:c>
      <x:c r="O436" s="275" t="str">
        <x:v>Reported by SAMBA; exact BCI Competition page and metadata need confirmation.</x:v>
      </x:c>
      <x:c r="P436" s="275" t="str">
        <x:v>SAMBA; Liu et al. (2026), EEG Foundation Models Tables VIII-XIV</x:v>
      </x:c>
      <x:c r="Q436" s="275" t="str">
        <x:v>06_Motor_and_Interaction/Interaction_and_Control/BCIC-III-II</x:v>
      </x:c>
      <x:c r="R436" s="275" t="str">
        <x:v>存在公开仓库、官方入口或稳定数据访问号</x:v>
      </x:c>
      <x:c r="S436" s="275"/>
      <x:c r="T436" s="275"/>
      <x:c r="U436" s="276"/>
    </x:row>
    <x:row r="437" ht="60" customHeight="1">
      <x:c r="A437" s="264" t="str">
        <x:v>EEG-0478</x:v>
      </x:c>
      <x:c r="B437" s="257" t="str">
        <x:v>06_Motor_and_Interaction</x:v>
      </x:c>
      <x:c r="C437" s="257" t="str">
        <x:v>Interaction_and_Control</x:v>
      </x:c>
      <x:c r="D437" s="257" t="str">
        <x:v>Brain Invaders family</x:v>
      </x:c>
      <x:c r="E437" s="257"/>
      <x:c r="F437" s="257"/>
      <x:c r="G437" s="257" t="str">
        <x:v>DOWNLOAD_PUBLIC</x:v>
      </x:c>
      <x:c r="H437" s="257" t="str">
        <x:v>https://moabb.neurotechx.com/docs/generated/moabb.datasets.BI2015a.html</x:v>
      </x:c>
      <x:c r="I437" s="257" t="str">
        <x:v>visual P300 BCI；target vs non-target；adaptive vs non-adaptive；single-user vs collaborative</x:v>
      </x:c>
      <x:c r="J437" s="257" t="str">
        <x:v>43</x:v>
      </x:c>
      <x:c r="K437" s="257" t="str">
        <x:v>32</x:v>
      </x:c>
      <x:c r="L437" s="257" t="str">
        <x:v>512 Hz</x:v>
      </x:c>
      <x:c r="M437" s="257" t="str">
        <x:v>MAT / GDF / MOABB-supported</x:v>
      </x:c>
      <x:c r="N437" s="257" t="str">
        <x:v>Raw</x:v>
      </x:c>
      <x:c r="O437" s="257" t="str">
        <x:v>公开下载：通过 MOABB Brain Invaders 系列 (https://moabb.neurotechx.com/docs/dataset_summary.html) 自动获取；手动版本在 Zenodo 的 BI2014a / BI2014b / BI2015a / BI2015b 条目中。</x:v>
      </x:c>
      <x:c r="P437" s="257" t="str">
        <x:v>Congedo et al.; MOABB Brain Invaders releases</x:v>
      </x:c>
      <x:c r="Q437" s="257" t="str">
        <x:v>06_Motor_and_Interaction/Interaction_and_Control/Brain_Invaders_family</x:v>
      </x:c>
      <x:c r="R437" s="257" t="str">
        <x:v>存在公开仓库、官方入口或稳定数据访问号</x:v>
      </x:c>
      <x:c r="S437" s="257"/>
      <x:c r="T437" s="257"/>
      <x:c r="U437" s="213"/>
    </x:row>
    <x:row r="438" ht="60" customHeight="1">
      <x:c r="A438" s="274" t="str">
        <x:v>EEG-0486</x:v>
      </x:c>
      <x:c r="B438" s="275" t="str">
        <x:v>06_Motor_and_Interaction</x:v>
      </x:c>
      <x:c r="C438" s="275" t="str">
        <x:v>Error_Feedback</x:v>
      </x:c>
      <x:c r="D438" s="275" t="str">
        <x:v>KaggleERN (Inria BCI Challenge - Error-Related Negativity)</x:v>
      </x:c>
      <x:c r="E438" s="275" t="str">
        <x:v>Inria BCI Challenge
Perrin2012</x:v>
      </x:c>
      <x:c r="F438" s="275"/>
      <x:c r="G438" s="275" t="str">
        <x:v>DOWNLOAD_PUBLIC</x:v>
      </x:c>
      <x:c r="H438" s="275" t="str">
        <x:v>[Kaggle BCI Challenge @ NER 2015](https://www.kaggle.com/c/inria-bci-challenge)</x:v>
      </x:c>
      <x:c r="I438" s="275" t="str">
        <x:v>error-related negativity / erroneous feedback detection；correct vs incorrect feedback</x:v>
      </x:c>
      <x:c r="J438" s="275" t="str">
        <x:v>26.0</x:v>
      </x:c>
      <x:c r="K438" s="275" t="str">
        <x:v>56.0</x:v>
      </x:c>
      <x:c r="L438" s="275" t="str">
        <x:v>600.0</x:v>
      </x:c>
      <x:c r="M438" s="275" t="str">
        <x:v>CSV / competition files</x:v>
      </x:c>
      <x:c r="N438" s="275" t="str">
        <x:v>competition epochs / raw-like CSV</x:v>
      </x:c>
      <x:c r="O438" s="275" t="str">
        <x:v>竞赛数据：Kaggle BCI Challenge @ NER 2015 (https://www.kaggle.com/c/inria-bci-challenge)；需 Kaggle 账号并同意 competition rules。</x:v>
      </x:c>
      <x:c r="P438" s="275" t="str">
        <x:v>Perrin et al. (2012). Objective and Subjective Evaluation of Online Error Correction during P300-Based Spelling. Advances in Human-Computer Interaction.</x:v>
      </x:c>
      <x:c r="Q438" s="275" t="str">
        <x:v>06_Motor_and_Interaction/Error_Feedback/KaggleERN_Inria_BCI_Challenge_-_Error-Related_Negativity</x:v>
      </x:c>
      <x:c r="R438" s="275" t="str">
        <x:v>存在公开仓库、官方入口或稳定数据访问号</x:v>
      </x:c>
      <x:c r="S438" s="275"/>
      <x:c r="T438" s="275"/>
      <x:c r="U438" s="276"/>
    </x:row>
    <x:row r="439" ht="60" customHeight="1">
      <x:c r="A439" s="264" t="str">
        <x:v>EEG-0488</x:v>
      </x:c>
      <x:c r="B439" s="257" t="str">
        <x:v>06_Motor_and_Interaction</x:v>
      </x:c>
      <x:c r="C439" s="257" t="str">
        <x:v>Interaction_and_Control</x:v>
      </x:c>
      <x:c r="D439" s="257" t="str">
        <x:v>Mainsah2025 BigP3BCI family (Studies A-S2)</x:v>
      </x:c>
      <x:c r="E439" s="257"/>
      <x:c r="F439" s="257" t="str">
        <x:v>DOI:10.13026/0byy-ry86</x:v>
      </x:c>
      <x:c r="G439" s="257" t="str">
        <x:v>DOWNLOAD_PUBLIC</x:v>
      </x:c>
      <x:c r="H439" s="257" t="str">
        <x:v>https://moabb.neurotechx.com/docs/generated/moabb.datasets.mainsah2025.Mainsah2025.html</x:v>
      </x:c>
      <x:c r="I439" s="257" t="str">
        <x:v>P300 / ERP (visual, 2-class)</x:v>
      </x:c>
      <x:c r="J439" s="257" t="str">
        <x:v>5-36 per study</x:v>
      </x:c>
      <x:c r="K439" s="257" t="str">
        <x:v>16</x:v>
      </x:c>
      <x:c r="L439" s="257" t="str">
        <x:v>256 Hz</x:v>
      </x:c>
      <x:c r="M439" s="257"/>
      <x:c r="N439" s="257" t="str">
        <x:v>Raw</x:v>
      </x:c>
      <x:c r="O439" s="257" t="str">
        <x:v>MOABB documentation accessible; source access via PhysioNet/MOABB</x:v>
      </x:c>
      <x:c r="P439" s="257" t="str">
        <x:v>Duke University / East Tennessee State University, DOI 10.13026/0byy-ry86</x:v>
      </x:c>
      <x:c r="Q439" s="257" t="str">
        <x:v>06_Motor_and_Interaction/Interaction_and_Control/Mainsah2025_BigP3BCI_family_Studies_A-S2</x:v>
      </x:c>
      <x:c r="R439" s="257" t="str">
        <x:v>存在公开仓库、官方入口或稳定数据访问号</x:v>
      </x:c>
      <x:c r="S439" s="257"/>
      <x:c r="T439" s="257"/>
      <x:c r="U439" s="213"/>
    </x:row>
    <x:row r="440" ht="60" customHeight="1">
      <x:c r="A440" s="274" t="str">
        <x:v>EEG-0492</x:v>
      </x:c>
      <x:c r="B440" s="275" t="str">
        <x:v>03_Consciousness_and_State</x:v>
      </x:c>
      <x:c r="C440" s="275" t="str">
        <x:v>Resting_State</x:v>
      </x:c>
      <x:c r="D440" s="275" t="str">
        <x:v>ADFSU</x:v>
      </x:c>
      <x:c r="E440" s="275"/>
      <x:c r="F440" s="275"/>
      <x:c r="G440" s="275" t="str">
        <x:v>DOWNLOAD_PUBLIC</x:v>
      </x:c>
      <x:c r="H440" s="275" t="str">
        <x:v>[OSF ADFSU](https://osf.io/2v5md/)</x:v>
      </x:c>
      <x:c r="I440" s="275" t="str">
        <x:v>AD vs healthy control resting-state EEG; eyes-open and eyes-closed</x:v>
      </x:c>
      <x:c r="J440" s="275" t="str">
        <x:v>92</x:v>
      </x:c>
      <x:c r="K440" s="275" t="str">
        <x:v>19</x:v>
      </x:c>
      <x:c r="L440" s="275" t="str">
        <x:v>128Hz</x:v>
      </x:c>
      <x:c r="M440" s="275" t="str">
        <x:v>OSF files / release-dependent</x:v>
      </x:c>
      <x:c r="N440" s="275" t="str">
        <x:v>processed / artifact-cleaned EEG</x:v>
      </x:c>
      <x:c r="O440" s="275" t="str">
        <x:v>Freely available via OSF / Scientific Reports data link; cite Vicchietti et al.</x:v>
      </x:c>
      <x:c r="P440" s="275" t="str">
        <x:v>Vicchietti et al. (2023); BrainWave Table 2</x:v>
      </x:c>
      <x:c r="Q440" s="275" t="str">
        <x:v>03_Consciousness_and_State/Resting_State/ADFSU</x:v>
      </x:c>
      <x:c r="R440" s="275" t="str">
        <x:v>存在公开仓库、官方入口或稳定数据访问号</x:v>
      </x:c>
      <x:c r="S440" s="275"/>
      <x:c r="T440" s="275"/>
      <x:c r="U440" s="276"/>
    </x:row>
    <x:row r="441" ht="60" customHeight="1">
      <x:c r="A441" s="264" t="str">
        <x:v>EEG-0494</x:v>
      </x:c>
      <x:c r="B441" s="257" t="str">
        <x:v>03_Consciousness_and_State</x:v>
      </x:c>
      <x:c r="C441" s="257" t="str">
        <x:v>Resting_State</x:v>
      </x:c>
      <x:c r="D441" s="257" t="str">
        <x:v>Babayan (2021)</x:v>
      </x:c>
      <x:c r="E441" s="257"/>
      <x:c r="F441" s="257"/>
      <x:c r="G441" s="257" t="str">
        <x:v>DOWNLOAD_APPLICATION_REQUIRED</x:v>
      </x:c>
      <x:c r="H441" s="257" t="str">
        <x:v>https://fcon_1000.projects.nitrc.org/indi/retro/MPI_LEMON/downloads/download_EEG.html</x:v>
      </x:c>
      <x:c r="I441" s="257" t="str">
        <x:v>resting-state</x:v>
      </x:c>
      <x:c r="J441" s="257" t="str">
        <x:v>227</x:v>
      </x:c>
      <x:c r="K441" s="257" t="str">
        <x:v>62</x:v>
      </x:c>
      <x:c r="L441" s="257" t="str">
        <x:v>2500 Hz (raw); 500 Hz (after downsampling)</x:v>
      </x:c>
      <x:c r="M441" s="257" t="str">
        <x:v>BrainVision</x:v>
      </x:c>
      <x:c r="N441" s="257" t="str">
        <x:v>Both raw and preprocessed EEG (BrainVision .eeg/.vhdr/.vmrk) provided</x:v>
      </x:c>
      <x:c r="O441" s="257" t="str">
        <x:v>Open access, no application needed for EEG/MRI imaging data (some phenotypic/psychiatric data restricted, requires data use agreement via COINS)</x:v>
      </x:c>
      <x:c r="P441" s="257" t="str">
        <x:v>Babayan A, Erbey M, Kumral D, et al. Sci Data 2019;6:180308. NOTE: table lists Subj=2274, which appears to be a typo/OCR error -- actual paper reports N=227-228 participants (~216 with usable EEG).</x:v>
      </x:c>
      <x:c r="Q441" s="257" t="str">
        <x:v>03_Consciousness_and_State/Resting_State/Babayan_2021</x:v>
      </x:c>
      <x:c r="R441" s="257" t="str">
        <x:v>官方数据存在，但需申请、签署协议或获得权限</x:v>
      </x:c>
      <x:c r="S441" s="257"/>
      <x:c r="T441" s="257"/>
      <x:c r="U441" s="213"/>
    </x:row>
    <x:row r="442" ht="60" customHeight="1">
      <x:c r="A442" s="274" t="str">
        <x:v>EEG-0506</x:v>
      </x:c>
      <x:c r="B442" s="275" t="str">
        <x:v>03_Consciousness_and_State</x:v>
      </x:c>
      <x:c r="C442" s="275" t="str">
        <x:v>Resting_State</x:v>
      </x:c>
      <x:c r="D442" s="275" t="str">
        <x:v>MPI-LEMON</x:v>
      </x:c>
      <x:c r="E442" s="275"/>
      <x:c r="F442" s="275"/>
      <x:c r="G442" s="275" t="str">
        <x:v>DOWNLOAD_PUBLIC</x:v>
      </x:c>
      <x:c r="H442" s="275" t="str">
        <x:v>https://ftp.gwdg.de/pub/misc/MPI-Leipzig_Mind-Brain-Body-LEMON/</x:v>
      </x:c>
      <x:c r="I442" s="275" t="str">
        <x:v>Resting-state (EO/EC); OmniEEG: age/gender/extraversion classification</x:v>
      </x:c>
      <x:c r="J442" s="275" t="str">
        <x:v>203</x:v>
      </x:c>
      <x:c r="K442" s="275" t="str">
        <x:v>62</x:v>
      </x:c>
      <x:c r="L442" s="275" t="str">
        <x:v>500 Hz (rec 2500)</x:v>
      </x:c>
      <x:c r="M442" s="275" t="str">
        <x:v>BrainVision</x:v>
      </x:c>
      <x:c r="N442" s="275" t="str">
        <x:v>Both (raw + preprocessed rs-EEG)</x:v>
      </x:c>
      <x:c r="O442" s="275" t="str">
        <x:v>Open (GWDG/FCP-INDI), CC BY-NC; review data terms</x:v>
      </x:c>
      <x:c r="P442" s="275" t="str">
        <x:v>A mind-brain-body dataset of MRI, EEG, cognition, emotion, and peripheral physiology in young and old adults. Babayan et al., 2019, Scientific Data 6:180308.</x:v>
      </x:c>
      <x:c r="Q442" s="275" t="str">
        <x:v>03_Consciousness_and_State/Resting_State/MPI-LEMON</x:v>
      </x:c>
      <x:c r="R442" s="275" t="str">
        <x:v>存在公开仓库、官方入口或稳定数据访问号</x:v>
      </x:c>
      <x:c r="S442" s="275"/>
      <x:c r="T442" s="275"/>
      <x:c r="U442" s="276"/>
    </x:row>
    <x:row r="443" ht="60" customHeight="1">
      <x:c r="A443" s="264" t="str">
        <x:v>EEG-0516</x:v>
      </x:c>
      <x:c r="B443" s="257" t="str">
        <x:v>03_Consciousness_and_State</x:v>
      </x:c>
      <x:c r="C443" s="257" t="str">
        <x:v>Resting_State</x:v>
      </x:c>
      <x:c r="D443" s="257" t="str">
        <x:v>Single-pulse open-loop TMS-EEG Dataset</x:v>
      </x:c>
      <x:c r="E443" s="257"/>
      <x:c r="F443" s="257" t="str">
        <x:v>OpenNeuro:ds002094</x:v>
      </x:c>
      <x:c r="G443" s="257" t="str">
        <x:v>DOWNLOAD_PUBLIC</x:v>
      </x:c>
      <x:c r="H443" s="257" t="str">
        <x:v>[OpenNeuro ds002094](https://openneuro.org/datasets/ds002094/versions/1.0.0)</x:v>
      </x:c>
      <x:c r="I443" s="257" t="str">
        <x:v>resting EEG + single-pulse TMS-EEG；cortical excitability / evoked response</x:v>
      </x:c>
      <x:c r="J443" s="257" t="str">
        <x:v>20</x:v>
      </x:c>
      <x:c r="K443" s="257" t="str">
        <x:v>30</x:v>
      </x:c>
      <x:c r="L443" s="257" t="str">
        <x:v>5000Hz</x:v>
      </x:c>
      <x:c r="M443" s="257" t="str">
        <x:v>BIDS</x:v>
      </x:c>
      <x:c r="N443" s="257" t="str">
        <x:v>raw BIDS</x:v>
      </x:c>
      <x:c r="O443" s="257" t="str">
        <x:v>公开下载：OpenNeuro ds002094 v1.0.0；CC0，可网页、OpenNeuro CLI 或 DataLad 获取。</x:v>
      </x:c>
      <x:c r="P443" s="257" t="str">
        <x:v>未给出</x:v>
      </x:c>
      <x:c r="Q443" s="257" t="str">
        <x:v>03_Consciousness_and_State/Resting_State/Single-pulse_open-loop_TMS-EEG_Dataset</x:v>
      </x:c>
      <x:c r="R443" s="257" t="str">
        <x:v>存在公开仓库、官方入口或稳定数据访问号</x:v>
      </x:c>
      <x:c r="S443" s="257"/>
      <x:c r="T443" s="257"/>
      <x:c r="U443" s="213"/>
    </x:row>
    <x:row r="444" ht="60" customHeight="1">
      <x:c r="A444" s="274" t="str">
        <x:v>EEG-0518</x:v>
      </x:c>
      <x:c r="B444" s="275" t="str">
        <x:v>03_Consciousness_and_State</x:v>
      </x:c>
      <x:c r="C444" s="275" t="str">
        <x:v>Resting_State</x:v>
      </x:c>
      <x:c r="D444" s="275" t="str">
        <x:v>Virtual T-maze paradigm including resting EEG: Example dataset</x:v>
      </x:c>
      <x:c r="E444" s="275"/>
      <x:c r="F444" s="275" t="str">
        <x:v>Zenodo:4697026 | DOI:10.3389/fnins.2021.660449</x:v>
      </x:c>
      <x:c r="G444" s="275" t="str">
        <x:v>DOWNLOAD_PUBLIC</x:v>
      </x:c>
      <x:c r="H444" s="275" t="str">
        <x:v>https://zenodo.org/records/4697026</x:v>
      </x:c>
      <x:c r="I444" s="275" t="str">
        <x:v>Virtual T-maze task and resting EEG</x:v>
      </x:c>
      <x:c r="J444" s="275" t="str">
        <x:v>34</x:v>
      </x:c>
      <x:c r="K444" s="275" t="str">
        <x:v>64</x:v>
      </x:c>
      <x:c r="L444" s="275"/>
      <x:c r="M444" s="275" t="str">
        <x:v>.eeg .vhd</x:v>
      </x:c>
      <x:c r="N444" s="275" t="str">
        <x:v>Raw</x:v>
      </x:c>
      <x:c r="O444" s="275" t="str">
        <x:v>Fully open</x:v>
      </x:c>
      <x:c r="P444" s="275" t="str">
        <x:v>DOI: 10.3389/fnins.2021.660449</x:v>
      </x:c>
      <x:c r="Q444" s="275" t="str">
        <x:v>03_Consciousness_and_State/Resting_State/Virtual_T-maze_paradigm_including_resting_EEG_Example_dataset</x:v>
      </x:c>
      <x:c r="R444" s="275" t="str">
        <x:v>存在公开仓库、官方入口或稳定数据访问号</x:v>
      </x:c>
      <x:c r="S444" s="275"/>
      <x:c r="T444" s="275"/>
      <x:c r="U444" s="276"/>
    </x:row>
    <x:row r="445" ht="60" customHeight="1">
      <x:c r="A445" s="264" t="str">
        <x:v>EEG-0524</x:v>
      </x:c>
      <x:c r="B445" s="257" t="str">
        <x:v>07_General-purpose</x:v>
      </x:c>
      <x:c r="C445" s="257" t="str">
        <x:v>Biometrics_and_Identity</x:v>
      </x:c>
      <x:c r="D445" s="257" t="str">
        <x:v>M3CV (Multi-Subject Multi-Session Multi-Paradigm database for EEG-based Biometrics)</x:v>
      </x:c>
      <x:c r="E445" s="257"/>
      <x:c r="F445" s="257"/>
      <x:c r="G445" s="257" t="str">
        <x:v>DOWNLOAD_PUBLIC</x:v>
      </x:c>
      <x:c r="H445" s="257" t="str">
        <x:v>[Kaggle M3CV EEG-based Biometric Competition](https://www.kaggle.com/c/eeg-based-biometric-competition)</x:v>
      </x:c>
      <x:c r="I445" s="257" t="str">
        <x:v>Biometrics / brainprint identification (MULTI paradigm: resting state, ERP, evoked stimuli, P300, motor execution, SSVEP)</x:v>
      </x:c>
      <x:c r="J445" s="257" t="str">
        <x:v>106.0</x:v>
      </x:c>
      <x:c r="K445" s="257" t="str">
        <x:v>64.0</x:v>
      </x:c>
      <x:c r="L445" s="257" t="str">
        <x:v>256.0</x:v>
      </x:c>
      <x:c r="M445" s="257" t="str">
        <x:v>MAT (.mat; each epoch shaped 65x1000 = 64 EEG + 1 marker channel x 1000 samples)</x:v>
      </x:c>
      <x:c r="N445" s="257" t="str">
        <x:v>raw</x:v>
      </x:c>
      <x:c r="O445" s="257" t="str">
        <x:v>公开下载：Kaggle M3CV EEG-based Biometric Competition (https://www.kaggle.com/c/eeg-based-biometric-competition)；也可从 NeMAR / OpenNeuro / EEGDash 的 BIDS 版本获取。</x:v>
      </x:c>
      <x:c r="P445" s="257" t="str">
        <x:v>Huang et al. (2022). M3CV: A multi-subject, multi-session, and multi-task database for EEG-based biometrics challenge. NeuroImage.</x:v>
      </x:c>
      <x:c r="Q445" s="257" t="str">
        <x:v>02_Biometrics_and_Disease/Biometrics_and_Traits/M3CV_Multi-Subject_Multi-Session_Multi-Paradigm_database_for_EEG-based_Biometrics</x:v>
      </x:c>
      <x:c r="R445" s="257" t="str">
        <x:v>存在公开仓库、官方入口或稳定数据访问号</x:v>
      </x:c>
      <x:c r="S445" s="257"/>
      <x:c r="T445" s="257"/>
      <x:c r="U445" s="213"/>
    </x:row>
    <x:row r="446" ht="60" customHeight="1">
      <x:c r="A446" s="274" t="str">
        <x:v>EEG-0538</x:v>
      </x:c>
      <x:c r="B446" s="275" t="str">
        <x:v>07_General-purpose_and_Multi-paradigm</x:v>
      </x:c>
      <x:c r="C446" s="275" t="str">
        <x:v>Multi-task_EEG</x:v>
      </x:c>
      <x:c r="D446" s="275" t="str">
        <x:v>EEGEyeNet</x:v>
      </x:c>
      <x:c r="E446" s="275"/>
      <x:c r="F446" s="275"/>
      <x:c r="G446" s="275" t="str">
        <x:v>DOWNLOAD_PUBLIC</x:v>
      </x:c>
      <x:c r="H446" s="275" t="str">
        <x:v>https://osf.io/5n6fm/</x:v>
      </x:c>
      <x:c r="I446" s="275" t="str">
        <x:v>Eye Movement Direction/Amplitude/Position Decoding from EEG (3 paradigms: left-right / angle-amplitude / absolute position)</x:v>
      </x:c>
      <x:c r="J446" s="275" t="str">
        <x:v>356</x:v>
      </x:c>
      <x:c r="K446" s="275" t="str">
        <x:v>128 (EGI Geodesic Hydrocel)</x:v>
      </x:c>
      <x:c r="L446" s="275" t="str">
        <x:v>500 Hz</x:v>
      </x:c>
      <x:c r="M446" s="275" t="str">
        <x:v>EEG (EGI MFF/NetStation; preprocessed NPY on OSF)</x:v>
      </x:c>
      <x:c r="N446" s="275" t="str">
        <x:v>Raw + preprocessed</x:v>
      </x:c>
      <x:c r="O446" s="275" t="str">
        <x:v>public research dataset；按仓库说明下载</x:v>
      </x:c>
      <x:c r="P446" s="275" t="str">
        <x:v>Kastrati et al. 2021, NeurIPS Datasets &amp; Benchmarks</x:v>
      </x:c>
      <x:c r="Q446" s="275" t="str">
        <x:v>07_General-purpose_and_Multi-paradigm/Multi-task_EEG/EEGEyeNet</x:v>
      </x:c>
      <x:c r="R446" s="275" t="str">
        <x:v>存在公开仓库、官方入口或稳定数据访问号</x:v>
      </x:c>
      <x:c r="S446" s="275"/>
      <x:c r="T446" s="275"/>
      <x:c r="U446" s="276"/>
    </x:row>
    <x:row r="447" ht="60" customHeight="1">
      <x:c r="A447" s="264" t="str">
        <x:v>EEG-0008</x:v>
      </x:c>
      <x:c r="B447" s="257" t="str">
        <x:v>02_Healthcare_and_Disease</x:v>
      </x:c>
      <x:c r="C447" s="257" t="str">
        <x:v>Epilepsy_and_Abnormalities</x:v>
      </x:c>
      <x:c r="D447" s="257" t="str">
        <x:v>Bonn EEG Seizure Dataset</x:v>
      </x:c>
      <x:c r="E447" s="257" t="str">
        <x:v>University of Bonn EEG Database (Andrzejak et al. 2001) [EEG-0037]</x:v>
      </x:c>
      <x:c r="F447" s="257"/>
      <x:c r="G447" s="257" t="str">
        <x:v>DOWNLOAD_PUBLIC</x:v>
      </x:c>
      <x:c r="H447" s="257" t="str">
        <x:v>[University of Bonn EEG data](https://www.ukbonn.de/epileptologie/arbeitsgruppen/ag-lehnertz-neurophysik/downloads/) | https://www.ukbonn.de/epileptologie/arbeitsgruppen/ag-lehnertz-neurophysik/downloads/</x:v>
      </x:c>
      <x:c r="I447" s="257" t="str">
        <x:v>seizure vs non-seizure / epilepsy classification；Epileptic seizure classification</x:v>
      </x:c>
      <x:c r="J447" s="257" t="str">
        <x:v>未给出</x:v>
      </x:c>
      <x:c r="K447" s="257" t="str">
        <x:v>1</x:v>
      </x:c>
      <x:c r="L447" s="257" t="str">
        <x:v>173.61Hz</x:v>
      </x:c>
      <x:c r="M447" s="257" t="str">
        <x:v>TXT / ASCII</x:v>
      </x:c>
      <x:c r="N447" s="257" t="str">
        <x:v>processed</x:v>
      </x:c>
      <x:c r="O447" s="257" t="str">
        <x:v>public academic download；citation required</x:v>
      </x:c>
      <x:c r="P447" s="257" t="str">
        <x:v>Andrzejak et al., 2001</x:v>
      </x:c>
      <x:c r="Q447" s="257" t="str">
        <x:v>02_Biometrics_and_Disease/Epilepsy_and_Abnormalities/Bonn_EEG_Seizure_Dataset</x:v>
      </x:c>
      <x:c r="R447" s="257" t="str">
        <x:v>存在公开仓库、官方入口或稳定数据访问号；2026-08-04去重：EEG-0037并入EEG-0008（Official University of Bonn landing page and Andrzejak 2001 corpus identity）</x:v>
      </x:c>
      <x:c r="S447" s="257"/>
      <x:c r="T447" s="257"/>
      <x:c r="U447" s="213"/>
    </x:row>
    <x:row r="448" ht="60" customHeight="1">
      <x:c r="A448" s="274" t="str">
        <x:v>EEG-0039</x:v>
      </x:c>
      <x:c r="B448" s="275" t="str">
        <x:v>02_Healthcare_and_Disease</x:v>
      </x:c>
      <x:c r="C448" s="275" t="str">
        <x:v>Neurodegenerative_Disorders</x:v>
      </x:c>
      <x:c r="D448" s="275" t="str">
        <x:v>AD-Auditory</x:v>
      </x:c>
      <x:c r="E448" s="275"/>
      <x:c r="F448" s="275" t="str">
        <x:v>OpenNeuro:ds005048</x:v>
      </x:c>
      <x:c r="G448" s="275" t="str">
        <x:v>DOWNLOAD_PUBLIC</x:v>
      </x:c>
      <x:c r="H448" s="275" t="str">
        <x:v>[OpenNeuro ds005048](https://openneuro.org/datasets/ds005048)</x:v>
      </x:c>
      <x:c r="I448" s="275" t="str">
        <x:v>AD / MCI / healthy control classification；auditory steady-state response / entrainment biomarkers</x:v>
      </x:c>
      <x:c r="J448" s="275" t="str">
        <x:v>未给出</x:v>
      </x:c>
      <x:c r="K448" s="275" t="str">
        <x:v>19</x:v>
      </x:c>
      <x:c r="L448" s="275" t="str">
        <x:v>250Hz</x:v>
      </x:c>
      <x:c r="M448" s="275" t="str">
        <x:v>BIDS</x:v>
      </x:c>
      <x:c r="N448" s="275" t="str">
        <x:v>raw BIDS</x:v>
      </x:c>
      <x:c r="O448" s="275" t="str">
        <x:v>公开下载：OpenNeuro ds005048 (https://openneuro.org/datasets/ds005048)</x:v>
      </x:c>
      <x:c r="P448" s="275" t="str">
        <x:v>未给出</x:v>
      </x:c>
      <x:c r="Q448" s="275" t="str">
        <x:v>02_Biometrics_and_Disease/Neurodegenerative_Disorders/AD-Auditory</x:v>
      </x:c>
      <x:c r="R448" s="275" t="str">
        <x:v>存在公开仓库、官方入口或稳定数据访问号</x:v>
      </x:c>
      <x:c r="S448" s="275"/>
      <x:c r="T448" s="275"/>
      <x:c r="U448" s="276"/>
    </x:row>
    <x:row r="449" ht="60" customHeight="1">
      <x:c r="A449" s="264" t="str">
        <x:v>EEG-0044</x:v>
      </x:c>
      <x:c r="B449" s="257" t="str">
        <x:v>02_Healthcare_and_Disease</x:v>
      </x:c>
      <x:c r="C449" s="257" t="str">
        <x:v>Neurodegenerative_Disorders</x:v>
      </x:c>
      <x:c r="D449" s="257" t="str">
        <x:v>Dementia Photo-stimulation Open-eyes EEG</x:v>
      </x:c>
      <x:c r="E449" s="257"/>
      <x:c r="F449" s="257" t="str">
        <x:v>OpenNeuro:ds006036</x:v>
      </x:c>
      <x:c r="G449" s="257" t="str">
        <x:v>DOWNLOAD_PUBLIC</x:v>
      </x:c>
      <x:c r="H449" s="257" t="str">
        <x:v>[OpenNeuro ds006036](https://openneuro.org/datasets/ds006036/versions/1.0.6)</x:v>
      </x:c>
      <x:c r="I449" s="257" t="str">
        <x:v>open-eyes EEG in photo-stimulation setting</x:v>
      </x:c>
      <x:c r="J449" s="257" t="str">
        <x:v>88</x:v>
      </x:c>
      <x:c r="K449" s="257" t="str">
        <x:v>未给出</x:v>
      </x:c>
      <x:c r="L449" s="257" t="str">
        <x:v>未给出</x:v>
      </x:c>
      <x:c r="M449" s="257" t="str">
        <x:v>BIDS</x:v>
      </x:c>
      <x:c r="N449" s="257" t="str">
        <x:v>raw BIDS</x:v>
      </x:c>
      <x:c r="O449" s="257" t="str">
        <x:v>公开下载：OpenNeuro ds006036 v1.0.6；CC0，可网页、OpenNeuro CLI 或 DataLad 获取。</x:v>
      </x:c>
      <x:c r="P449" s="257" t="str">
        <x:v>Aimilia Ntetska; Andreas Miltiadous; Alexandros T. Tzallas; Katerina D. Tzimourta; Theodora Afrantou</x:v>
      </x:c>
      <x:c r="Q449" s="257" t="str">
        <x:v>02_Biometrics_and_Disease/Neurodegenerative_Disorders/Dementia_Photo-stimulation_Open-eyes_EEG</x:v>
      </x:c>
      <x:c r="R449" s="257" t="str">
        <x:v>存在公开仓库、官方入口或稳定数据访问号</x:v>
      </x:c>
      <x:c r="S449" s="257"/>
      <x:c r="T449" s="257"/>
      <x:c r="U449" s="213"/>
    </x:row>
    <x:row r="450" ht="60" customHeight="1">
      <x:c r="A450" s="274" t="str">
        <x:v>EEG-0050</x:v>
      </x:c>
      <x:c r="B450" s="275" t="str">
        <x:v>02_Healthcare_and_Disease</x:v>
      </x:c>
      <x:c r="C450" s="275" t="str">
        <x:v>Mental_and_Developmental_Disorders</x:v>
      </x:c>
      <x:c r="D450" s="275" t="str">
        <x:v>Autism Detection Dataset</x:v>
      </x:c>
      <x:c r="E450" s="275"/>
      <x:c r="F450" s="275"/>
      <x:c r="G450" s="275" t="str">
        <x:v>DOWNLOAD_PUBLIC</x:v>
      </x:c>
      <x:c r="H450" s="275" t="str">
        <x:v>https://bci.med.tsinghua.edu.cn/download.html</x:v>
      </x:c>
      <x:c r="I450" s="275" t="str">
        <x:v>Pupillary response and eye-tracking visual paradigm for autism spectrum disorder detection</x:v>
      </x:c>
      <x:c r="J450" s="275" t="str">
        <x:v>75</x:v>
      </x:c>
      <x:c r="K450" s="275" t="str">
        <x:v>Eye-tracking / Pupillary data (No EEG)</x:v>
      </x:c>
      <x:c r="L450" s="275"/>
      <x:c r="M450" s="275" t="str">
        <x:v>CSV</x:v>
      </x:c>
      <x:c r="N450" s="275" t="str">
        <x:v>下载内容仅含眼动/瞳孔数据；未发现 EEG 信号</x:v>
      </x:c>
      <x:c r="O450" s="275" t="str">
        <x:v>Open Access</x:v>
      </x:c>
      <x:c r="P450" s="275" t="str">
        <x:v>Liu et al. 2022</x:v>
      </x:c>
      <x:c r="Q450" s="275" t="str">
        <x:v>02_Biometrics_and_Disease/Mental_and_Developmental_Disorders/Autism_Detection_Dataset</x:v>
      </x:c>
      <x:c r="R450" s="275" t="str">
        <x:v>存在公开仓库、官方入口或稳定数据访问号</x:v>
      </x:c>
      <x:c r="S450" s="275"/>
      <x:c r="T450" s="275"/>
      <x:c r="U450" s="276"/>
    </x:row>
    <x:row r="451" ht="60" customHeight="1">
      <x:c r="A451" s="264" t="str">
        <x:v>EEG-0158</x:v>
      </x:c>
      <x:c r="B451" s="257" t="str">
        <x:v>04_Cognition_and_Emotion</x:v>
      </x:c>
      <x:c r="C451" s="257" t="str">
        <x:v>Vigilance_Detection</x:v>
      </x:c>
      <x:c r="D451" s="257" t="str">
        <x:v>EPOC Post-SARS-CoV-2 PVT EEG</x:v>
      </x:c>
      <x:c r="E451" s="257"/>
      <x:c r="F451" s="257" t="str">
        <x:v>OpenNeuro:ds007605</x:v>
      </x:c>
      <x:c r="G451" s="257" t="str">
        <x:v>DOWNLOAD_PUBLIC</x:v>
      </x:c>
      <x:c r="H451" s="257" t="str">
        <x:v>[OpenNeuro ds007605](https://openneuro.org/datasets/ds007605/versions/1.0.0)</x:v>
      </x:c>
      <x:c r="I451" s="257" t="str">
        <x:v>psychomotor vigilance task；post-SARS-CoV-2 cognitive symptoms and fatigue</x:v>
      </x:c>
      <x:c r="J451" s="257" t="str">
        <x:v>97</x:v>
      </x:c>
      <x:c r="K451" s="257" t="str">
        <x:v>未给出</x:v>
      </x:c>
      <x:c r="L451" s="257" t="str">
        <x:v>未给出</x:v>
      </x:c>
      <x:c r="M451" s="257" t="str">
        <x:v>BIDS</x:v>
      </x:c>
      <x:c r="N451" s="257" t="str">
        <x:v>raw BIDS</x:v>
      </x:c>
      <x:c r="O451" s="257" t="str">
        <x:v>公开下载：OpenNeuro ds007605 v1.0.0；CC0，可网页、OpenNeuro CLI 或 DataLad 获取。</x:v>
      </x:c>
      <x:c r="P451" s="257" t="str">
        <x:v>Christian Neumann; Johanna Geritz; Julian Keil; Walter Maetzler; Julius Welzel</x:v>
      </x:c>
      <x:c r="Q451" s="257" t="str">
        <x:v>04_Cognition_and_Emotion/Vigilance_Detection/EPOC_Post-SARS-CoV-2_PVT_EEG</x:v>
      </x:c>
      <x:c r="R451" s="257" t="str">
        <x:v>存在公开仓库、官方入口或稳定数据访问号</x:v>
      </x:c>
      <x:c r="S451" s="257"/>
      <x:c r="T451" s="257"/>
      <x:c r="U451" s="213"/>
    </x:row>
    <x:row r="452" ht="60" customHeight="1">
      <x:c r="A452" s="274" t="str">
        <x:v>EEG-0161</x:v>
      </x:c>
      <x:c r="B452" s="275" t="str">
        <x:v>04_Cognition_and_Emotion</x:v>
      </x:c>
      <x:c r="C452" s="275" t="str">
        <x:v>Vigilance_Detection</x:v>
      </x:c>
      <x:c r="D452" s="275" t="str">
        <x:v>Han2024Fatigue</x:v>
      </x:c>
      <x:c r="E452" s="275"/>
      <x:c r="F452" s="275"/>
      <x:c r="G452" s="275" t="str">
        <x:v>DOWNLOAD_APPLICATION_REQUIRED</x:v>
      </x:c>
      <x:c r="H452" s="275" t="str">
        <x:v>https://moabb.neurotechx.com/docs/generated/moabb.datasets.Han2024Fatigue.html</x:v>
      </x:c>
      <x:c r="I452" s="275" t="str">
        <x:v>SSVEP (32-target, fatigue study)</x:v>
      </x:c>
      <x:c r="J452" s="275" t="str">
        <x:v>24</x:v>
      </x:c>
      <x:c r="K452" s="275" t="str">
        <x:v>64</x:v>
      </x:c>
      <x:c r="L452" s="275" t="str">
        <x:v>1000 Hz</x:v>
      </x:c>
      <x:c r="M452" s="275"/>
      <x:c r="N452" s="275" t="str">
        <x:v>Raw</x:v>
      </x:c>
      <x:c r="O452" s="275" t="str">
        <x:v>Open, CC BY 4.0, no application</x:v>
      </x:c>
      <x:c r="P452" s="275" t="str">
        <x:v>Dong Ming, Tianjin University</x:v>
      </x:c>
      <x:c r="Q452" s="275" t="str">
        <x:v>04_Cognition_and_Emotion/Vigilance_Detection/Han2024Fatigue</x:v>
      </x:c>
      <x:c r="R452" s="275" t="str">
        <x:v>官方数据存在，但需申请、签署协议或获得权限</x:v>
      </x:c>
      <x:c r="S452" s="275"/>
      <x:c r="T452" s="275"/>
      <x:c r="U452" s="276"/>
    </x:row>
    <x:row r="453" ht="60" customHeight="1">
      <x:c r="A453" s="264" t="str">
        <x:v>EEG-0175</x:v>
      </x:c>
      <x:c r="B453" s="257" t="str">
        <x:v>04_Cognition_and_Emotion</x:v>
      </x:c>
      <x:c r="C453" s="257" t="str">
        <x:v>Emotion_Recognition</x:v>
      </x:c>
      <x:c r="D453" s="257" t="str">
        <x:v>EEG-Asymmetries Dataset</x:v>
      </x:c>
      <x:c r="E453" s="257"/>
      <x:c r="F453" s="257" t="str">
        <x:v>OpenNeuro:ds007172</x:v>
      </x:c>
      <x:c r="G453" s="257" t="str">
        <x:v>DOWNLOAD_PUBLIC</x:v>
      </x:c>
      <x:c r="H453" s="257" t="str">
        <x:v>[OpenNeuro ds007172](https://openneuro.org/datasets/ds007172/versions/1.0.0)</x:v>
      </x:c>
      <x:c r="I453" s="257" t="str">
        <x:v>houses；words；emotions；faces；rest；hemispheric asymmetry</x:v>
      </x:c>
      <x:c r="J453" s="257" t="str">
        <x:v>100</x:v>
      </x:c>
      <x:c r="K453" s="257" t="str">
        <x:v>未给出</x:v>
      </x:c>
      <x:c r="L453" s="257" t="str">
        <x:v>未给出</x:v>
      </x:c>
      <x:c r="M453" s="257" t="str">
        <x:v>BIDS</x:v>
      </x:c>
      <x:c r="N453" s="257" t="str">
        <x:v>raw BIDS</x:v>
      </x:c>
      <x:c r="O453" s="257" t="str">
        <x:v>公开下载：OpenNeuro ds007172 v1.0.0；CC0，可网页、OpenNeuro CLI 或 DataLad 获取。</x:v>
      </x:c>
      <x:c r="P453" s="257" t="str">
        <x:v>Petunia Reinke; Lisa Deneke; Sebastian Ocklenburg</x:v>
      </x:c>
      <x:c r="Q453" s="257" t="str">
        <x:v>04_Cognition_and_Emotion/Emotion_Recognition/EEG-Asymmetries_Dataset</x:v>
      </x:c>
      <x:c r="R453" s="257" t="str">
        <x:v>存在公开仓库、官方入口或稳定数据访问号</x:v>
      </x:c>
      <x:c r="S453" s="257"/>
      <x:c r="T453" s="257"/>
      <x:c r="U453" s="213"/>
    </x:row>
    <x:row r="454" ht="60" customHeight="1">
      <x:c r="A454" s="274" t="str">
        <x:v>EEG-0183</x:v>
      </x:c>
      <x:c r="B454" s="275" t="str">
        <x:v>04_Cognition_and_Emotion</x:v>
      </x:c>
      <x:c r="C454" s="275" t="str">
        <x:v>Emotion_Recognition</x:v>
      </x:c>
      <x:c r="D454" s="275" t="str">
        <x:v>Loneliness Socio-affective EEG Suite</x:v>
      </x:c>
      <x:c r="E454" s="275"/>
      <x:c r="F454" s="275" t="str">
        <x:v>OpenNeuro:ds006861,ds006866,ds007827</x:v>
      </x:c>
      <x:c r="G454" s="275" t="str">
        <x:v>DOWNLOAD_PUBLIC</x:v>
      </x:c>
      <x:c r="H454" s="275" t="str">
        <x:v>[OpenNeuro ds006866](https://openneuro.org/datasets/ds006866/versions/1.0.0) / [ds006861](https://openneuro.org/datasets/ds006861/versions/1.0.2) / [ds007827](https://openneuro.org/datasets/ds007827/versions/1.0.1)</x:v>
      </x:c>
      <x:c r="I454" s="275" t="str">
        <x:v>emotion processing/regulation；image ratings；roving oddball；loneliness markers</x:v>
      </x:c>
      <x:c r="J454" s="275" t="str">
        <x:v>99-148</x:v>
      </x:c>
      <x:c r="K454" s="275" t="str">
        <x:v>未给出</x:v>
      </x:c>
      <x:c r="L454" s="275" t="str">
        <x:v>未给出</x:v>
      </x:c>
      <x:c r="M454" s="275" t="str">
        <x:v>BIDS</x:v>
      </x:c>
      <x:c r="N454" s="275" t="str">
        <x:v>raw BIDS</x:v>
      </x:c>
      <x:c r="O454" s="275" t="str">
        <x:v>公开下载：OpenNeuro ds006866 / ds006861 / ds007827；CC0，可网页、OpenNeuro CLI 或 DataLad 获取。</x:v>
      </x:c>
      <x:c r="P454" s="275" t="str">
        <x:v>Szymon Mąka; Marta Chrustowicz; Łukasz Okruszek; Joe Bathelt; Corine van Dijk; Marte Otten</x:v>
      </x:c>
      <x:c r="Q454" s="275" t="str">
        <x:v>04_Cognition_and_Emotion/Emotion_Recognition/Loneliness_Socio-affective_EEG_Suite</x:v>
      </x:c>
      <x:c r="R454" s="275" t="str">
        <x:v>存在公开仓库、官方入口或稳定数据访问号</x:v>
      </x:c>
      <x:c r="S454" s="275"/>
      <x:c r="T454" s="275"/>
      <x:c r="U454" s="276"/>
    </x:row>
    <x:row r="455" ht="60" customHeight="1">
      <x:c r="A455" s="264" t="str">
        <x:v>EEG-0210</x:v>
      </x:c>
      <x:c r="B455" s="257" t="str">
        <x:v>04_Cognition_and_Emotion</x:v>
      </x:c>
      <x:c r="C455" s="257" t="str">
        <x:v>Cognitive_Task_Recognition</x:v>
      </x:c>
      <x:c r="D455" s="257" t="str">
        <x:v>Cabergoline Reinforcement-learning EEG Suite</x:v>
      </x:c>
      <x:c r="E455" s="257"/>
      <x:c r="F455" s="257" t="str">
        <x:v>OpenNeuro:ds003518,ds004532</x:v>
      </x:c>
      <x:c r="G455" s="257" t="str">
        <x:v>DOWNLOAD_PUBLIC</x:v>
      </x:c>
      <x:c r="H455" s="257" t="str">
        <x:v>[OpenNeuro ds003518](https://openneuro.org/datasets/ds003518/versions/1.1.0) / [ds004532](https://openneuro.org/datasets/ds004532/versions/1.2.0)</x:v>
      </x:c>
      <x:c r="I455" s="257" t="str">
        <x:v>Simon conflict with reinforcement；PST；cabergoline challenge</x:v>
      </x:c>
      <x:c r="J455" s="257" t="str">
        <x:v>110</x:v>
      </x:c>
      <x:c r="K455" s="257" t="str">
        <x:v>未给出</x:v>
      </x:c>
      <x:c r="L455" s="257" t="str">
        <x:v>未给出</x:v>
      </x:c>
      <x:c r="M455" s="257" t="str">
        <x:v>BIDS</x:v>
      </x:c>
      <x:c r="N455" s="257" t="str">
        <x:v>raw BIDS</x:v>
      </x:c>
      <x:c r="O455" s="257" t="str">
        <x:v>公开下载：OpenNeuro ds003518 与 ds004532；CC0，可网页、OpenNeuro CLI 或 DataLad 获取。</x:v>
      </x:c>
      <x:c r="P455" s="257" t="str">
        <x:v>James F Cavanagh; Michael J Frank</x:v>
      </x:c>
      <x:c r="Q455" s="257" t="str">
        <x:v>04_Cognition_and_Emotion/Cognitive_Task_Recognition/Cabergoline_Reinforcement-learning_EEG_Suite</x:v>
      </x:c>
      <x:c r="R455" s="257" t="str">
        <x:v>存在公开仓库、官方入口或稳定数据访问号</x:v>
      </x:c>
      <x:c r="S455" s="257"/>
      <x:c r="T455" s="257"/>
      <x:c r="U455" s="213"/>
    </x:row>
    <x:row r="456" ht="60" customHeight="1">
      <x:c r="A456" s="274" t="str">
        <x:v>EEG-0263</x:v>
      </x:c>
      <x:c r="B456" s="275" t="str">
        <x:v>04_Cognition_and_Emotion</x:v>
      </x:c>
      <x:c r="C456" s="275" t="str">
        <x:v>ERP_and_Event_Detection</x:v>
      </x:c>
      <x:c r="D456" s="275" t="str">
        <x:v>Chailloux2020</x:v>
      </x:c>
      <x:c r="E456" s="275"/>
      <x:c r="F456" s="275"/>
      <x:c r="G456" s="275" t="str">
        <x:v>DOWNLOAD_APPLICATION_REQUIRED</x:v>
      </x:c>
      <x:c r="H456" s="275" t="str">
        <x:v>https://moabb.neurotechx.com/docs/generated/moabb.datasets.Chailloux2020.html</x:v>
      </x:c>
      <x:c r="I456" s="275" t="str">
        <x:v>ERP</x:v>
      </x:c>
      <x:c r="J456" s="275" t="str">
        <x:v>19</x:v>
      </x:c>
      <x:c r="K456" s="275" t="str">
        <x:v>8</x:v>
      </x:c>
      <x:c r="L456" s="275" t="str">
        <x:v>256 Hz</x:v>
      </x:c>
      <x:c r="M456" s="275"/>
      <x:c r="N456" s="275" t="str">
        <x:v>Raw</x:v>
      </x:c>
      <x:c r="O456" s="275" t="str">
        <x:v>Open, CC0, no application</x:v>
      </x:c>
      <x:c r="P456" s="275" t="str">
        <x:v>Tecnológico de Monterrey</x:v>
      </x:c>
      <x:c r="Q456" s="275" t="str">
        <x:v>04_Cognition_and_Emotion/ERP_and_Event_Detection/Chailloux2020</x:v>
      </x:c>
      <x:c r="R456" s="275" t="str">
        <x:v>官方数据存在，但需申请、签署协议或获得权限</x:v>
      </x:c>
      <x:c r="S456" s="275"/>
      <x:c r="T456" s="275"/>
      <x:c r="U456" s="276"/>
    </x:row>
    <x:row r="457" ht="60" customHeight="1">
      <x:c r="A457" s="264" t="str">
        <x:v>EEG-0264</x:v>
      </x:c>
      <x:c r="B457" s="257" t="str">
        <x:v>04_Cognition_and_Emotion</x:v>
      </x:c>
      <x:c r="C457" s="257" t="str">
        <x:v>ERP_and_Event_Detection</x:v>
      </x:c>
      <x:c r="D457" s="257" t="str">
        <x:v>Deaf Readers Semantic</x:v>
      </x:c>
      <x:c r="E457" s="257"/>
      <x:c r="F457" s="257" t="str">
        <x:v>OpenNeuro:ds005296</x:v>
      </x:c>
      <x:c r="G457" s="257" t="str">
        <x:v>DOWNLOAD_PUBLIC</x:v>
      </x:c>
      <x:c r="H457" s="257" t="str">
        <x:v>[OpenNeuro ds005296](https://openneuro.org/datasets/ds005296/versions/1.0.1)</x:v>
      </x:c>
      <x:c r="I457" s="257" t="str">
        <x:v>semantic and syntactic sentence violations；ERP in deaf and hearing readers</x:v>
      </x:c>
      <x:c r="J457" s="257" t="str">
        <x:v>62</x:v>
      </x:c>
      <x:c r="K457" s="257" t="str">
        <x:v>未给出</x:v>
      </x:c>
      <x:c r="L457" s="257" t="str">
        <x:v>未给出</x:v>
      </x:c>
      <x:c r="M457" s="257" t="str">
        <x:v>BIDS</x:v>
      </x:c>
      <x:c r="N457" s="257" t="str">
        <x:v>raw BIDS</x:v>
      </x:c>
      <x:c r="O457" s="257" t="str">
        <x:v>公开下载：OpenNeuro ds005296 v1.0.1；CC0，可网页、OpenNeuro CLI 或 DataLad 获取。</x:v>
      </x:c>
      <x:c r="P457" s="257" t="str">
        <x:v>Karen Emmorey; Emily M. Akers; Priscilla Martinez; Katherine J. Midgley; Phillip J. Holcomb</x:v>
      </x:c>
      <x:c r="Q457" s="257" t="str">
        <x:v>04_Cognition_and_Emotion/ERP_and_Event_Detection/Deaf_Readers_Semantic</x:v>
      </x:c>
      <x:c r="R457" s="257" t="str">
        <x:v>存在公开仓库、官方入口或稳定数据访问号</x:v>
      </x:c>
      <x:c r="S457" s="257"/>
      <x:c r="T457" s="257"/>
      <x:c r="U457" s="213"/>
    </x:row>
    <x:row r="458" ht="60" customHeight="1">
      <x:c r="A458" s="274" t="str">
        <x:v>EEG-0266</x:v>
      </x:c>
      <x:c r="B458" s="275" t="str">
        <x:v>04_Cognition_and_Emotion</x:v>
      </x:c>
      <x:c r="C458" s="275" t="str">
        <x:v>ERP_and_Event_Detection</x:v>
      </x:c>
      <x:c r="D458" s="275" t="str">
        <x:v>EPFLP300</x:v>
      </x:c>
      <x:c r="E458" s="275" t="str">
        <x:v>EPFLP300; Hoffmann P300</x:v>
      </x:c>
      <x:c r="F458" s="275"/>
      <x:c r="G458" s="275" t="str">
        <x:v>DOWNLOAD_PUBLIC</x:v>
      </x:c>
      <x:c r="H458" s="275" t="str">
        <x:v>[MOABB EPFLP300](https://moabb.neurotechx.com/docs/generated/moabb.datasets.EPFLP300.html)</x:v>
      </x:c>
      <x:c r="I458" s="275" t="str">
        <x:v>P300 / ERP target vs non-target</x:v>
      </x:c>
      <x:c r="J458" s="275" t="str">
        <x:v>8</x:v>
      </x:c>
      <x:c r="K458" s="275" t="str">
        <x:v>32</x:v>
      </x:c>
      <x:c r="L458" s="275" t="str">
        <x:v>2048Hz</x:v>
      </x:c>
      <x:c r="M458" s="275" t="str">
        <x:v>MOABB-supported / 原始格式</x:v>
      </x:c>
      <x:c r="N458" s="275" t="str">
        <x:v>raw / 原始发布数据</x:v>
      </x:c>
      <x:c r="O458" s="275" t="str">
        <x:v>未给出</x:v>
      </x:c>
      <x:c r="P458" s="275" t="str">
        <x:v>未给出</x:v>
      </x:c>
      <x:c r="Q458" s="275" t="str">
        <x:v>04_Cognition_and_Emotion/ERP_and_Event_Detection/EPFLP300</x:v>
      </x:c>
      <x:c r="R458" s="275" t="str">
        <x:v>存在公开仓库、官方入口或稳定数据访问号</x:v>
      </x:c>
      <x:c r="S458" s="275"/>
      <x:c r="T458" s="275"/>
      <x:c r="U458" s="276"/>
    </x:row>
    <x:row r="459" ht="60" customHeight="1">
      <x:c r="A459" s="264" t="str">
        <x:v>EEG-0269</x:v>
      </x:c>
      <x:c r="B459" s="257" t="str">
        <x:v>04_Cognition_and_Emotion</x:v>
      </x:c>
      <x:c r="C459" s="257" t="str">
        <x:v>ERP_and_Event_Detection</x:v>
      </x:c>
      <x:c r="D459" s="257" t="str">
        <x:v>GuttmannFlury2025_P300</x:v>
      </x:c>
      <x:c r="E459" s="257"/>
      <x:c r="F459" s="257"/>
      <x:c r="G459" s="257" t="str">
        <x:v>DOWNLOAD_APPLICATION_REQUIRED</x:v>
      </x:c>
      <x:c r="H459" s="257" t="str">
        <x:v>https://moabb.neurotechx.com/docs/generated/moabb.datasets.GuttmannFlury2025_P300.html</x:v>
      </x:c>
      <x:c r="I459" s="257" t="str">
        <x:v>P300 / ERP</x:v>
      </x:c>
      <x:c r="J459" s="257" t="str">
        <x:v>31</x:v>
      </x:c>
      <x:c r="K459" s="257" t="str">
        <x:v>64</x:v>
      </x:c>
      <x:c r="L459" s="257" t="str">
        <x:v>1000 Hz</x:v>
      </x:c>
      <x:c r="M459" s="257"/>
      <x:c r="N459" s="257" t="str">
        <x:v>Raw</x:v>
      </x:c>
      <x:c r="O459" s="257" t="str">
        <x:v>Open, CC0, no application</x:v>
      </x:c>
      <x:c r="P459" s="257" t="str">
        <x:v>Shanghai Jiao Tong University</x:v>
      </x:c>
      <x:c r="Q459" s="257" t="str">
        <x:v>04_Cognition_and_Emotion/ERP_and_Event_Detection/GuttmannFlury2025_P300</x:v>
      </x:c>
      <x:c r="R459" s="257" t="str">
        <x:v>官方数据存在，但需申请、签署协议或获得权限</x:v>
      </x:c>
      <x:c r="S459" s="257"/>
      <x:c r="T459" s="257"/>
      <x:c r="U459" s="213"/>
    </x:row>
    <x:row r="460" ht="60" customHeight="1">
      <x:c r="A460" s="274" t="str">
        <x:v>EEG-0271</x:v>
      </x:c>
      <x:c r="B460" s="275" t="str">
        <x:v>04_Cognition_and_Emotion</x:v>
      </x:c>
      <x:c r="C460" s="275" t="str">
        <x:v>ERP_and_Event_Detection</x:v>
      </x:c>
      <x:c r="D460" s="275" t="str">
        <x:v>Kaneshiro2015 (visual object ERP)</x:v>
      </x:c>
      <x:c r="E460" s="275"/>
      <x:c r="F460" s="275"/>
      <x:c r="G460" s="275" t="str">
        <x:v>DOWNLOAD_APPLICATION_REQUIRED</x:v>
      </x:c>
      <x:c r="H460" s="275" t="str">
        <x:v>https://moabb.neurotechx.com/docs/generated/moabb.datasets.Kaneshiro2015.html</x:v>
      </x:c>
      <x:c r="I460" s="275" t="str">
        <x:v>ERP (visual object categories, 6-class)</x:v>
      </x:c>
      <x:c r="J460" s="275" t="str">
        <x:v>10</x:v>
      </x:c>
      <x:c r="K460" s="275" t="str">
        <x:v>124</x:v>
      </x:c>
      <x:c r="L460" s="275" t="str">
        <x:v>62.5 Hz</x:v>
      </x:c>
      <x:c r="M460" s="275"/>
      <x:c r="N460" s="275" t="str">
        <x:v>Raw</x:v>
      </x:c>
      <x:c r="O460" s="275" t="str">
        <x:v>Open, CC BY 3.0, no application</x:v>
      </x:c>
      <x:c r="P460" s="275" t="str">
        <x:v>Stanford University</x:v>
      </x:c>
      <x:c r="Q460" s="275" t="str">
        <x:v>04_Cognition_and_Emotion/ERP_and_Event_Detection/Kaneshiro2015_visual_object_ERP</x:v>
      </x:c>
      <x:c r="R460" s="275" t="str">
        <x:v>官方数据存在，但需申请、签署协议或获得权限</x:v>
      </x:c>
      <x:c r="S460" s="275"/>
      <x:c r="T460" s="275"/>
      <x:c r="U460" s="276"/>
    </x:row>
    <x:row r="461" ht="60" customHeight="1">
      <x:c r="A461" s="264" t="str">
        <x:v>EEG-0272</x:v>
      </x:c>
      <x:c r="B461" s="257" t="str">
        <x:v>04_Cognition_and_Emotion</x:v>
      </x:c>
      <x:c r="C461" s="257" t="str">
        <x:v>ERP_and_Event_Detection</x:v>
      </x:c>
      <x:c r="D461" s="257" t="str">
        <x:v>Kojima2024A (auditory ERP)</x:v>
      </x:c>
      <x:c r="E461" s="257"/>
      <x:c r="F461" s="257"/>
      <x:c r="G461" s="257" t="str">
        <x:v>DOWNLOAD_APPLICATION_REQUIRED</x:v>
      </x:c>
      <x:c r="H461" s="257" t="str">
        <x:v>https://moabb.neurotechx.com/docs/generated/moabb.datasets.Kojima2024A.html</x:v>
      </x:c>
      <x:c r="I461" s="257" t="str">
        <x:v>Auditory ERP</x:v>
      </x:c>
      <x:c r="J461" s="257" t="str">
        <x:v>11</x:v>
      </x:c>
      <x:c r="K461" s="257" t="str">
        <x:v>64</x:v>
      </x:c>
      <x:c r="L461" s="257" t="str">
        <x:v>1000 Hz</x:v>
      </x:c>
      <x:c r="M461" s="257"/>
      <x:c r="N461" s="257" t="str">
        <x:v>Raw</x:v>
      </x:c>
      <x:c r="O461" s="257" t="str">
        <x:v>Open, CC0-1.0, no application</x:v>
      </x:c>
      <x:c r="P461" s="257" t="str">
        <x:v>Shin'ichiro Kanoh, Shibaura Institute of Technology</x:v>
      </x:c>
      <x:c r="Q461" s="257" t="str">
        <x:v>04_Cognition_and_Emotion/ERP_and_Event_Detection/Kojima2024A_auditory_ERP</x:v>
      </x:c>
      <x:c r="R461" s="257" t="str">
        <x:v>官方数据存在，但需申请、签署协议或获得权限</x:v>
      </x:c>
      <x:c r="S461" s="257"/>
      <x:c r="T461" s="257"/>
      <x:c r="U461" s="213"/>
    </x:row>
    <x:row r="462" ht="60" customHeight="1">
      <x:c r="A462" s="274" t="str">
        <x:v>EEG-0273</x:v>
      </x:c>
      <x:c r="B462" s="275" t="str">
        <x:v>04_Cognition_and_Emotion</x:v>
      </x:c>
      <x:c r="C462" s="275" t="str">
        <x:v>ERP_and_Event_Detection</x:v>
      </x:c>
      <x:c r="D462" s="275" t="str">
        <x:v>Kojima2024B (auditory ERP)</x:v>
      </x:c>
      <x:c r="E462" s="275"/>
      <x:c r="F462" s="275"/>
      <x:c r="G462" s="275" t="str">
        <x:v>DOWNLOAD_APPLICATION_REQUIRED</x:v>
      </x:c>
      <x:c r="H462" s="275" t="str">
        <x:v>https://moabb.neurotechx.com/docs/generated/moabb.datasets.Kojima2024B.html</x:v>
      </x:c>
      <x:c r="I462" s="275" t="str">
        <x:v>Auditory ERP</x:v>
      </x:c>
      <x:c r="J462" s="275" t="str">
        <x:v>15</x:v>
      </x:c>
      <x:c r="K462" s="275" t="str">
        <x:v>64</x:v>
      </x:c>
      <x:c r="L462" s="275" t="str">
        <x:v>1000 Hz</x:v>
      </x:c>
      <x:c r="M462" s="275"/>
      <x:c r="N462" s="275" t="str">
        <x:v>Raw</x:v>
      </x:c>
      <x:c r="O462" s="275" t="str">
        <x:v>Open, CC0-1.0, no application</x:v>
      </x:c>
      <x:c r="P462" s="275" t="str">
        <x:v>Shibaura Institute of Technology</x:v>
      </x:c>
      <x:c r="Q462" s="275" t="str">
        <x:v>04_Cognition_and_Emotion/ERP_and_Event_Detection/Kojima2024B_auditory_ERP</x:v>
      </x:c>
      <x:c r="R462" s="275" t="str">
        <x:v>官方数据存在，但需申请、签署协议或获得权限</x:v>
      </x:c>
      <x:c r="S462" s="275"/>
      <x:c r="T462" s="275"/>
      <x:c r="U462" s="276"/>
    </x:row>
    <x:row r="463" ht="60" customHeight="1">
      <x:c r="A463" s="264" t="str">
        <x:v>EEG-0274</x:v>
      </x:c>
      <x:c r="B463" s="257" t="str">
        <x:v>04_Cognition_and_Emotion</x:v>
      </x:c>
      <x:c r="C463" s="257" t="str">
        <x:v>ERP_and_Event_Detection</x:v>
      </x:c>
      <x:c r="D463" s="257" t="str">
        <x:v>Lee2021Mobile_ERP</x:v>
      </x:c>
      <x:c r="E463" s="257"/>
      <x:c r="F463" s="257"/>
      <x:c r="G463" s="257" t="str">
        <x:v>DOWNLOAD_PUBLIC</x:v>
      </x:c>
      <x:c r="H463" s="257" t="str">
        <x:v>https://moabb.neurotechx.com/docs/generated/moabb.datasets.lee2021_mobile.Lee2021Mobile.html</x:v>
      </x:c>
      <x:c r="I463" s="257" t="str">
        <x:v>ERP (mobile EEG)</x:v>
      </x:c>
      <x:c r="J463" s="257" t="str">
        <x:v>24</x:v>
      </x:c>
      <x:c r="K463" s="257" t="str">
        <x:v>73</x:v>
      </x:c>
      <x:c r="L463" s="257" t="str">
        <x:v>100 Hz</x:v>
      </x:c>
      <x:c r="M463" s="257"/>
      <x:c r="N463" s="257" t="str">
        <x:v>Raw</x:v>
      </x:c>
      <x:c r="O463" s="257" t="str">
        <x:v>MOABB documentation accessible; source access via MOABB</x:v>
      </x:c>
      <x:c r="P463" s="257" t="str">
        <x:v>Seong-Whan Lee, Korea University</x:v>
      </x:c>
      <x:c r="Q463" s="257" t="str">
        <x:v>04_Cognition_and_Emotion/ERP_and_Event_Detection/Lee2021Mobile_ERP</x:v>
      </x:c>
      <x:c r="R463" s="257" t="str">
        <x:v>存在公开仓库、官方入口或稳定数据访问号</x:v>
      </x:c>
      <x:c r="S463" s="257"/>
      <x:c r="T463" s="257"/>
      <x:c r="U463" s="213"/>
    </x:row>
    <x:row r="464" ht="60" customHeight="1">
      <x:c r="A464" s="274" t="str">
        <x:v>EEG-0275</x:v>
      </x:c>
      <x:c r="B464" s="275" t="str">
        <x:v>04_Cognition_and_Emotion</x:v>
      </x:c>
      <x:c r="C464" s="275" t="str">
        <x:v>ERP_and_Event_Detection</x:v>
      </x:c>
      <x:c r="D464" s="275" t="str">
        <x:v>Lee2024_AC (Home-Appliance Control P300, AC)</x:v>
      </x:c>
      <x:c r="E464" s="275"/>
      <x:c r="F464" s="275"/>
      <x:c r="G464" s="275" t="str">
        <x:v>DOWNLOAD_APPLICATION_REQUIRED</x:v>
      </x:c>
      <x:c r="H464" s="275" t="str">
        <x:v>https://moabb.neurotechx.com/docs/generated/moabb.datasets.Lee2024_AC.html</x:v>
      </x:c>
      <x:c r="I464" s="275" t="str">
        <x:v>P300 (appliance control)</x:v>
      </x:c>
      <x:c r="J464" s="275" t="str">
        <x:v>10</x:v>
      </x:c>
      <x:c r="K464" s="275" t="str">
        <x:v>25</x:v>
      </x:c>
      <x:c r="L464" s="275" t="str">
        <x:v>500 Hz</x:v>
      </x:c>
      <x:c r="M464" s="275"/>
      <x:c r="N464" s="275" t="str">
        <x:v>Raw</x:v>
      </x:c>
      <x:c r="O464" s="275" t="str">
        <x:v>Open, CC BY 4.0, no application</x:v>
      </x:c>
      <x:c r="P464" s="275" t="str">
        <x:v>Ulsan National Institute of Science &amp; Technology</x:v>
      </x:c>
      <x:c r="Q464" s="275" t="str">
        <x:v>04_Cognition_and_Emotion/ERP_and_Event_Detection/Lee2024_AC_Home-Appliance_Control_P300_AC</x:v>
      </x:c>
      <x:c r="R464" s="275" t="str">
        <x:v>官方数据存在，但需申请、签署协议或获得权限</x:v>
      </x:c>
      <x:c r="S464" s="275"/>
      <x:c r="T464" s="275"/>
      <x:c r="U464" s="276"/>
    </x:row>
    <x:row r="465" ht="60" customHeight="1">
      <x:c r="A465" s="264" t="str">
        <x:v>EEG-0276</x:v>
      </x:c>
      <x:c r="B465" s="257" t="str">
        <x:v>04_Cognition_and_Emotion</x:v>
      </x:c>
      <x:c r="C465" s="257" t="str">
        <x:v>ERP_and_Event_Detection</x:v>
      </x:c>
      <x:c r="D465" s="257" t="str">
        <x:v>Lee2024_BS (Home-Appliance Control P300, BS)</x:v>
      </x:c>
      <x:c r="E465" s="257"/>
      <x:c r="F465" s="257"/>
      <x:c r="G465" s="257" t="str">
        <x:v>DOWNLOAD_APPLICATION_REQUIRED</x:v>
      </x:c>
      <x:c r="H465" s="257" t="str">
        <x:v>https://moabb.neurotechx.com/docs/generated/moabb.datasets.Lee2024_BS.html</x:v>
      </x:c>
      <x:c r="I465" s="257" t="str">
        <x:v>P300 (appliance control)</x:v>
      </x:c>
      <x:c r="J465" s="257" t="str">
        <x:v>14</x:v>
      </x:c>
      <x:c r="K465" s="257" t="str">
        <x:v>31</x:v>
      </x:c>
      <x:c r="L465" s="257" t="str">
        <x:v>500 Hz</x:v>
      </x:c>
      <x:c r="M465" s="257"/>
      <x:c r="N465" s="257" t="str">
        <x:v>Raw</x:v>
      </x:c>
      <x:c r="O465" s="257" t="str">
        <x:v>Open, CC BY 4.0, no application</x:v>
      </x:c>
      <x:c r="P465" s="257" t="str">
        <x:v>UNIST</x:v>
      </x:c>
      <x:c r="Q465" s="257" t="str">
        <x:v>04_Cognition_and_Emotion/ERP_and_Event_Detection/Lee2024_BS_Home-Appliance_Control_P300_BS</x:v>
      </x:c>
      <x:c r="R465" s="257" t="str">
        <x:v>官方数据存在，但需申请、签署协议或获得权限</x:v>
      </x:c>
      <x:c r="S465" s="257"/>
      <x:c r="T465" s="257"/>
      <x:c r="U465" s="213"/>
    </x:row>
    <x:row r="466" ht="60" customHeight="1">
      <x:c r="A466" s="274" t="str">
        <x:v>EEG-0277</x:v>
      </x:c>
      <x:c r="B466" s="275" t="str">
        <x:v>04_Cognition_and_Emotion</x:v>
      </x:c>
      <x:c r="C466" s="275" t="str">
        <x:v>ERP_and_Event_Detection</x:v>
      </x:c>
      <x:c r="D466" s="275" t="str">
        <x:v>Lee2024_DL (Home-Appliance Control P300, DL)</x:v>
      </x:c>
      <x:c r="E466" s="275"/>
      <x:c r="F466" s="275"/>
      <x:c r="G466" s="275" t="str">
        <x:v>DOWNLOAD_APPLICATION_REQUIRED</x:v>
      </x:c>
      <x:c r="H466" s="275" t="str">
        <x:v>https://moabb.neurotechx.com/docs/generated/moabb.datasets.Lee2024_DL.html</x:v>
      </x:c>
      <x:c r="I466" s="275" t="str">
        <x:v>P300 (appliance control)</x:v>
      </x:c>
      <x:c r="J466" s="275" t="str">
        <x:v>15</x:v>
      </x:c>
      <x:c r="K466" s="275" t="str">
        <x:v>31</x:v>
      </x:c>
      <x:c r="L466" s="275" t="str">
        <x:v>500 Hz</x:v>
      </x:c>
      <x:c r="M466" s="275"/>
      <x:c r="N466" s="275" t="str">
        <x:v>Raw</x:v>
      </x:c>
      <x:c r="O466" s="275" t="str">
        <x:v>Open, CC BY 4.0, no application</x:v>
      </x:c>
      <x:c r="P466" s="275" t="str">
        <x:v>UNIST</x:v>
      </x:c>
      <x:c r="Q466" s="275" t="str">
        <x:v>04_Cognition_and_Emotion/ERP_and_Event_Detection/Lee2024_DL_Home-Appliance_Control_P300_DL</x:v>
      </x:c>
      <x:c r="R466" s="275" t="str">
        <x:v>官方数据存在，但需申请、签署协议或获得权限</x:v>
      </x:c>
      <x:c r="S466" s="275"/>
      <x:c r="T466" s="275"/>
      <x:c r="U466" s="276"/>
    </x:row>
    <x:row r="467" ht="60" customHeight="1">
      <x:c r="A467" s="264" t="str">
        <x:v>EEG-0278</x:v>
      </x:c>
      <x:c r="B467" s="257" t="str">
        <x:v>04_Cognition_and_Emotion</x:v>
      </x:c>
      <x:c r="C467" s="257" t="str">
        <x:v>ERP_and_Event_Detection</x:v>
      </x:c>
      <x:c r="D467" s="257" t="str">
        <x:v>Lee2024_EL (Home-Appliance Control P300, EL)</x:v>
      </x:c>
      <x:c r="E467" s="257"/>
      <x:c r="F467" s="257"/>
      <x:c r="G467" s="257" t="str">
        <x:v>DOWNLOAD_APPLICATION_REQUIRED</x:v>
      </x:c>
      <x:c r="H467" s="257" t="str">
        <x:v>https://moabb.neurotechx.com/docs/generated/moabb.datasets.Lee2024_EL.html</x:v>
      </x:c>
      <x:c r="I467" s="257" t="str">
        <x:v>P300 (appliance control)</x:v>
      </x:c>
      <x:c r="J467" s="257" t="str">
        <x:v>15</x:v>
      </x:c>
      <x:c r="K467" s="257" t="str">
        <x:v>31</x:v>
      </x:c>
      <x:c r="L467" s="257" t="str">
        <x:v>500 Hz</x:v>
      </x:c>
      <x:c r="M467" s="257"/>
      <x:c r="N467" s="257" t="str">
        <x:v>Raw</x:v>
      </x:c>
      <x:c r="O467" s="257" t="str">
        <x:v>Open, CC BY 4.0, no application</x:v>
      </x:c>
      <x:c r="P467" s="257" t="str">
        <x:v>UNIST</x:v>
      </x:c>
      <x:c r="Q467" s="257" t="str">
        <x:v>04_Cognition_and_Emotion/ERP_and_Event_Detection/Lee2024_EL_Home-Appliance_Control_P300_EL</x:v>
      </x:c>
      <x:c r="R467" s="257" t="str">
        <x:v>官方数据存在，但需申请、签署协议或获得权限</x:v>
      </x:c>
      <x:c r="S467" s="257"/>
      <x:c r="T467" s="257"/>
      <x:c r="U467" s="213"/>
    </x:row>
    <x:row r="468" ht="60" customHeight="1">
      <x:c r="A468" s="274" t="str">
        <x:v>EEG-0279</x:v>
      </x:c>
      <x:c r="B468" s="275" t="str">
        <x:v>04_Cognition_and_Emotion</x:v>
      </x:c>
      <x:c r="C468" s="275" t="str">
        <x:v>ERP_and_Event_Detection</x:v>
      </x:c>
      <x:c r="D468" s="275" t="str">
        <x:v>Lee2024_TV (Home-Appliance Control P300, TV)</x:v>
      </x:c>
      <x:c r="E468" s="275"/>
      <x:c r="F468" s="275"/>
      <x:c r="G468" s="275" t="str">
        <x:v>DOWNLOAD_APPLICATION_REQUIRED</x:v>
      </x:c>
      <x:c r="H468" s="275" t="str">
        <x:v>https://moabb.neurotechx.com/docs/generated/moabb.datasets.Lee2024_TV.html</x:v>
      </x:c>
      <x:c r="I468" s="275" t="str">
        <x:v>P300 (appliance control)</x:v>
      </x:c>
      <x:c r="J468" s="275" t="str">
        <x:v>30</x:v>
      </x:c>
      <x:c r="K468" s="275" t="str">
        <x:v>31</x:v>
      </x:c>
      <x:c r="L468" s="275" t="str">
        <x:v>500 Hz</x:v>
      </x:c>
      <x:c r="M468" s="275"/>
      <x:c r="N468" s="275" t="str">
        <x:v>Raw</x:v>
      </x:c>
      <x:c r="O468" s="275" t="str">
        <x:v>Open, CC BY 4.0, no application</x:v>
      </x:c>
      <x:c r="P468" s="275" t="str">
        <x:v>UNIST</x:v>
      </x:c>
      <x:c r="Q468" s="275" t="str">
        <x:v>04_Cognition_and_Emotion/ERP_and_Event_Detection/Lee2024_TV_Home-Appliance_Control_P300_TV</x:v>
      </x:c>
      <x:c r="R468" s="275" t="str">
        <x:v>官方数据存在，但需申请、签署协议或获得权限</x:v>
      </x:c>
      <x:c r="S468" s="275"/>
      <x:c r="T468" s="275"/>
      <x:c r="U468" s="276"/>
    </x:row>
    <x:row r="469" ht="60" customHeight="1">
      <x:c r="A469" s="264" t="str">
        <x:v>EEG-0282</x:v>
      </x:c>
      <x:c r="B469" s="257" t="str">
        <x:v>04_Cognition_and_Emotion</x:v>
      </x:c>
      <x:c r="C469" s="257" t="str">
        <x:v>ERP_and_Event_Detection</x:v>
      </x:c>
      <x:c r="D469" s="257" t="str">
        <x:v>Python Reading Task EEG</x:v>
      </x:c>
      <x:c r="E469" s="257"/>
      <x:c r="F469" s="257" t="str">
        <x:v>OpenNeuro:ds004771</x:v>
      </x:c>
      <x:c r="G469" s="257" t="str">
        <x:v>DOWNLOAD_PUBLIC</x:v>
      </x:c>
      <x:c r="H469" s="257" t="str">
        <x:v>[OpenNeuro ds004771](https://openneuro.org/datasets/ds004771/versions/1.0.0)</x:v>
      </x:c>
      <x:c r="I469" s="257" t="str">
        <x:v>Python reading task；program comprehension ERP</x:v>
      </x:c>
      <x:c r="J469" s="257" t="str">
        <x:v>61</x:v>
      </x:c>
      <x:c r="K469" s="257" t="str">
        <x:v>未给出</x:v>
      </x:c>
      <x:c r="L469" s="257" t="str">
        <x:v>未给出</x:v>
      </x:c>
      <x:c r="M469" s="257" t="str">
        <x:v>BIDS</x:v>
      </x:c>
      <x:c r="N469" s="257" t="str">
        <x:v>raw BIDS</x:v>
      </x:c>
      <x:c r="O469" s="257" t="str">
        <x:v>公开下载：OpenNeuro ds004771 v1.0.0；CC0，可网页、OpenNeuro CLI 或 DataLad 获取。</x:v>
      </x:c>
      <x:c r="P469" s="257" t="str">
        <x:v>Chu-Hsuan Kuo; Chantel S. Prat</x:v>
      </x:c>
      <x:c r="Q469" s="257" t="str">
        <x:v>04_Cognition_and_Emotion/ERP_and_Event_Detection/Python_Reading_Task_EEG</x:v>
      </x:c>
      <x:c r="R469" s="257" t="str">
        <x:v>存在公开仓库、官方入口或稳定数据访问号</x:v>
      </x:c>
      <x:c r="S469" s="257"/>
      <x:c r="T469" s="257"/>
      <x:c r="U469" s="213"/>
    </x:row>
    <x:row r="470" ht="60" customHeight="1">
      <x:c r="A470" s="274" t="str">
        <x:v>EEG-0286</x:v>
      </x:c>
      <x:c r="B470" s="275" t="str">
        <x:v>04_Cognition_and_Emotion</x:v>
      </x:c>
      <x:c r="C470" s="275" t="str">
        <x:v>ERP_and_Event_Detection</x:v>
      </x:c>
      <x:c r="D470" s="275" t="str">
        <x:v>UCI</x:v>
      </x:c>
      <x:c r="E470" s="275" t="str">
        <x:v>UCI EEG Database (Alcoholism)</x:v>
      </x:c>
      <x:c r="F470" s="275"/>
      <x:c r="G470" s="275" t="str">
        <x:v>DOWNLOAD_PUBLIC</x:v>
      </x:c>
      <x:c r="H470" s="275" t="str">
        <x:v>[UCI EEG Database](https://archive.ics.uci.edu/ml/datasets/eeg%2Bdatabase)</x:v>
      </x:c>
      <x:c r="I470" s="275" t="str">
        <x:v>alcoholism vs control classification; visual object stimulus EEG</x:v>
      </x:c>
      <x:c r="J470" s="275" t="str">
        <x:v>122</x:v>
      </x:c>
      <x:c r="K470" s="275" t="str">
        <x:v>64</x:v>
      </x:c>
      <x:c r="L470" s="275" t="str">
        <x:v>256Hz</x:v>
      </x:c>
      <x:c r="M470" s="275" t="str">
        <x:v>未给出</x:v>
      </x:c>
      <x:c r="N470" s="275" t="str">
        <x:v>raw</x:v>
      </x:c>
      <x:c r="O470" s="275" t="str">
        <x:v>public UCI/KDD archive; citation required</x:v>
      </x:c>
      <x:c r="P470" s="275" t="str">
        <x:v>Begleiter / Neurodynamics Laboratory, 1999</x:v>
      </x:c>
      <x:c r="Q470" s="275" t="str">
        <x:v>04_Cognition_and_Emotion/ERP_and_Event_Detection/UCI</x:v>
      </x:c>
      <x:c r="R470" s="275" t="str">
        <x:v>存在公开仓库、官方入口或稳定数据访问号</x:v>
      </x:c>
      <x:c r="S470" s="275"/>
      <x:c r="T470" s="275"/>
      <x:c r="U470" s="276"/>
    </x:row>
    <x:row r="471" ht="60" customHeight="1">
      <x:c r="A471" s="264" t="str">
        <x:v>EEG-0287</x:v>
      </x:c>
      <x:c r="B471" s="257" t="str">
        <x:v>04_Cognition_and_Emotion</x:v>
      </x:c>
      <x:c r="C471" s="257" t="str">
        <x:v>ERP_and_Event_Detection</x:v>
      </x:c>
      <x:c r="D471" s="257" t="str">
        <x:v>VR ERP Experiment Dataset</x:v>
      </x:c>
      <x:c r="E471" s="257"/>
      <x:c r="F471" s="257" t="str">
        <x:v>OpenNeuro:ds005841</x:v>
      </x:c>
      <x:c r="G471" s="257" t="str">
        <x:v>DOWNLOAD_PUBLIC</x:v>
      </x:c>
      <x:c r="H471" s="257" t="str">
        <x:v>[OpenNeuro ds005841](https://openneuro.org/datasets/ds005841/versions/1.0.0)</x:v>
      </x:c>
      <x:c r="I471" s="257" t="str">
        <x:v>ERP experiments in VR；luminance/perpendicular/regularity/signal screen and VR tasks</x:v>
      </x:c>
      <x:c r="J471" s="257" t="str">
        <x:v>48</x:v>
      </x:c>
      <x:c r="K471" s="257" t="str">
        <x:v>未给出</x:v>
      </x:c>
      <x:c r="L471" s="257" t="str">
        <x:v>未给出</x:v>
      </x:c>
      <x:c r="M471" s="257" t="str">
        <x:v>BIDS</x:v>
      </x:c>
      <x:c r="N471" s="257" t="str">
        <x:v>raw BIDS</x:v>
      </x:c>
      <x:c r="O471" s="257" t="str">
        <x:v>公开下载：OpenNeuro ds005841 v1.0.0；CC0，可网页、OpenNeuro CLI 或 DataLad 获取。</x:v>
      </x:c>
      <x:c r="P471" s="257" t="str">
        <x:v>Elena Karakashevska; Alexis Makin; Michael Batterley</x:v>
      </x:c>
      <x:c r="Q471" s="257" t="str">
        <x:v>04_Cognition_and_Emotion/ERP_and_Event_Detection/VR_ERP_Experiment_Dataset</x:v>
      </x:c>
      <x:c r="R471" s="257" t="str">
        <x:v>存在公开仓库、官方入口或稳定数据访问号</x:v>
      </x:c>
      <x:c r="S471" s="257"/>
      <x:c r="T471" s="257"/>
      <x:c r="U471" s="213"/>
    </x:row>
    <x:row r="472" ht="60" customHeight="1">
      <x:c r="A472" s="274" t="str">
        <x:v>EEG-0288</x:v>
      </x:c>
      <x:c r="B472" s="275" t="str">
        <x:v>05_Naturalistic_Stimulus_Decoding</x:v>
      </x:c>
      <x:c r="C472" s="275" t="str">
        <x:v>Imagined_Speech</x:v>
      </x:c>
      <x:c r="D472" s="275" t="str">
        <x:v>AguileraRodriguez2025 (Spanish command imagined speech)</x:v>
      </x:c>
      <x:c r="E472" s="275"/>
      <x:c r="F472" s="275"/>
      <x:c r="G472" s="275" t="str">
        <x:v>DOWNLOAD_APPLICATION_REQUIRED</x:v>
      </x:c>
      <x:c r="H472" s="275" t="str">
        <x:v>https://moabb.neurotechx.com/docs/generated/moabb.datasets.AguileraRodriguez2025.html</x:v>
      </x:c>
      <x:c r="I472" s="275" t="str">
        <x:v>Imagined Speech (4 Spanish commands)</x:v>
      </x:c>
      <x:c r="J472" s="275" t="str">
        <x:v>15</x:v>
      </x:c>
      <x:c r="K472" s="275" t="str">
        <x:v>24</x:v>
      </x:c>
      <x:c r="L472" s="275" t="str">
        <x:v>500 Hz</x:v>
      </x:c>
      <x:c r="M472" s="275"/>
      <x:c r="N472" s="275" t="str">
        <x:v>Raw</x:v>
      </x:c>
      <x:c r="O472" s="275" t="str">
        <x:v>Open, CC BY-NC-ND 4.0, no application</x:v>
      </x:c>
      <x:c r="P472" s="275" t="str">
        <x:v>Tecnológico de Monterrey</x:v>
      </x:c>
      <x:c r="Q472" s="275" t="str">
        <x:v>05_Naturalistic_Stimulus_Decoding/Imagined_Speech/AguileraRodriguez2025_Spanish_command_imagined_speech</x:v>
      </x:c>
      <x:c r="R472" s="275" t="str">
        <x:v>官方数据存在，但需申请、签署协议或获得权限</x:v>
      </x:c>
      <x:c r="S472" s="275"/>
      <x:c r="T472" s="275"/>
      <x:c r="U472" s="276"/>
    </x:row>
    <x:row r="473" ht="60" customHeight="1">
      <x:c r="A473" s="264" t="str">
        <x:v>EEG-0289</x:v>
      </x:c>
      <x:c r="B473" s="257" t="str">
        <x:v>05_Naturalistic_Stimulus_Decoding</x:v>
      </x:c>
      <x:c r="C473" s="257" t="str">
        <x:v>Language_and_Reading</x:v>
      </x:c>
      <x:c r="D473" s="257" t="str">
        <x:v>Alice in Wonderland Naturalistic Listening EEG</x:v>
      </x:c>
      <x:c r="E473" s="257"/>
      <x:c r="F473" s="257"/>
      <x:c r="G473" s="257" t="str">
        <x:v>DOWNLOAD_PUBLIC</x:v>
      </x:c>
      <x:c r="H473" s="257" t="str">
        <x:v>[Deep Blue Alice EEG](https://deepblue.lib.umich.edu/data/concern/data_sets/bn999738r)</x:v>
      </x:c>
      <x:c r="I473" s="257" t="str">
        <x:v>naturalistic story listening / linguistic prediction</x:v>
      </x:c>
      <x:c r="J473" s="257" t="str">
        <x:v>49</x:v>
      </x:c>
      <x:c r="K473" s="257" t="str">
        <x:v>61</x:v>
      </x:c>
      <x:c r="L473" s="257" t="str">
        <x:v>500Hz</x:v>
      </x:c>
      <x:c r="M473" s="257" t="str">
        <x:v>未给出</x:v>
      </x:c>
      <x:c r="N473" s="257" t="str">
        <x:v>raw</x:v>
      </x:c>
      <x:c r="O473" s="257" t="str">
        <x:v>public Deep Blue Data; CC BY 4.0</x:v>
      </x:c>
      <x:c r="P473" s="257" t="str">
        <x:v>Brennan &amp; Hale, PLOS ONE 2019</x:v>
      </x:c>
      <x:c r="Q473" s="257" t="str">
        <x:v>05_Naturalistic_Stimulus_Decoding/Language_and_Reading/Alice_in_Wonderland_Naturalistic_Listening_EEG</x:v>
      </x:c>
      <x:c r="R473" s="257" t="str">
        <x:v>存在公开仓库、官方入口或稳定数据访问号</x:v>
      </x:c>
      <x:c r="S473" s="257"/>
      <x:c r="T473" s="257"/>
      <x:c r="U473" s="213"/>
    </x:row>
    <x:row r="474" ht="60" customHeight="1">
      <x:c r="A474" s="274" t="str">
        <x:v>EEG-0290</x:v>
      </x:c>
      <x:c r="B474" s="275" t="str">
        <x:v>05_Naturalistic_Stimulus_Decoding</x:v>
      </x:c>
      <x:c r="C474" s="275" t="str">
        <x:v>Imagined_Speech</x:v>
      </x:c>
      <x:c r="D474" s="275" t="str">
        <x:v>ArEEG: Arabic Inner Speech EEG dataset</x:v>
      </x:c>
      <x:c r="E474" s="275"/>
      <x:c r="F474" s="275" t="str">
        <x:v>OpenNeuro:ds005262 | DOI:10.18112/openneuro.ds005262.v1.0.1</x:v>
      </x:c>
      <x:c r="G474" s="275" t="str">
        <x:v>DOWNLOAD_PUBLIC</x:v>
      </x:c>
      <x:c r="H474" s="275" t="str">
        <x:v>[OpenNeuro ds005262](https://openneuro.org/datasets/ds005262/versions/1.0.1)</x:v>
      </x:c>
      <x:c r="I474" s="275" t="str">
        <x:v>ArEEG: Arabic Inner Speech EEG dataset</x:v>
      </x:c>
      <x:c r="J474" s="275" t="str">
        <x:v>12</x:v>
      </x:c>
      <x:c r="K474" s="275" t="str">
        <x:v>未给出</x:v>
      </x:c>
      <x:c r="L474" s="275" t="str">
        <x:v>未给出</x:v>
      </x:c>
      <x:c r="M474" s="275" t="str">
        <x:v>BIDS</x:v>
      </x:c>
      <x:c r="N474" s="275" t="str">
        <x:v>raw BIDS</x:v>
      </x:c>
      <x:c r="O474" s="275" t="str">
        <x:v>OpenNeuro public download; ds005262 v1.0.1; license CC0; use web / OpenNeuro CLI / DataLad.</x:v>
      </x:c>
      <x:c r="P474" s="275" t="str">
        <x:v>Donia Metwalli; Eslam Ahmed; Antony Emil; Yousef A. Radwan; Mariam Barakat; doi:10.18112/openneuro.ds005262.v1.0.1</x:v>
      </x:c>
      <x:c r="Q474" s="275" t="str">
        <x:v>05_Naturalistic_Stimulus_Decoding/Imagined_Speech/ArEEG_Arabic_Inner_Speech_EEG_dataset</x:v>
      </x:c>
      <x:c r="R474" s="275" t="str">
        <x:v>存在公开仓库、官方入口或稳定数据访问号</x:v>
      </x:c>
      <x:c r="S474" s="275"/>
      <x:c r="T474" s="275"/>
      <x:c r="U474" s="276"/>
    </x:row>
    <x:row r="475" ht="60" customHeight="1">
      <x:c r="A475" s="264" t="str">
        <x:v>EEG-0298</x:v>
      </x:c>
      <x:c r="B475" s="257" t="str">
        <x:v>05_Naturalistic_Stimulus_Decoding</x:v>
      </x:c>
      <x:c r="C475" s="257" t="str">
        <x:v>Language_and_Reading</x:v>
      </x:c>
      <x:c r="D475" s="257" t="str">
        <x:v>Du-IN</x:v>
      </x:c>
      <x:c r="E475" s="257"/>
      <x:c r="F475" s="257"/>
      <x:c r="G475" s="257" t="str">
        <x:v>DOWNLOAD_PUBLIC</x:v>
      </x:c>
      <x:c r="H475" s="257" t="str">
        <x:v>https://huggingface.co/datasets/liulab-repository/Du-IN</x:v>
      </x:c>
      <x:c r="I475" s="257" t="str">
        <x:v>speech decoding 61-word classification</x:v>
      </x:c>
      <x:c r="J475" s="257" t="str">
        <x:v>12</x:v>
      </x:c>
      <x:c r="K475" s="257" t="str">
        <x:v>72–158</x:v>
      </x:c>
      <x:c r="L475" s="257" t="str">
        <x:v>1000 Hz</x:v>
      </x:c>
      <x:c r="M475" s="257"/>
      <x:c r="N475" s="257" t="str">
        <x:v>Processed data</x:v>
      </x:c>
      <x:c r="O475" s="257" t="str">
        <x:v>Fully open</x:v>
      </x:c>
      <x:c r="P475" s="257" t="str">
        <x:v>arXiv:2405.11459</x:v>
      </x:c>
      <x:c r="Q475" s="257" t="str">
        <x:v>05_Naturalistic_Stimulus_Decoding/Language_and_Reading/Du-IN</x:v>
      </x:c>
      <x:c r="R475" s="257" t="str">
        <x:v>存在公开仓库、官方入口或稳定数据访问号</x:v>
      </x:c>
      <x:c r="S475" s="257"/>
      <x:c r="T475" s="257"/>
      <x:c r="U475" s="213"/>
    </x:row>
    <x:row r="476" ht="60" customHeight="1">
      <x:c r="A476" s="274" t="str">
        <x:v>EEG-0304</x:v>
      </x:c>
      <x:c r="B476" s="275" t="str">
        <x:v>05_Naturalistic_Stimulus_Decoding</x:v>
      </x:c>
      <x:c r="C476" s="275" t="str">
        <x:v>Language_and_Reading</x:v>
      </x:c>
      <x:c r="D476" s="275" t="str">
        <x:v>Multiband ABR to Continuous Speech</x:v>
      </x:c>
      <x:c r="E476" s="275"/>
      <x:c r="F476" s="275" t="str">
        <x:v>OpenNeuro:ds008065</x:v>
      </x:c>
      <x:c r="G476" s="275" t="str">
        <x:v>DOWNLOAD_PUBLIC</x:v>
      </x:c>
      <x:c r="H476" s="275" t="str">
        <x:v>[OpenNeuro ds008065](https://openneuro.org/datasets/ds008065/versions/1.0.0)</x:v>
      </x:c>
      <x:c r="I476" s="275" t="str">
        <x:v>multiband auditory brainstem responses to continuous speech；f0 / phase tasks</x:v>
      </x:c>
      <x:c r="J476" s="275" t="str">
        <x:v>62</x:v>
      </x:c>
      <x:c r="K476" s="275" t="str">
        <x:v>未给出</x:v>
      </x:c>
      <x:c r="L476" s="275" t="str">
        <x:v>未给出</x:v>
      </x:c>
      <x:c r="M476" s="275" t="str">
        <x:v>BIDS</x:v>
      </x:c>
      <x:c r="N476" s="275" t="str">
        <x:v>raw BIDS</x:v>
      </x:c>
      <x:c r="O476" s="275" t="str">
        <x:v>公开下载：OpenNeuro ds008065 v1.0.0；CC0，可网页、OpenNeuro CLI 或 DataLad 获取。</x:v>
      </x:c>
      <x:c r="P476" s="275" t="str">
        <x:v>Melissa J. Polonenko; Benjamin R. Eisenreich</x:v>
      </x:c>
      <x:c r="Q476" s="275" t="str">
        <x:v>05_Naturalistic_Stimulus_Decoding/Language_and_Reading/Multiband_ABR_to_Continuous_Speech</x:v>
      </x:c>
      <x:c r="R476" s="275" t="str">
        <x:v>存在公开仓库、官方入口或稳定数据访问号</x:v>
      </x:c>
      <x:c r="S476" s="275"/>
      <x:c r="T476" s="275"/>
      <x:c r="U476" s="276"/>
    </x:row>
    <x:row r="477" ht="60" customHeight="1">
      <x:c r="A477" s="264" t="str">
        <x:v>EEG-0323</x:v>
      </x:c>
      <x:c r="B477" s="257" t="str">
        <x:v>05_Naturalistic_Stimulus_Decoding</x:v>
      </x:c>
      <x:c r="C477" s="257" t="str">
        <x:v>Listening_and_Auditory_Attention</x:v>
      </x:c>
      <x:c r="D477" s="257" t="str">
        <x:v>YOTO</x:v>
      </x:c>
      <x:c r="E477" s="257"/>
      <x:c r="F477" s="257" t="str">
        <x:v>OpenNeuro:ds005815</x:v>
      </x:c>
      <x:c r="G477" s="257" t="str">
        <x:v>DOWNLOAD_PUBLIC</x:v>
      </x:c>
      <x:c r="H477" s="257" t="str">
        <x:v>[OpenNeuro ds005815](https://openneuro.org/datasets/ds005815)</x:v>
      </x:c>
      <x:c r="I477" s="257" t="str">
        <x:v>visual/auditory/multisensory perception and mental imagery</x:v>
      </x:c>
      <x:c r="J477" s="257" t="str">
        <x:v>26</x:v>
      </x:c>
      <x:c r="K477" s="257" t="str">
        <x:v>未给出</x:v>
      </x:c>
      <x:c r="L477" s="257" t="str">
        <x:v>1000Hz</x:v>
      </x:c>
      <x:c r="M477" s="257" t="str">
        <x:v>BIDS</x:v>
      </x:c>
      <x:c r="N477" s="257" t="str">
        <x:v>raw</x:v>
      </x:c>
      <x:c r="O477" s="257" t="str">
        <x:v>public OpenNeuro</x:v>
      </x:c>
      <x:c r="P477" s="257" t="str">
        <x:v>未给出</x:v>
      </x:c>
      <x:c r="Q477" s="257" t="str">
        <x:v>05_Naturalistic_Stimulus_Decoding/Listening_and_Auditory_Attention/YOTO</x:v>
      </x:c>
      <x:c r="R477" s="257" t="str">
        <x:v>存在公开仓库、官方入口或稳定数据访问号</x:v>
      </x:c>
      <x:c r="S477" s="257"/>
      <x:c r="T477" s="257"/>
      <x:c r="U477" s="213"/>
    </x:row>
    <x:row r="478" ht="60" customHeight="1">
      <x:c r="A478" s="274" t="str">
        <x:v>EEG-0333</x:v>
      </x:c>
      <x:c r="B478" s="275" t="str">
        <x:v>05_Naturalistic_Stimulus_Decoding</x:v>
      </x:c>
      <x:c r="C478" s="275" t="str">
        <x:v>Visual_Perception</x:v>
      </x:c>
      <x:c r="D478" s="275" t="str">
        <x:v>Gao2026 (visual imagery)</x:v>
      </x:c>
      <x:c r="E478" s="275"/>
      <x:c r="F478" s="275"/>
      <x:c r="G478" s="275" t="str">
        <x:v>DOWNLOAD_APPLICATION_REQUIRED</x:v>
      </x:c>
      <x:c r="H478" s="275" t="str">
        <x:v>https://moabb.neurotechx.com/docs/generated/moabb.datasets.Gao2026.html</x:v>
      </x:c>
      <x:c r="I478" s="275" t="str">
        <x:v>Visual Imagery (10-class)</x:v>
      </x:c>
      <x:c r="J478" s="275" t="str">
        <x:v>22</x:v>
      </x:c>
      <x:c r="K478" s="275" t="str">
        <x:v>32</x:v>
      </x:c>
      <x:c r="L478" s="275" t="str">
        <x:v>1000 Hz</x:v>
      </x:c>
      <x:c r="M478" s="275"/>
      <x:c r="N478" s="275" t="str">
        <x:v>Raw</x:v>
      </x:c>
      <x:c r="O478" s="275" t="str">
        <x:v>Open, CC BY-NC-ND 4.0, no application</x:v>
      </x:c>
      <x:c r="P478" s="275" t="str">
        <x:v>Kunming Univ. of Sci. &amp; Tech.</x:v>
      </x:c>
      <x:c r="Q478" s="275" t="str">
        <x:v>05_Naturalistic_Stimulus_Decoding/Visual_Perception/Gao2026_visual_imagery</x:v>
      </x:c>
      <x:c r="R478" s="275" t="str">
        <x:v>官方数据存在，但需申请、签署协议或获得权限</x:v>
      </x:c>
      <x:c r="S478" s="275"/>
      <x:c r="T478" s="275"/>
      <x:c r="U478" s="276"/>
    </x:row>
    <x:row r="479" ht="60" customHeight="1">
      <x:c r="A479" s="264" t="str">
        <x:v>EEG-0348</x:v>
      </x:c>
      <x:c r="B479" s="257" t="str">
        <x:v>05_Naturalistic_Stimulus_Decoding</x:v>
      </x:c>
      <x:c r="C479" s="257" t="str">
        <x:v>Multisensory_Perception</x:v>
      </x:c>
      <x:c r="D479" s="257" t="str">
        <x:v>Urban Appraisal EEG</x:v>
      </x:c>
      <x:c r="E479" s="257"/>
      <x:c r="F479" s="257" t="str">
        <x:v>OpenNeuro:ds006850</x:v>
      </x:c>
      <x:c r="G479" s="257" t="str">
        <x:v>DOWNLOAD_PUBLIC</x:v>
      </x:c>
      <x:c r="H479" s="257" t="str">
        <x:v>[OpenNeuro ds006850](https://openneuro.org/datasets/ds006850/versions/1.0.0)</x:v>
      </x:c>
      <x:c r="I479" s="257" t="str">
        <x:v>physiological recording during rating of urban environments</x:v>
      </x:c>
      <x:c r="J479" s="257" t="str">
        <x:v>63</x:v>
      </x:c>
      <x:c r="K479" s="257" t="str">
        <x:v>未给出</x:v>
      </x:c>
      <x:c r="L479" s="257" t="str">
        <x:v>未给出</x:v>
      </x:c>
      <x:c r="M479" s="257" t="str">
        <x:v>BIDS</x:v>
      </x:c>
      <x:c r="N479" s="257" t="str">
        <x:v>raw BIDS</x:v>
      </x:c>
      <x:c r="O479" s="257" t="str">
        <x:v>公开下载：OpenNeuro ds006850 v1.0.0；CC0，可网页、OpenNeuro CLI 或 DataLad 获取。</x:v>
      </x:c>
      <x:c r="P479" s="257" t="str">
        <x:v>Carolina Zaehme; Isabelle Sander; Klaus Gramann</x:v>
      </x:c>
      <x:c r="Q479" s="257" t="str">
        <x:v>05_Naturalistic_Stimulus_Decoding/Multisensory_Perception/Urban_Appraisal_EEG</x:v>
      </x:c>
      <x:c r="R479" s="257" t="str">
        <x:v>存在公开仓库、官方入口或稳定数据访问号</x:v>
      </x:c>
      <x:c r="S479" s="257"/>
      <x:c r="T479" s="257"/>
      <x:c r="U479" s="213"/>
    </x:row>
    <x:row r="480" ht="60" customHeight="1">
      <x:c r="A480" s="274" t="str">
        <x:v>EEG-0358</x:v>
      </x:c>
      <x:c r="B480" s="275" t="str">
        <x:v>06_Motor_and_Interaction</x:v>
      </x:c>
      <x:c r="C480" s="275" t="str">
        <x:v>Motor_Imagery_and_Execution</x:v>
      </x:c>
      <x:c r="D480" s="275" t="str">
        <x:v>Beetl2021_A</x:v>
      </x:c>
      <x:c r="E480" s="275"/>
      <x:c r="F480" s="275"/>
      <x:c r="G480" s="275" t="str">
        <x:v>DOWNLOAD_APPLICATION_REQUIRED</x:v>
      </x:c>
      <x:c r="H480" s="275" t="str">
        <x:v>https://moabb.neurotechx.com/docs/generated/moabb.datasets.Beetl2021_A.html</x:v>
      </x:c>
      <x:c r="I480" s="275" t="str">
        <x:v>Motor Imagery (4-class)</x:v>
      </x:c>
      <x:c r="J480" s="275" t="str">
        <x:v>3</x:v>
      </x:c>
      <x:c r="K480" s="275" t="str">
        <x:v>63</x:v>
      </x:c>
      <x:c r="L480" s="275" t="str">
        <x:v>500 Hz</x:v>
      </x:c>
      <x:c r="M480" s="275"/>
      <x:c r="N480" s="275" t="str">
        <x:v>Raw</x:v>
      </x:c>
      <x:c r="O480" s="275" t="str">
        <x:v>Open, CC BY 4.0, no application</x:v>
      </x:c>
      <x:c r="P480" s="275" t="str">
        <x:v>A. Aldo Faisal, Imperial College London</x:v>
      </x:c>
      <x:c r="Q480" s="275" t="str">
        <x:v>06_Motor_and_Interaction/Motor_Imagery_and_Execution/Beetl2021_A</x:v>
      </x:c>
      <x:c r="R480" s="275" t="str">
        <x:v>官方数据存在，但需申请、签署协议或获得权限</x:v>
      </x:c>
      <x:c r="S480" s="275"/>
      <x:c r="T480" s="275"/>
      <x:c r="U480" s="276"/>
    </x:row>
    <x:row r="481" ht="60" customHeight="1">
      <x:c r="A481" s="264" t="str">
        <x:v>EEG-0359</x:v>
      </x:c>
      <x:c r="B481" s="257" t="str">
        <x:v>06_Motor_and_Interaction</x:v>
      </x:c>
      <x:c r="C481" s="257" t="str">
        <x:v>Motor_Imagery_and_Execution</x:v>
      </x:c>
      <x:c r="D481" s="257" t="str">
        <x:v>Beetl2021_B</x:v>
      </x:c>
      <x:c r="E481" s="257"/>
      <x:c r="F481" s="257"/>
      <x:c r="G481" s="257" t="str">
        <x:v>DOWNLOAD_APPLICATION_REQUIRED</x:v>
      </x:c>
      <x:c r="H481" s="257" t="str">
        <x:v>https://moabb.neurotechx.com/docs/generated/moabb.datasets.Beetl2021_B.html</x:v>
      </x:c>
      <x:c r="I481" s="257" t="str">
        <x:v>Motor Imagery</x:v>
      </x:c>
      <x:c r="J481" s="257" t="str">
        <x:v>2</x:v>
      </x:c>
      <x:c r="K481" s="257" t="str">
        <x:v>32</x:v>
      </x:c>
      <x:c r="L481" s="257" t="str">
        <x:v>200 Hz</x:v>
      </x:c>
      <x:c r="M481" s="257"/>
      <x:c r="N481" s="257" t="str">
        <x:v>Raw</x:v>
      </x:c>
      <x:c r="O481" s="257" t="str">
        <x:v>Open, CC BY 4.0, no application</x:v>
      </x:c>
      <x:c r="P481" s="257" t="str">
        <x:v>A. Aldo Faisal, Imperial College London</x:v>
      </x:c>
      <x:c r="Q481" s="257" t="str">
        <x:v>06_Motor_and_Interaction/Motor_Imagery_and_Execution/Beetl2021_B</x:v>
      </x:c>
      <x:c r="R481" s="257" t="str">
        <x:v>官方数据存在，但需申请、签署协议或获得权限</x:v>
      </x:c>
      <x:c r="S481" s="257"/>
      <x:c r="T481" s="257"/>
      <x:c r="U481" s="213"/>
    </x:row>
    <x:row r="482" ht="60" customHeight="1">
      <x:c r="A482" s="274" t="str">
        <x:v>EEG-0376</x:v>
      </x:c>
      <x:c r="B482" s="275" t="str">
        <x:v>06_Motor_and_Interaction</x:v>
      </x:c>
      <x:c r="C482" s="275" t="str">
        <x:v>Motor_Imagery_and_Execution</x:v>
      </x:c>
      <x:c r="D482" s="275" t="str">
        <x:v>Chang2025 (multi-paradigm upper-limb rehab)</x:v>
      </x:c>
      <x:c r="E482" s="275"/>
      <x:c r="F482" s="275"/>
      <x:c r="G482" s="275" t="str">
        <x:v>DOWNLOAD_APPLICATION_REQUIRED</x:v>
      </x:c>
      <x:c r="H482" s="275" t="str">
        <x:v>https://moabb.neurotechx.com/docs/generated/moabb.datasets.Chang2025.html</x:v>
      </x:c>
      <x:c r="I482" s="275" t="str">
        <x:v>Motor Imagery (upper-limb rehab)</x:v>
      </x:c>
      <x:c r="J482" s="275" t="str">
        <x:v>28</x:v>
      </x:c>
      <x:c r="K482" s="275" t="str">
        <x:v>59</x:v>
      </x:c>
      <x:c r="L482" s="275" t="str">
        <x:v>1000 Hz</x:v>
      </x:c>
      <x:c r="M482" s="275"/>
      <x:c r="N482" s="275" t="str">
        <x:v>Raw</x:v>
      </x:c>
      <x:c r="O482" s="275" t="str">
        <x:v>Open, CC BY 4.0, no application</x:v>
      </x:c>
      <x:c r="P482" s="275" t="str">
        <x:v>Lanzhou Jiaotong University</x:v>
      </x:c>
      <x:c r="Q482" s="275" t="str">
        <x:v>06_Motor_and_Interaction/Motor_Imagery_and_Execution/Chang2025_multi-paradigm_upper-limb_rehab</x:v>
      </x:c>
      <x:c r="R482" s="275" t="str">
        <x:v>官方数据存在，但需申请、签署协议或获得权限</x:v>
      </x:c>
      <x:c r="S482" s="275"/>
      <x:c r="T482" s="275"/>
      <x:c r="U482" s="276"/>
    </x:row>
    <x:row r="483" ht="60" customHeight="1">
      <x:c r="A483" s="264" t="str">
        <x:v>EEG-0384</x:v>
      </x:c>
      <x:c r="B483" s="257" t="str">
        <x:v>06_Motor_and_Interaction</x:v>
      </x:c>
      <x:c r="C483" s="257" t="str">
        <x:v>Motor_Imagery_and_Execution</x:v>
      </x:c>
      <x:c r="D483" s="257" t="str">
        <x:v>Forenzo2023 (MI + spatial attention)</x:v>
      </x:c>
      <x:c r="E483" s="257"/>
      <x:c r="F483" s="257"/>
      <x:c r="G483" s="257" t="str">
        <x:v>DOWNLOAD_APPLICATION_REQUIRED</x:v>
      </x:c>
      <x:c r="H483" s="257" t="str">
        <x:v>https://moabb.neurotechx.com/docs/generated/moabb.datasets.Forenzo2023.html</x:v>
      </x:c>
      <x:c r="I483" s="257" t="str">
        <x:v>Motor Imagery (L/R hand)</x:v>
      </x:c>
      <x:c r="J483" s="257" t="str">
        <x:v>25</x:v>
      </x:c>
      <x:c r="K483" s="257" t="str">
        <x:v>64</x:v>
      </x:c>
      <x:c r="L483" s="257" t="str">
        <x:v>1000 Hz</x:v>
      </x:c>
      <x:c r="M483" s="257"/>
      <x:c r="N483" s="257" t="str">
        <x:v>Raw</x:v>
      </x:c>
      <x:c r="O483" s="257" t="str">
        <x:v>Open, CC BY 4.0, no application</x:v>
      </x:c>
      <x:c r="P483" s="257" t="str">
        <x:v>Carnegie Mellon University</x:v>
      </x:c>
      <x:c r="Q483" s="257" t="str">
        <x:v>06_Motor_and_Interaction/Motor_Imagery_and_Execution/Forenzo2023_MI_spatial_attention</x:v>
      </x:c>
      <x:c r="R483" s="257" t="str">
        <x:v>官方数据存在，但需申请、签署协议或获得权限</x:v>
      </x:c>
      <x:c r="S483" s="257"/>
      <x:c r="T483" s="257"/>
      <x:c r="U483" s="213"/>
    </x:row>
    <x:row r="484" ht="60" customHeight="1">
      <x:c r="A484" s="274" t="str">
        <x:v>EEG-0388</x:v>
      </x:c>
      <x:c r="B484" s="275" t="str">
        <x:v>06_Motor_and_Interaction</x:v>
      </x:c>
      <x:c r="C484" s="275" t="str">
        <x:v>Motor_Imagery_and_Execution</x:v>
      </x:c>
      <x:c r="D484" s="275" t="str">
        <x:v>GuttmannFlury2025_ME (Eye-BCI Motor Execution)</x:v>
      </x:c>
      <x:c r="E484" s="275"/>
      <x:c r="F484" s="275"/>
      <x:c r="G484" s="275" t="str">
        <x:v>DOWNLOAD_APPLICATION_REQUIRED</x:v>
      </x:c>
      <x:c r="H484" s="275" t="str">
        <x:v>https://moabb.neurotechx.com/docs/generated/moabb.datasets.GuttmannFlury2025_ME.html</x:v>
      </x:c>
      <x:c r="I484" s="275" t="str">
        <x:v>Motor Execution (L/R hand)</x:v>
      </x:c>
      <x:c r="J484" s="275" t="str">
        <x:v>31</x:v>
      </x:c>
      <x:c r="K484" s="275" t="str">
        <x:v>64</x:v>
      </x:c>
      <x:c r="L484" s="275" t="str">
        <x:v>1000 Hz</x:v>
      </x:c>
      <x:c r="M484" s="275"/>
      <x:c r="N484" s="275" t="str">
        <x:v>Raw</x:v>
      </x:c>
      <x:c r="O484" s="275" t="str">
        <x:v>Open, CC0, no application</x:v>
      </x:c>
      <x:c r="P484" s="275" t="str">
        <x:v>Shanghai Jiao Tong University</x:v>
      </x:c>
      <x:c r="Q484" s="275" t="str">
        <x:v>06_Motor_and_Interaction/Motor_Imagery_and_Execution/GuttmannFlury2025_ME_Eye-BCI_Motor_Execution</x:v>
      </x:c>
      <x:c r="R484" s="275" t="str">
        <x:v>官方数据存在，但需申请、签署协议或获得权限</x:v>
      </x:c>
      <x:c r="S484" s="275"/>
      <x:c r="T484" s="275"/>
      <x:c r="U484" s="276"/>
    </x:row>
    <x:row r="485" ht="60" customHeight="1">
      <x:c r="A485" s="264" t="str">
        <x:v>EEG-0389</x:v>
      </x:c>
      <x:c r="B485" s="257" t="str">
        <x:v>06_Motor_and_Interaction</x:v>
      </x:c>
      <x:c r="C485" s="257" t="str">
        <x:v>Motor_Imagery_and_Execution</x:v>
      </x:c>
      <x:c r="D485" s="257" t="str">
        <x:v>GuttmannFlury2025_MI (Eye-BCI Motor Imagery)</x:v>
      </x:c>
      <x:c r="E485" s="257"/>
      <x:c r="F485" s="257"/>
      <x:c r="G485" s="257" t="str">
        <x:v>DOWNLOAD_APPLICATION_REQUIRED</x:v>
      </x:c>
      <x:c r="H485" s="257" t="str">
        <x:v>https://moabb.neurotechx.com/docs/generated/moabb.datasets.GuttmannFlury2025_MI.html</x:v>
      </x:c>
      <x:c r="I485" s="257" t="str">
        <x:v>Motor Imagery (L/R hand)</x:v>
      </x:c>
      <x:c r="J485" s="257" t="str">
        <x:v>31</x:v>
      </x:c>
      <x:c r="K485" s="257" t="str">
        <x:v>64</x:v>
      </x:c>
      <x:c r="L485" s="257" t="str">
        <x:v>1000 Hz</x:v>
      </x:c>
      <x:c r="M485" s="257"/>
      <x:c r="N485" s="257" t="str">
        <x:v>Raw</x:v>
      </x:c>
      <x:c r="O485" s="257" t="str">
        <x:v>Open, CC0, no application</x:v>
      </x:c>
      <x:c r="P485" s="257" t="str">
        <x:v>Shanghai Jiao Tong University</x:v>
      </x:c>
      <x:c r="Q485" s="257" t="str">
        <x:v>06_Motor_and_Interaction/Motor_Imagery_and_Execution/GuttmannFlury2025_MI_Eye-BCI_Motor_Imagery</x:v>
      </x:c>
      <x:c r="R485" s="257" t="str">
        <x:v>官方数据存在，但需申请、签署协议或获得权限</x:v>
      </x:c>
      <x:c r="S485" s="257"/>
      <x:c r="T485" s="257"/>
      <x:c r="U485" s="213"/>
    </x:row>
    <x:row r="486" ht="60" customHeight="1">
      <x:c r="A486" s="274" t="str">
        <x:v>EEG-0394</x:v>
      </x:c>
      <x:c r="B486" s="275" t="str">
        <x:v>06_Motor_and_Interaction</x:v>
      </x:c>
      <x:c r="C486" s="275" t="str">
        <x:v>Motor_Imagery_and_Execution</x:v>
      </x:c>
      <x:c r="D486" s="275" t="str">
        <x:v>Kumar2024 (longitudinal MI)</x:v>
      </x:c>
      <x:c r="E486" s="275"/>
      <x:c r="F486" s="275"/>
      <x:c r="G486" s="275" t="str">
        <x:v>DOWNLOAD_APPLICATION_REQUIRED</x:v>
      </x:c>
      <x:c r="H486" s="275" t="str">
        <x:v>https://moabb.neurotechx.com/docs/generated/moabb.datasets.Kumar2024.html</x:v>
      </x:c>
      <x:c r="I486" s="275" t="str">
        <x:v>Motor Imagery (L/R hand)</x:v>
      </x:c>
      <x:c r="J486" s="275" t="str">
        <x:v>18</x:v>
      </x:c>
      <x:c r="K486" s="275" t="str">
        <x:v>22</x:v>
      </x:c>
      <x:c r="L486" s="275" t="str">
        <x:v>512 Hz</x:v>
      </x:c>
      <x:c r="M486" s="275"/>
      <x:c r="N486" s="275" t="str">
        <x:v>Raw</x:v>
      </x:c>
      <x:c r="O486" s="275" t="str">
        <x:v>Open, CC BY 4.0, no application</x:v>
      </x:c>
      <x:c r="P486" s="275" t="str">
        <x:v>José del R. Millán, UT Austin</x:v>
      </x:c>
      <x:c r="Q486" s="275" t="str">
        <x:v>06_Motor_and_Interaction/Motor_Imagery_and_Execution/Kumar2024_longitudinal_MI</x:v>
      </x:c>
      <x:c r="R486" s="275" t="str">
        <x:v>官方数据存在，但需申请、签署协议或获得权限</x:v>
      </x:c>
      <x:c r="S486" s="275"/>
      <x:c r="T486" s="275"/>
      <x:c r="U486" s="276"/>
    </x:row>
    <x:row r="487" ht="60" customHeight="1">
      <x:c r="A487" s="264" t="str">
        <x:v>EEG-0397</x:v>
      </x:c>
      <x:c r="B487" s="257" t="str">
        <x:v>06_Motor_and_Interaction</x:v>
      </x:c>
      <x:c r="C487" s="257" t="str">
        <x:v>Motor_Imagery_and_Execution</x:v>
      </x:c>
      <x:c r="D487" s="257" t="str">
        <x:v>Liu2025 (lower-limb gait MI)</x:v>
      </x:c>
      <x:c r="E487" s="257"/>
      <x:c r="F487" s="257"/>
      <x:c r="G487" s="257" t="str">
        <x:v>DOWNLOAD_APPLICATION_REQUIRED</x:v>
      </x:c>
      <x:c r="H487" s="257" t="str">
        <x:v>https://moabb.neurotechx.com/docs/generated/moabb.datasets.Liu2025.html</x:v>
      </x:c>
      <x:c r="I487" s="257" t="str">
        <x:v>Motor Imagery (gait)</x:v>
      </x:c>
      <x:c r="J487" s="257" t="str">
        <x:v>27</x:v>
      </x:c>
      <x:c r="K487" s="257" t="str">
        <x:v>60</x:v>
      </x:c>
      <x:c r="L487" s="257" t="str">
        <x:v>1000 Hz</x:v>
      </x:c>
      <x:c r="M487" s="257"/>
      <x:c r="N487" s="257" t="str">
        <x:v>Raw</x:v>
      </x:c>
      <x:c r="O487" s="257" t="str">
        <x:v>Open, CC BY-NC-ND 4.0, no application</x:v>
      </x:c>
      <x:c r="P487" s="257" t="str">
        <x:v>Tianjin University</x:v>
      </x:c>
      <x:c r="Q487" s="257" t="str">
        <x:v>06_Motor_and_Interaction/Motor_Imagery_and_Execution/Liu2025_lower-limb_gait_MI</x:v>
      </x:c>
      <x:c r="R487" s="257" t="str">
        <x:v>官方数据存在，但需申请、签署协议或获得权限</x:v>
      </x:c>
      <x:c r="S487" s="257"/>
      <x:c r="T487" s="257"/>
      <x:c r="U487" s="213"/>
    </x:row>
    <x:row r="488" ht="60" customHeight="1">
      <x:c r="A488" s="274" t="str">
        <x:v>EEG-0407</x:v>
      </x:c>
      <x:c r="B488" s="275" t="str">
        <x:v>06_Motor_and_Interaction</x:v>
      </x:c>
      <x:c r="C488" s="275" t="str">
        <x:v>Motor_Imagery_and_Execution</x:v>
      </x:c>
      <x:c r="D488" s="275" t="str">
        <x:v>Ofner2017</x:v>
      </x:c>
      <x:c r="E488" s="275"/>
      <x:c r="F488" s="275"/>
      <x:c r="G488" s="275" t="str">
        <x:v>DOWNLOAD_PUBLIC</x:v>
      </x:c>
      <x:c r="H488" s="275" t="str">
        <x:v>[MOABB Ofner2017](https://moabb.neurotechx.com/docs/generated/moabb.datasets.Ofner2017.html)</x:v>
      </x:c>
      <x:c r="I488" s="275" t="str">
        <x:v>7-class upper-limb motor imagery / execution</x:v>
      </x:c>
      <x:c r="J488" s="275" t="str">
        <x:v>15</x:v>
      </x:c>
      <x:c r="K488" s="275" t="str">
        <x:v>61</x:v>
      </x:c>
      <x:c r="L488" s="275" t="str">
        <x:v>512Hz</x:v>
      </x:c>
      <x:c r="M488" s="275" t="str">
        <x:v>MOABB-supported / 原始格式</x:v>
      </x:c>
      <x:c r="N488" s="275" t="str">
        <x:v>raw / 原始发布数据</x:v>
      </x:c>
      <x:c r="O488" s="275" t="str">
        <x:v>public via MOABB; CC-BY-4.0</x:v>
      </x:c>
      <x:c r="P488" s="275" t="str">
        <x:v>未给出</x:v>
      </x:c>
      <x:c r="Q488" s="275" t="str">
        <x:v>06_Motor_and_Interaction/Motor_Imagery_and_Execution/Ofner2017</x:v>
      </x:c>
      <x:c r="R488" s="275" t="str">
        <x:v>存在公开仓库、官方入口或稳定数据访问号</x:v>
      </x:c>
      <x:c r="S488" s="275"/>
      <x:c r="T488" s="275"/>
      <x:c r="U488" s="276"/>
    </x:row>
    <x:row r="489" ht="60" customHeight="1">
      <x:c r="A489" s="264" t="str">
        <x:v>EEG-0423</x:v>
      </x:c>
      <x:c r="B489" s="257" t="str">
        <x:v>06_Motor_and_Interaction</x:v>
      </x:c>
      <x:c r="C489" s="257" t="str">
        <x:v>SSVEP_and_Evoked_BCI</x:v>
      </x:c>
      <x:c r="D489" s="257" t="str">
        <x:v>CastillosBurstVEP100</x:v>
      </x:c>
      <x:c r="E489" s="257"/>
      <x:c r="F489" s="257"/>
      <x:c r="G489" s="257" t="str">
        <x:v>DOWNLOAD_APPLICATION_REQUIRED</x:v>
      </x:c>
      <x:c r="H489" s="257" t="str">
        <x:v>https://moabb.neurotechx.com/docs/generated/moabb.datasets.CastillosBurstVEP100.html</x:v>
      </x:c>
      <x:c r="I489" s="257" t="str">
        <x:v>c-VEP (burst code, 100% amplitude)</x:v>
      </x:c>
      <x:c r="J489" s="257" t="str">
        <x:v>12</x:v>
      </x:c>
      <x:c r="K489" s="257" t="str">
        <x:v>32</x:v>
      </x:c>
      <x:c r="L489" s="257" t="str">
        <x:v>500 Hz</x:v>
      </x:c>
      <x:c r="M489" s="257"/>
      <x:c r="N489" s="257" t="str">
        <x:v>Raw</x:v>
      </x:c>
      <x:c r="O489" s="257" t="str">
        <x:v>Open, CC BY 4.0, no application</x:v>
      </x:c>
      <x:c r="P489" s="257" t="str">
        <x:v>ISAE-SUPAERO</x:v>
      </x:c>
      <x:c r="Q489" s="257" t="str">
        <x:v>06_Motor_and_Interaction/SSVEP_and_Evoked_BCI/CastillosBurstVEP100</x:v>
      </x:c>
      <x:c r="R489" s="257" t="str">
        <x:v>官方数据存在，但需申请、签署协议或获得权限</x:v>
      </x:c>
      <x:c r="S489" s="257"/>
      <x:c r="T489" s="257"/>
      <x:c r="U489" s="213"/>
    </x:row>
    <x:row r="490" ht="60" customHeight="1">
      <x:c r="A490" s="274" t="str">
        <x:v>EEG-0424</x:v>
      </x:c>
      <x:c r="B490" s="275" t="str">
        <x:v>06_Motor_and_Interaction</x:v>
      </x:c>
      <x:c r="C490" s="275" t="str">
        <x:v>SSVEP_and_Evoked_BCI</x:v>
      </x:c>
      <x:c r="D490" s="275" t="str">
        <x:v>CastillosBurstVEP40</x:v>
      </x:c>
      <x:c r="E490" s="275"/>
      <x:c r="F490" s="275"/>
      <x:c r="G490" s="275" t="str">
        <x:v>DOWNLOAD_APPLICATION_REQUIRED</x:v>
      </x:c>
      <x:c r="H490" s="275" t="str">
        <x:v>https://moabb.neurotechx.com/docs/generated/moabb.datasets.CastillosBurstVEP40.html</x:v>
      </x:c>
      <x:c r="I490" s="275" t="str">
        <x:v>c-VEP (burst code, 40% amplitude)</x:v>
      </x:c>
      <x:c r="J490" s="275" t="str">
        <x:v>12</x:v>
      </x:c>
      <x:c r="K490" s="275" t="str">
        <x:v>32</x:v>
      </x:c>
      <x:c r="L490" s="275" t="str">
        <x:v>500 Hz</x:v>
      </x:c>
      <x:c r="M490" s="275"/>
      <x:c r="N490" s="275" t="str">
        <x:v>Raw</x:v>
      </x:c>
      <x:c r="O490" s="275" t="str">
        <x:v>Open, CC BY 4.0, no application</x:v>
      </x:c>
      <x:c r="P490" s="275" t="str">
        <x:v>Frédéric Dehais, ISAE-SUPAERO</x:v>
      </x:c>
      <x:c r="Q490" s="275" t="str">
        <x:v>06_Motor_and_Interaction/SSVEP_and_Evoked_BCI/CastillosBurstVEP40</x:v>
      </x:c>
      <x:c r="R490" s="275" t="str">
        <x:v>官方数据存在，但需申请、签署协议或获得权限</x:v>
      </x:c>
      <x:c r="S490" s="275"/>
      <x:c r="T490" s="275"/>
      <x:c r="U490" s="276"/>
    </x:row>
    <x:row r="491" ht="60" customHeight="1">
      <x:c r="A491" s="264" t="str">
        <x:v>EEG-0425</x:v>
      </x:c>
      <x:c r="B491" s="257" t="str">
        <x:v>06_Motor_and_Interaction</x:v>
      </x:c>
      <x:c r="C491" s="257" t="str">
        <x:v>SSVEP_and_Evoked_BCI</x:v>
      </x:c>
      <x:c r="D491" s="257" t="str">
        <x:v>CastillosCVEP100</x:v>
      </x:c>
      <x:c r="E491" s="257"/>
      <x:c r="F491" s="257"/>
      <x:c r="G491" s="257" t="str">
        <x:v>DOWNLOAD_APPLICATION_REQUIRED</x:v>
      </x:c>
      <x:c r="H491" s="257" t="str">
        <x:v>https://moabb.neurotechx.com/docs/generated/moabb.datasets.CastillosCVEP100.html</x:v>
      </x:c>
      <x:c r="I491" s="257" t="str">
        <x:v>c-VEP (m-sequence, 100% amplitude)</x:v>
      </x:c>
      <x:c r="J491" s="257" t="str">
        <x:v>12</x:v>
      </x:c>
      <x:c r="K491" s="257" t="str">
        <x:v>32</x:v>
      </x:c>
      <x:c r="L491" s="257" t="str">
        <x:v>500 Hz</x:v>
      </x:c>
      <x:c r="M491" s="257"/>
      <x:c r="N491" s="257" t="str">
        <x:v>Raw</x:v>
      </x:c>
      <x:c r="O491" s="257" t="str">
        <x:v>Open, CC BY 4.0, no application</x:v>
      </x:c>
      <x:c r="P491" s="257" t="str">
        <x:v>ISAE-SUPAERO</x:v>
      </x:c>
      <x:c r="Q491" s="257" t="str">
        <x:v>06_Motor_and_Interaction/SSVEP_and_Evoked_BCI/CastillosCVEP100</x:v>
      </x:c>
      <x:c r="R491" s="257" t="str">
        <x:v>官方数据存在，但需申请、签署协议或获得权限</x:v>
      </x:c>
      <x:c r="S491" s="257"/>
      <x:c r="T491" s="257"/>
      <x:c r="U491" s="213"/>
    </x:row>
    <x:row r="492" ht="60" customHeight="1">
      <x:c r="A492" s="274" t="str">
        <x:v>EEG-0426</x:v>
      </x:c>
      <x:c r="B492" s="275" t="str">
        <x:v>06_Motor_and_Interaction</x:v>
      </x:c>
      <x:c r="C492" s="275" t="str">
        <x:v>SSVEP_and_Evoked_BCI</x:v>
      </x:c>
      <x:c r="D492" s="275" t="str">
        <x:v>CastillosCVEP40</x:v>
      </x:c>
      <x:c r="E492" s="275"/>
      <x:c r="F492" s="275"/>
      <x:c r="G492" s="275" t="str">
        <x:v>DOWNLOAD_APPLICATION_REQUIRED</x:v>
      </x:c>
      <x:c r="H492" s="275" t="str">
        <x:v>https://moabb.neurotechx.com/docs/generated/moabb.datasets.CastillosCVEP40.html</x:v>
      </x:c>
      <x:c r="I492" s="275" t="str">
        <x:v>c-VEP (m-sequence, 40% amplitude)</x:v>
      </x:c>
      <x:c r="J492" s="275" t="str">
        <x:v>12</x:v>
      </x:c>
      <x:c r="K492" s="275" t="str">
        <x:v>32</x:v>
      </x:c>
      <x:c r="L492" s="275" t="str">
        <x:v>500 Hz</x:v>
      </x:c>
      <x:c r="M492" s="275"/>
      <x:c r="N492" s="275" t="str">
        <x:v>Raw</x:v>
      </x:c>
      <x:c r="O492" s="275" t="str">
        <x:v>Open, CC BY 4.0, no application</x:v>
      </x:c>
      <x:c r="P492" s="275" t="str">
        <x:v>ISAE-SUPAERO</x:v>
      </x:c>
      <x:c r="Q492" s="275" t="str">
        <x:v>06_Motor_and_Interaction/SSVEP_and_Evoked_BCI/CastillosCVEP40</x:v>
      </x:c>
      <x:c r="R492" s="275" t="str">
        <x:v>官方数据存在，但需申请、签署协议或获得权限</x:v>
      </x:c>
      <x:c r="S492" s="275"/>
      <x:c r="T492" s="275"/>
      <x:c r="U492" s="276"/>
    </x:row>
    <x:row r="493" ht="60" customHeight="1">
      <x:c r="A493" s="264" t="str">
        <x:v>EEG-0427</x:v>
      </x:c>
      <x:c r="B493" s="257" t="str">
        <x:v>06_Motor_and_Interaction</x:v>
      </x:c>
      <x:c r="C493" s="257" t="str">
        <x:v>SSVEP_and_Evoked_BCI</x:v>
      </x:c>
      <x:c r="D493" s="257" t="str">
        <x:v>Chen2017SingleFlicker</x:v>
      </x:c>
      <x:c r="E493" s="257"/>
      <x:c r="F493" s="257"/>
      <x:c r="G493" s="257" t="str">
        <x:v>DOWNLOAD_APPLICATION_REQUIRED</x:v>
      </x:c>
      <x:c r="H493" s="257" t="str">
        <x:v>https://moabb.neurotechx.com/docs/generated/moabb.datasets.Chen2017SingleFlicker.html</x:v>
      </x:c>
      <x:c r="I493" s="257" t="str">
        <x:v>SSVEP (4-target single flicker)</x:v>
      </x:c>
      <x:c r="J493" s="257" t="str">
        <x:v>12</x:v>
      </x:c>
      <x:c r="K493" s="257" t="str">
        <x:v>32</x:v>
      </x:c>
      <x:c r="L493" s="257" t="str">
        <x:v>512 Hz</x:v>
      </x:c>
      <x:c r="M493" s="257"/>
      <x:c r="N493" s="257" t="str">
        <x:v>Raw</x:v>
      </x:c>
      <x:c r="O493" s="257" t="str">
        <x:v>Open, CC BY 4.0, no application</x:v>
      </x:c>
      <x:c r="P493" s="257" t="str">
        <x:v>Alexander Maye, UKE Hamburg</x:v>
      </x:c>
      <x:c r="Q493" s="257" t="str">
        <x:v>06_Motor_and_Interaction/SSVEP_and_Evoked_BCI/Chen2017SingleFlicker</x:v>
      </x:c>
      <x:c r="R493" s="257" t="str">
        <x:v>官方数据存在，但需申请、签署协议或获得权限</x:v>
      </x:c>
      <x:c r="S493" s="257"/>
      <x:c r="T493" s="257"/>
      <x:c r="U493" s="213"/>
    </x:row>
    <x:row r="494" ht="60" customHeight="1">
      <x:c r="A494" s="274" t="str">
        <x:v>EEG-0436</x:v>
      </x:c>
      <x:c r="B494" s="275" t="str">
        <x:v>06_Motor_and_Interaction</x:v>
      </x:c>
      <x:c r="C494" s="275" t="str">
        <x:v>SSVEP_and_Evoked_BCI</x:v>
      </x:c>
      <x:c r="D494" s="275" t="str">
        <x:v>GuttmannFlury2025_SSVEP</x:v>
      </x:c>
      <x:c r="E494" s="275"/>
      <x:c r="F494" s="275"/>
      <x:c r="G494" s="275" t="str">
        <x:v>DOWNLOAD_APPLICATION_REQUIRED</x:v>
      </x:c>
      <x:c r="H494" s="275" t="str">
        <x:v>https://moabb.neurotechx.com/docs/generated/moabb.datasets.GuttmannFlury2025_SSVEP.html</x:v>
      </x:c>
      <x:c r="I494" s="275" t="str">
        <x:v>SSVEP (4-target)</x:v>
      </x:c>
      <x:c r="J494" s="275" t="str">
        <x:v>31</x:v>
      </x:c>
      <x:c r="K494" s="275" t="str">
        <x:v>64</x:v>
      </x:c>
      <x:c r="L494" s="275" t="str">
        <x:v>1000 Hz</x:v>
      </x:c>
      <x:c r="M494" s="275"/>
      <x:c r="N494" s="275" t="str">
        <x:v>Raw</x:v>
      </x:c>
      <x:c r="O494" s="275" t="str">
        <x:v>Open, CC0, no application</x:v>
      </x:c>
      <x:c r="P494" s="275" t="str">
        <x:v>Shanghai Jiao Tong University</x:v>
      </x:c>
      <x:c r="Q494" s="275" t="str">
        <x:v>06_Motor_and_Interaction/SSVEP_and_Evoked_BCI/GuttmannFlury2025_SSVEP</x:v>
      </x:c>
      <x:c r="R494" s="275" t="str">
        <x:v>官方数据存在，但需申请、签署协议或获得权限</x:v>
      </x:c>
      <x:c r="S494" s="275"/>
      <x:c r="T494" s="275"/>
      <x:c r="U494" s="276"/>
    </x:row>
    <x:row r="495" ht="60" customHeight="1">
      <x:c r="A495" s="264" t="str">
        <x:v>EEG-0439</x:v>
      </x:c>
      <x:c r="B495" s="257" t="str">
        <x:v>06_Motor_and_Interaction</x:v>
      </x:c>
      <x:c r="C495" s="257" t="str">
        <x:v>SSVEP_and_Evoked_BCI</x:v>
      </x:c>
      <x:c r="D495" s="257" t="str">
        <x:v>Kim2025BetaRange</x:v>
      </x:c>
      <x:c r="E495" s="257"/>
      <x:c r="F495" s="257"/>
      <x:c r="G495" s="257" t="str">
        <x:v>DOWNLOAD_APPLICATION_REQUIRED</x:v>
      </x:c>
      <x:c r="H495" s="257" t="str">
        <x:v>https://moabb.neurotechx.com/docs/generated/moabb.datasets.Kim2025BetaRange.html</x:v>
      </x:c>
      <x:c r="I495" s="257" t="str">
        <x:v>SSVEP (40-target, beta-band freqs)</x:v>
      </x:c>
      <x:c r="J495" s="257" t="str">
        <x:v>40</x:v>
      </x:c>
      <x:c r="K495" s="257" t="str">
        <x:v>31</x:v>
      </x:c>
      <x:c r="L495" s="257" t="str">
        <x:v>1024 Hz</x:v>
      </x:c>
      <x:c r="M495" s="257"/>
      <x:c r="N495" s="257" t="str">
        <x:v>Raw</x:v>
      </x:c>
      <x:c r="O495" s="257" t="str">
        <x:v>Open, CC BY 4.0, no application</x:v>
      </x:c>
      <x:c r="P495" s="257" t="str">
        <x:v>Sung Chan Jun, GIST</x:v>
      </x:c>
      <x:c r="Q495" s="257" t="str">
        <x:v>06_Motor_and_Interaction/SSVEP_and_Evoked_BCI/Kim2025BetaRange</x:v>
      </x:c>
      <x:c r="R495" s="257" t="str">
        <x:v>官方数据存在，但需申请、签署协议或获得权限</x:v>
      </x:c>
      <x:c r="S495" s="257"/>
      <x:c r="T495" s="257"/>
      <x:c r="U495" s="213"/>
    </x:row>
    <x:row r="496" ht="60" customHeight="1">
      <x:c r="A496" s="274" t="str">
        <x:v>EEG-0440</x:v>
      </x:c>
      <x:c r="B496" s="275" t="str">
        <x:v>06_Motor_and_Interaction</x:v>
      </x:c>
      <x:c r="C496" s="275" t="str">
        <x:v>SSVEP_and_Evoked_BCI</x:v>
      </x:c>
      <x:c r="D496" s="275" t="str">
        <x:v>Lee2021Mobile_SSVEP</x:v>
      </x:c>
      <x:c r="E496" s="275"/>
      <x:c r="F496" s="275"/>
      <x:c r="G496" s="275" t="str">
        <x:v>DOWNLOAD_APPLICATION_REQUIRED</x:v>
      </x:c>
      <x:c r="H496" s="275" t="str">
        <x:v>https://moabb.neurotechx.com/docs/generated/moabb.datasets.Lee2021Mobile_SSVEP.html</x:v>
      </x:c>
      <x:c r="I496" s="275" t="str">
        <x:v>SSVEP (3-target, mobile EEG)</x:v>
      </x:c>
      <x:c r="J496" s="275" t="str">
        <x:v>23</x:v>
      </x:c>
      <x:c r="K496" s="275" t="str">
        <x:v>73</x:v>
      </x:c>
      <x:c r="L496" s="275" t="str">
        <x:v>100 Hz</x:v>
      </x:c>
      <x:c r="M496" s="275"/>
      <x:c r="N496" s="275" t="str">
        <x:v>Raw</x:v>
      </x:c>
      <x:c r="O496" s="275" t="str">
        <x:v>Open, CC BY 4.0, no application</x:v>
      </x:c>
      <x:c r="P496" s="275" t="str">
        <x:v>Korea University</x:v>
      </x:c>
      <x:c r="Q496" s="275" t="str">
        <x:v>06_Motor_and_Interaction/SSVEP_and_Evoked_BCI/Lee2021Mobile_SSVEP</x:v>
      </x:c>
      <x:c r="R496" s="275" t="str">
        <x:v>官方数据存在，但需申请、签署协议或获得权限</x:v>
      </x:c>
      <x:c r="S496" s="275"/>
      <x:c r="T496" s="275"/>
      <x:c r="U496" s="276"/>
    </x:row>
    <x:row r="497" ht="60" customHeight="1">
      <x:c r="A497" s="264" t="str">
        <x:v>EEG-0442</x:v>
      </x:c>
      <x:c r="B497" s="257" t="str">
        <x:v>06_Motor_and_Interaction</x:v>
      </x:c>
      <x:c r="C497" s="257" t="str">
        <x:v>SSVEP_and_Evoked_BCI</x:v>
      </x:c>
      <x:c r="D497" s="257" t="str">
        <x:v>MAMEM2</x:v>
      </x:c>
      <x:c r="E497" s="257"/>
      <x:c r="F497" s="257"/>
      <x:c r="G497" s="257" t="str">
        <x:v>DOWNLOAD_APPLICATION_REQUIRED</x:v>
      </x:c>
      <x:c r="H497" s="257" t="str">
        <x:v>https://moabb.neurotechx.com/docs/generated/moabb.datasets.MAMEM2.html</x:v>
      </x:c>
      <x:c r="I497" s="257" t="str">
        <x:v>SSVEP (5-target)</x:v>
      </x:c>
      <x:c r="J497" s="257" t="str">
        <x:v>11</x:v>
      </x:c>
      <x:c r="K497" s="257" t="str">
        <x:v>256</x:v>
      </x:c>
      <x:c r="L497" s="257" t="str">
        <x:v>250 Hz</x:v>
      </x:c>
      <x:c r="M497" s="257"/>
      <x:c r="N497" s="257" t="str">
        <x:v>Raw</x:v>
      </x:c>
      <x:c r="O497" s="257" t="str">
        <x:v>Open, ODC-By 1.0, no application</x:v>
      </x:c>
      <x:c r="P497" s="257" t="str">
        <x:v>CERTH</x:v>
      </x:c>
      <x:c r="Q497" s="257" t="str">
        <x:v>06_Motor_and_Interaction/SSVEP_and_Evoked_BCI/MAMEM2</x:v>
      </x:c>
      <x:c r="R497" s="257" t="str">
        <x:v>官方数据存在，但需申请、签署协议或获得权限</x:v>
      </x:c>
      <x:c r="S497" s="257"/>
      <x:c r="T497" s="257"/>
      <x:c r="U497" s="213"/>
    </x:row>
    <x:row r="498" ht="60" customHeight="1">
      <x:c r="A498" s="274" t="str">
        <x:v>EEG-0443</x:v>
      </x:c>
      <x:c r="B498" s="275" t="str">
        <x:v>06_Motor_and_Interaction</x:v>
      </x:c>
      <x:c r="C498" s="275" t="str">
        <x:v>SSVEP_and_Evoked_BCI</x:v>
      </x:c>
      <x:c r="D498" s="275" t="str">
        <x:v>MAMEM3</x:v>
      </x:c>
      <x:c r="E498" s="275"/>
      <x:c r="F498" s="275"/>
      <x:c r="G498" s="275" t="str">
        <x:v>DOWNLOAD_APPLICATION_REQUIRED</x:v>
      </x:c>
      <x:c r="H498" s="275" t="str">
        <x:v>https://moabb.neurotechx.com/docs/generated/moabb.datasets.MAMEM3.html</x:v>
      </x:c>
      <x:c r="I498" s="275" t="str">
        <x:v>SSVEP (5-target)</x:v>
      </x:c>
      <x:c r="J498" s="275" t="str">
        <x:v>11</x:v>
      </x:c>
      <x:c r="K498" s="275" t="str">
        <x:v>14</x:v>
      </x:c>
      <x:c r="L498" s="275" t="str">
        <x:v>128 Hz</x:v>
      </x:c>
      <x:c r="M498" s="275"/>
      <x:c r="N498" s="275" t="str">
        <x:v>Raw</x:v>
      </x:c>
      <x:c r="O498" s="275" t="str">
        <x:v>Open, ODC-By 1.0, no application</x:v>
      </x:c>
      <x:c r="P498" s="275" t="str">
        <x:v>CERTH</x:v>
      </x:c>
      <x:c r="Q498" s="275" t="str">
        <x:v>06_Motor_and_Interaction/SSVEP_and_Evoked_BCI/MAMEM3</x:v>
      </x:c>
      <x:c r="R498" s="275" t="str">
        <x:v>官方数据存在，但需申请、签署协议或获得权限</x:v>
      </x:c>
      <x:c r="S498" s="275"/>
      <x:c r="T498" s="275"/>
      <x:c r="U498" s="276"/>
    </x:row>
    <x:row r="499" ht="60" customHeight="1">
      <x:c r="A499" s="264" t="str">
        <x:v>EEG-0459</x:v>
      </x:c>
      <x:c r="B499" s="257" t="str">
        <x:v>06_Motor_and_Interaction</x:v>
      </x:c>
      <x:c r="C499" s="257" t="str">
        <x:v>Interaction_and_Control</x:v>
      </x:c>
      <x:c r="D499" s="257" t="str">
        <x:v>BCIComp2020WalkingERP</x:v>
      </x:c>
      <x:c r="E499" s="257"/>
      <x:c r="F499" s="257"/>
      <x:c r="G499" s="257" t="str">
        <x:v>DOWNLOAD_APPLICATION_REQUIRED</x:v>
      </x:c>
      <x:c r="H499" s="257" t="str">
        <x:v>https://moabb.neurotechx.com/docs/generated/moabb.datasets.BCIComp2020WalkingERP.html</x:v>
      </x:c>
      <x:c r="I499" s="257" t="str">
        <x:v>ERP / P300 (walking)</x:v>
      </x:c>
      <x:c r="J499" s="257" t="str">
        <x:v>15</x:v>
      </x:c>
      <x:c r="K499" s="257" t="str">
        <x:v>46</x:v>
      </x:c>
      <x:c r="L499" s="257" t="str">
        <x:v>100 Hz</x:v>
      </x:c>
      <x:c r="M499" s="257"/>
      <x:c r="N499" s="257" t="str">
        <x:v>Raw</x:v>
      </x:c>
      <x:c r="O499" s="257" t="str">
        <x:v>Open, CC BY 4.0, no application</x:v>
      </x:c>
      <x:c r="P499" s="257" t="str">
        <x:v>Korea University</x:v>
      </x:c>
      <x:c r="Q499" s="257" t="str">
        <x:v>06_Motor_and_Interaction/Interaction_and_Control/BCIComp2020WalkingERP</x:v>
      </x:c>
      <x:c r="R499" s="257" t="str">
        <x:v>官方数据存在，但需申请、签署协议或获得权限</x:v>
      </x:c>
      <x:c r="S499" s="257"/>
      <x:c r="T499" s="257"/>
      <x:c r="U499" s="213"/>
    </x:row>
    <x:row r="500" ht="60" customHeight="1">
      <x:c r="A500" s="274" t="str">
        <x:v>EEG-0460</x:v>
      </x:c>
      <x:c r="B500" s="275" t="str">
        <x:v>06_Motor_and_Interaction</x:v>
      </x:c>
      <x:c r="C500" s="275" t="str">
        <x:v>Interaction_and_Control</x:v>
      </x:c>
      <x:c r="D500" s="275" t="str">
        <x:v>Benchmark Dataset for RSVP BCIs</x:v>
      </x:c>
      <x:c r="E500" s="275"/>
      <x:c r="F500" s="275"/>
      <x:c r="G500" s="275" t="str">
        <x:v>DOWNLOAD_PUBLIC</x:v>
      </x:c>
      <x:c r="H500" s="275" t="str">
        <x:v>https://bci.med.tsinghua.edu.cn/download.html</x:v>
      </x:c>
      <x:c r="I500" s="275" t="str">
        <x:v>RSVP / rapid serial visual presentation BCI</x:v>
      </x:c>
      <x:c r="J500" s="275" t="str">
        <x:v>64</x:v>
      </x:c>
      <x:c r="K500" s="275" t="str">
        <x:v>64 EEG</x:v>
      </x:c>
      <x:c r="L500" s="275"/>
      <x:c r="M500" s="275" t="str">
        <x:v>MAT/ZIP</x:v>
      </x:c>
      <x:c r="N500" s="275" t="str">
        <x:v>Raw EEG</x:v>
      </x:c>
      <x:c r="O500" s="275" t="str">
        <x:v>Public download page</x:v>
      </x:c>
      <x:c r="P500" s="275" t="str">
        <x:v>Zhang et al. 2020</x:v>
      </x:c>
      <x:c r="Q500" s="275" t="str">
        <x:v>06_Motor_and_Interaction/Interaction_and_Control/Benchmark_Dataset_for_RSVP_BCIs</x:v>
      </x:c>
      <x:c r="R500" s="275" t="str">
        <x:v>存在公开仓库、官方入口或稳定数据访问号</x:v>
      </x:c>
      <x:c r="S500" s="275"/>
      <x:c r="T500" s="275"/>
      <x:c r="U500" s="276"/>
    </x:row>
    <x:row r="501" ht="60" customHeight="1">
      <x:c r="A501" s="264" t="str">
        <x:v>EEG-0463</x:v>
      </x:c>
      <x:c r="B501" s="257" t="str">
        <x:v>06_Motor_and_Interaction</x:v>
      </x:c>
      <x:c r="C501" s="257" t="str">
        <x:v>Interaction_and_Control</x:v>
      </x:c>
      <x:c r="D501" s="257" t="str">
        <x:v>BI2012 (Brain Invaders)</x:v>
      </x:c>
      <x:c r="E501" s="257"/>
      <x:c r="F501" s="257"/>
      <x:c r="G501" s="257" t="str">
        <x:v>DOWNLOAD_APPLICATION_REQUIRED</x:v>
      </x:c>
      <x:c r="H501" s="257" t="str">
        <x:v>https://moabb.neurotechx.com/docs/generated/moabb.datasets.BI2012.html</x:v>
      </x:c>
      <x:c r="I501" s="257" t="str">
        <x:v>P300 / ERP</x:v>
      </x:c>
      <x:c r="J501" s="257" t="str">
        <x:v>25</x:v>
      </x:c>
      <x:c r="K501" s="257" t="str">
        <x:v>16</x:v>
      </x:c>
      <x:c r="L501" s="257" t="str">
        <x:v>128 Hz</x:v>
      </x:c>
      <x:c r="M501" s="257"/>
      <x:c r="N501" s="257" t="str">
        <x:v>Raw</x:v>
      </x:c>
      <x:c r="O501" s="257" t="str">
        <x:v>Open, CC BY 4.0, no application</x:v>
      </x:c>
      <x:c r="P501" s="257" t="str">
        <x:v>Marco Congedo, GIPSA-lab CNRS</x:v>
      </x:c>
      <x:c r="Q501" s="257" t="str">
        <x:v>06_Motor_and_Interaction/Interaction_and_Control/BI2012_Brain_Invaders</x:v>
      </x:c>
      <x:c r="R501" s="257" t="str">
        <x:v>官方数据存在，但需申请、签署协议或获得权限</x:v>
      </x:c>
      <x:c r="S501" s="257"/>
      <x:c r="T501" s="257"/>
      <x:c r="U501" s="213"/>
    </x:row>
    <x:row r="502" ht="60" customHeight="1">
      <x:c r="A502" s="274" t="str">
        <x:v>EEG-0464</x:v>
      </x:c>
      <x:c r="B502" s="275" t="str">
        <x:v>06_Motor_and_Interaction</x:v>
      </x:c>
      <x:c r="C502" s="275" t="str">
        <x:v>Interaction_and_Control</x:v>
      </x:c>
      <x:c r="D502" s="275" t="str">
        <x:v>BI2013a (Brain Invaders)</x:v>
      </x:c>
      <x:c r="E502" s="275" t="str">
        <x:v>BI2013a; Brain Invaders 2013a</x:v>
      </x:c>
      <x:c r="F502" s="275"/>
      <x:c r="G502" s="275" t="str">
        <x:v>DOWNLOAD_APPLICATION_REQUIRED</x:v>
      </x:c>
      <x:c r="H502" s="275" t="str">
        <x:v>https://moabb.neurotechx.com/docs/generated/moabb.datasets.BI2013a.html</x:v>
      </x:c>
      <x:c r="I502" s="275" t="str">
        <x:v>P300 / ERP</x:v>
      </x:c>
      <x:c r="J502" s="275" t="str">
        <x:v>24</x:v>
      </x:c>
      <x:c r="K502" s="275" t="str">
        <x:v>16</x:v>
      </x:c>
      <x:c r="L502" s="275" t="str">
        <x:v>512 Hz</x:v>
      </x:c>
      <x:c r="M502" s="275"/>
      <x:c r="N502" s="275" t="str">
        <x:v>Raw</x:v>
      </x:c>
      <x:c r="O502" s="275" t="str">
        <x:v>Open, CC BY 1.0, no application</x:v>
      </x:c>
      <x:c r="P502" s="275" t="str">
        <x:v>Marco Congedo, GIPSA-lab CNRS</x:v>
      </x:c>
      <x:c r="Q502" s="275" t="str">
        <x:v>06_Motor_and_Interaction/Interaction_and_Control/BI2013a_Brain_Invaders</x:v>
      </x:c>
      <x:c r="R502" s="275" t="str">
        <x:v>官方数据存在，但需申请、签署协议或获得权限</x:v>
      </x:c>
      <x:c r="S502" s="275"/>
      <x:c r="T502" s="275"/>
      <x:c r="U502" s="276"/>
    </x:row>
    <x:row r="503" ht="60" customHeight="1">
      <x:c r="A503" s="264" t="str">
        <x:v>EEG-0465</x:v>
      </x:c>
      <x:c r="B503" s="257" t="str">
        <x:v>06_Motor_and_Interaction</x:v>
      </x:c>
      <x:c r="C503" s="257" t="str">
        <x:v>Interaction_and_Control</x:v>
      </x:c>
      <x:c r="D503" s="257" t="str">
        <x:v>BI2014a (Brain Invaders)</x:v>
      </x:c>
      <x:c r="E503" s="257" t="str">
        <x:v>BI2014a; Brain Invaders 2014a</x:v>
      </x:c>
      <x:c r="F503" s="257"/>
      <x:c r="G503" s="257" t="str">
        <x:v>DOWNLOAD_APPLICATION_REQUIRED</x:v>
      </x:c>
      <x:c r="H503" s="257" t="str">
        <x:v>https://moabb.neurotechx.com/docs/generated/moabb.datasets.BI2014a.html</x:v>
      </x:c>
      <x:c r="I503" s="257" t="str">
        <x:v>P300 / ERP</x:v>
      </x:c>
      <x:c r="J503" s="257" t="str">
        <x:v>64</x:v>
      </x:c>
      <x:c r="K503" s="257" t="str">
        <x:v>16</x:v>
      </x:c>
      <x:c r="L503" s="257" t="str">
        <x:v>512 Hz</x:v>
      </x:c>
      <x:c r="M503" s="257"/>
      <x:c r="N503" s="257" t="str">
        <x:v>Raw</x:v>
      </x:c>
      <x:c r="O503" s="257" t="str">
        <x:v>Open, CC BY 4.0, no application</x:v>
      </x:c>
      <x:c r="P503" s="257" t="str">
        <x:v>Marco Congedo, GIPSA-lab CNRS</x:v>
      </x:c>
      <x:c r="Q503" s="257" t="str">
        <x:v>06_Motor_and_Interaction/Interaction_and_Control/BI2014a_Brain_Invaders</x:v>
      </x:c>
      <x:c r="R503" s="257" t="str">
        <x:v>官方数据存在，但需申请、签署协议或获得权限</x:v>
      </x:c>
      <x:c r="S503" s="257"/>
      <x:c r="T503" s="257"/>
      <x:c r="U503" s="213"/>
    </x:row>
    <x:row r="504" ht="60" customHeight="1">
      <x:c r="A504" s="274" t="str">
        <x:v>EEG-0466</x:v>
      </x:c>
      <x:c r="B504" s="275" t="str">
        <x:v>06_Motor_and_Interaction</x:v>
      </x:c>
      <x:c r="C504" s="275" t="str">
        <x:v>Interaction_and_Control</x:v>
      </x:c>
      <x:c r="D504" s="275" t="str">
        <x:v>BI2014b (Brain Invaders)</x:v>
      </x:c>
      <x:c r="E504" s="275"/>
      <x:c r="F504" s="275"/>
      <x:c r="G504" s="275" t="str">
        <x:v>DOWNLOAD_APPLICATION_REQUIRED</x:v>
      </x:c>
      <x:c r="H504" s="275" t="str">
        <x:v>https://moabb.neurotechx.com/docs/generated/moabb.datasets.BI2014b.html</x:v>
      </x:c>
      <x:c r="I504" s="275" t="str">
        <x:v>P300 / ERP</x:v>
      </x:c>
      <x:c r="J504" s="275" t="str">
        <x:v>38</x:v>
      </x:c>
      <x:c r="K504" s="275" t="str">
        <x:v>32</x:v>
      </x:c>
      <x:c r="L504" s="275" t="str">
        <x:v>512 Hz</x:v>
      </x:c>
      <x:c r="M504" s="275"/>
      <x:c r="N504" s="275" t="str">
        <x:v>Raw</x:v>
      </x:c>
      <x:c r="O504" s="275" t="str">
        <x:v>Open, CC BY 4.0, no application</x:v>
      </x:c>
      <x:c r="P504" s="275" t="str">
        <x:v>Marco Congedo, GIPSA-lab CNRS</x:v>
      </x:c>
      <x:c r="Q504" s="275" t="str">
        <x:v>06_Motor_and_Interaction/Interaction_and_Control/BI2014b_Brain_Invaders</x:v>
      </x:c>
      <x:c r="R504" s="275" t="str">
        <x:v>官方数据存在，但需申请、签署协议或获得权限</x:v>
      </x:c>
      <x:c r="S504" s="275"/>
      <x:c r="T504" s="275"/>
      <x:c r="U504" s="276"/>
    </x:row>
    <x:row r="505" ht="60" customHeight="1">
      <x:c r="A505" s="264" t="str">
        <x:v>EEG-0467</x:v>
      </x:c>
      <x:c r="B505" s="257" t="str">
        <x:v>06_Motor_and_Interaction</x:v>
      </x:c>
      <x:c r="C505" s="257" t="str">
        <x:v>Interaction_and_Control</x:v>
      </x:c>
      <x:c r="D505" s="257" t="str">
        <x:v>BI2015b (Brain Invaders)</x:v>
      </x:c>
      <x:c r="E505" s="257"/>
      <x:c r="F505" s="257"/>
      <x:c r="G505" s="257" t="str">
        <x:v>DOWNLOAD_APPLICATION_REQUIRED</x:v>
      </x:c>
      <x:c r="H505" s="257" t="str">
        <x:v>https://moabb.neurotechx.com/docs/generated/moabb.datasets.BI2015b.html</x:v>
      </x:c>
      <x:c r="I505" s="257" t="str">
        <x:v>P300 / ERP</x:v>
      </x:c>
      <x:c r="J505" s="257" t="str">
        <x:v>44</x:v>
      </x:c>
      <x:c r="K505" s="257" t="str">
        <x:v>32</x:v>
      </x:c>
      <x:c r="L505" s="257" t="str">
        <x:v>512 Hz</x:v>
      </x:c>
      <x:c r="M505" s="257"/>
      <x:c r="N505" s="257" t="str">
        <x:v>Raw</x:v>
      </x:c>
      <x:c r="O505" s="257" t="str">
        <x:v>Open, CC BY 4.0, no application</x:v>
      </x:c>
      <x:c r="P505" s="257" t="str">
        <x:v>Marco Congedo, GIPSA-lab CNRS</x:v>
      </x:c>
      <x:c r="Q505" s="257" t="str">
        <x:v>06_Motor_and_Interaction/Interaction_and_Control/BI2015b_Brain_Invaders</x:v>
      </x:c>
      <x:c r="R505" s="257" t="str">
        <x:v>官方数据存在，但需申请、签署协议或获得权限</x:v>
      </x:c>
      <x:c r="S505" s="257"/>
      <x:c r="T505" s="257"/>
      <x:c r="U505" s="213"/>
    </x:row>
    <x:row r="506" ht="60" customHeight="1">
      <x:c r="A506" s="274" t="str">
        <x:v>EEG-0483</x:v>
      </x:c>
      <x:c r="B506" s="275" t="str">
        <x:v>06_Motor_and_Interaction</x:v>
      </x:c>
      <x:c r="C506" s="275" t="str">
        <x:v>Interaction_and_Control</x:v>
      </x:c>
      <x:c r="D506" s="275" t="str">
        <x:v>Huebner2017 (visual matrix speller, LLP)</x:v>
      </x:c>
      <x:c r="E506" s="275"/>
      <x:c r="F506" s="275"/>
      <x:c r="G506" s="275" t="str">
        <x:v>DOWNLOAD_APPLICATION_REQUIRED</x:v>
      </x:c>
      <x:c r="H506" s="275" t="str">
        <x:v>https://moabb.neurotechx.com/docs/generated/moabb.datasets.Huebner2017.html</x:v>
      </x:c>
      <x:c r="I506" s="275" t="str">
        <x:v>ERP / Visual Matrix Speller</x:v>
      </x:c>
      <x:c r="J506" s="275" t="str">
        <x:v>13</x:v>
      </x:c>
      <x:c r="K506" s="275" t="str">
        <x:v>31</x:v>
      </x:c>
      <x:c r="L506" s="275" t="str">
        <x:v>1000 Hz</x:v>
      </x:c>
      <x:c r="M506" s="275"/>
      <x:c r="N506" s="275" t="str">
        <x:v>Raw</x:v>
      </x:c>
      <x:c r="O506" s="275" t="str">
        <x:v>Open, CC BY 4.0, no application</x:v>
      </x:c>
      <x:c r="P506" s="275" t="str">
        <x:v>Michael Tangermann, Univ. Freiburg</x:v>
      </x:c>
      <x:c r="Q506" s="275" t="str">
        <x:v>06_Motor_and_Interaction/Interaction_and_Control/Huebner2017_visual_matrix_speller_LLP</x:v>
      </x:c>
      <x:c r="R506" s="275" t="str">
        <x:v>官方数据存在，但需申请、签署协议或获得权限</x:v>
      </x:c>
      <x:c r="S506" s="275"/>
      <x:c r="T506" s="275"/>
      <x:c r="U506" s="276"/>
    </x:row>
    <x:row r="507" ht="60" customHeight="1">
      <x:c r="A507" s="264" t="str">
        <x:v>EEG-0484</x:v>
      </x:c>
      <x:c r="B507" s="257" t="str">
        <x:v>06_Motor_and_Interaction</x:v>
      </x:c>
      <x:c r="C507" s="257" t="str">
        <x:v>Interaction_and_Control</x:v>
      </x:c>
      <x:c r="D507" s="257" t="str">
        <x:v>Huebner2018 (LLP+EM speller)</x:v>
      </x:c>
      <x:c r="E507" s="257"/>
      <x:c r="F507" s="257"/>
      <x:c r="G507" s="257" t="str">
        <x:v>DOWNLOAD_APPLICATION_REQUIRED</x:v>
      </x:c>
      <x:c r="H507" s="257" t="str">
        <x:v>https://moabb.neurotechx.com/docs/generated/moabb.datasets.Huebner2018.html</x:v>
      </x:c>
      <x:c r="I507" s="257" t="str">
        <x:v>ERP / Visual Matrix Speller</x:v>
      </x:c>
      <x:c r="J507" s="257" t="str">
        <x:v>12</x:v>
      </x:c>
      <x:c r="K507" s="257" t="str">
        <x:v>31</x:v>
      </x:c>
      <x:c r="L507" s="257" t="str">
        <x:v>1000 Hz</x:v>
      </x:c>
      <x:c r="M507" s="257"/>
      <x:c r="N507" s="257" t="str">
        <x:v>Raw</x:v>
      </x:c>
      <x:c r="O507" s="257" t="str">
        <x:v>Open, CC BY 4.0, no application</x:v>
      </x:c>
      <x:c r="P507" s="257" t="str">
        <x:v>Univ. Freiburg</x:v>
      </x:c>
      <x:c r="Q507" s="257" t="str">
        <x:v>06_Motor_and_Interaction/Interaction_and_Control/Huebner2018_LLP_EM_speller</x:v>
      </x:c>
      <x:c r="R507" s="257" t="str">
        <x:v>官方数据存在，但需申请、签署协议或获得权限</x:v>
      </x:c>
      <x:c r="S507" s="257"/>
      <x:c r="T507" s="257"/>
      <x:c r="U507" s="213"/>
    </x:row>
    <x:row r="508" ht="60" customHeight="1">
      <x:c r="A508" s="274" t="str">
        <x:v>EEG-0497</x:v>
      </x:c>
      <x:c r="B508" s="275" t="str">
        <x:v>03_Consciousness_and_State</x:v>
      </x:c>
      <x:c r="C508" s="275" t="str">
        <x:v>Resting_State</x:v>
      </x:c>
      <x:c r="D508" s="275" t="str">
        <x:v>Cattan2019_PHMD (Phone Head-Mounted Display)</x:v>
      </x:c>
      <x:c r="E508" s="275"/>
      <x:c r="F508" s="275"/>
      <x:c r="G508" s="275" t="str">
        <x:v>DOWNLOAD_APPLICATION_REQUIRED</x:v>
      </x:c>
      <x:c r="H508" s="275" t="str">
        <x:v>https://moabb.neurotechx.com/docs/generated/moabb.datasets.Cattan2019_PHMD.html</x:v>
      </x:c>
      <x:c r="I508" s="275" t="str">
        <x:v>Resting State</x:v>
      </x:c>
      <x:c r="J508" s="275" t="str">
        <x:v>12</x:v>
      </x:c>
      <x:c r="K508" s="275" t="str">
        <x:v>16</x:v>
      </x:c>
      <x:c r="L508" s="275" t="str">
        <x:v>512 Hz</x:v>
      </x:c>
      <x:c r="M508" s="275"/>
      <x:c r="N508" s="275" t="str">
        <x:v>Raw</x:v>
      </x:c>
      <x:c r="O508" s="275" t="str">
        <x:v>Open, CC BY 4.0, no application</x:v>
      </x:c>
      <x:c r="P508" s="275" t="str">
        <x:v>Marco Congedo, GIPSA-lab</x:v>
      </x:c>
      <x:c r="Q508" s="275" t="str">
        <x:v>03_Consciousness_and_State/Resting_State/Cattan2019_PHMD_Phone_Head-Mounted_Display</x:v>
      </x:c>
      <x:c r="R508" s="275" t="str">
        <x:v>官方数据存在，但需申请、签署协议或获得权限</x:v>
      </x:c>
      <x:c r="S508" s="275"/>
      <x:c r="T508" s="275"/>
      <x:c r="U508" s="276"/>
    </x:row>
    <x:row r="509" ht="60" customHeight="1">
      <x:c r="A509" s="264" t="str">
        <x:v>EEG-0502</x:v>
      </x:c>
      <x:c r="B509" s="257" t="str">
        <x:v>03_Consciousness_and_State</x:v>
      </x:c>
      <x:c r="C509" s="257" t="str">
        <x:v>Resting_State</x:v>
      </x:c>
      <x:c r="D509" s="257" t="str">
        <x:v>India + Tanzania Large-scale EEG Subset</x:v>
      </x:c>
      <x:c r="E509" s="257"/>
      <x:c r="F509" s="257" t="str">
        <x:v>OpenNeuro:ds007358</x:v>
      </x:c>
      <x:c r="G509" s="257" t="str">
        <x:v>DOWNLOAD_PUBLIC</x:v>
      </x:c>
      <x:c r="H509" s="257" t="str">
        <x:v>[OpenNeuro ds007358](https://openneuro.org/datasets/ds007358/versions/1.0.0)</x:v>
      </x:c>
      <x:c r="I509" s="257" t="str">
        <x:v>eyes-open, eyes-closed, pictorial condition；large-scale cross-site EEG source</x:v>
      </x:c>
      <x:c r="J509" s="257" t="str">
        <x:v>2,000</x:v>
      </x:c>
      <x:c r="K509" s="257" t="str">
        <x:v>未给出</x:v>
      </x:c>
      <x:c r="L509" s="257" t="str">
        <x:v>未给出</x:v>
      </x:c>
      <x:c r="M509" s="257" t="str">
        <x:v>BIDS</x:v>
      </x:c>
      <x:c r="N509" s="257" t="str">
        <x:v>raw BIDS</x:v>
      </x:c>
      <x:c r="O509" s="257" t="str">
        <x:v>公开下载：OpenNeuro ds007358 v1.0.0；CC0，可网页、OpenNeuro CLI 或 DataLad 获取。</x:v>
      </x:c>
      <x:c r="P509" s="257" t="str">
        <x:v>John Mary Vianney; Shailender Swaminathan; Jennifer Jane Newson; Dhanya Parameshwaran; Narayan Puthanmadam Subramaniyam; Swaeta Singha Roy; Revocatus Machunda; Achiwa Sapuli</x:v>
      </x:c>
      <x:c r="Q509" s="257" t="str">
        <x:v>03_Consciousness_and_State/Resting_State/India_Tanzania_Large-scale_EEG_Subset</x:v>
      </x:c>
      <x:c r="R509" s="257" t="str">
        <x:v>存在公开仓库、官方入口或稳定数据访问号</x:v>
      </x:c>
      <x:c r="S509" s="257"/>
      <x:c r="T509" s="257"/>
      <x:c r="U509" s="213"/>
    </x:row>
    <x:row r="510" ht="60" customHeight="1">
      <x:c r="A510" s="274" t="str">
        <x:v>EEG-0503</x:v>
      </x:c>
      <x:c r="B510" s="275" t="str">
        <x:v>03_Consciousness_and_State</x:v>
      </x:c>
      <x:c r="C510" s="275" t="str">
        <x:v>Resting_State</x:v>
      </x:c>
      <x:c r="D510" s="275" t="str">
        <x:v>Juvenile Offenders Resting EEG</x:v>
      </x:c>
      <x:c r="E510" s="275"/>
      <x:c r="F510" s="275" t="str">
        <x:v>OpenNeuro:ds006923</x:v>
      </x:c>
      <x:c r="G510" s="275" t="str">
        <x:v>DOWNLOAD_PUBLIC</x:v>
      </x:c>
      <x:c r="H510" s="275" t="str">
        <x:v>[OpenNeuro ds006923](https://openneuro.org/datasets/ds006923/versions/1.0.0)</x:v>
      </x:c>
      <x:c r="I510" s="275" t="str">
        <x:v>resting-state EEG in juvenile offenders</x:v>
      </x:c>
      <x:c r="J510" s="275" t="str">
        <x:v>140</x:v>
      </x:c>
      <x:c r="K510" s="275" t="str">
        <x:v>未给出</x:v>
      </x:c>
      <x:c r="L510" s="275" t="str">
        <x:v>未给出</x:v>
      </x:c>
      <x:c r="M510" s="275" t="str">
        <x:v>BIDS</x:v>
      </x:c>
      <x:c r="N510" s="275" t="str">
        <x:v>raw BIDS</x:v>
      </x:c>
      <x:c r="O510" s="275" t="str">
        <x:v>公开下载：OpenNeuro ds006923 v1.0.0；CC0，可网页、OpenNeuro CLI 或 DataLad 获取。</x:v>
      </x:c>
      <x:c r="P510" s="275" t="str">
        <x:v>Aura Polo; Elmer León; Mariana Pino-Melgarejo; Julie Viloria-Porto</x:v>
      </x:c>
      <x:c r="Q510" s="275" t="str">
        <x:v>03_Consciousness_and_State/Resting_State/Juvenile_Offenders_Resting_EEG</x:v>
      </x:c>
      <x:c r="R510" s="275" t="str">
        <x:v>存在公开仓库、官方入口或稳定数据访问号</x:v>
      </x:c>
      <x:c r="S510" s="275"/>
      <x:c r="T510" s="275"/>
      <x:c r="U510" s="276"/>
    </x:row>
    <x:row r="511" ht="60" customHeight="1">
      <x:c r="A511" s="264" t="str">
        <x:v>EEG-0511</x:v>
      </x:c>
      <x:c r="B511" s="257" t="str">
        <x:v>03_Consciousness_and_State</x:v>
      </x:c>
      <x:c r="C511" s="257" t="str">
        <x:v>Resting_State</x:v>
      </x:c>
      <x:c r="D511" s="257" t="str">
        <x:v>PREDICT</x:v>
      </x:c>
      <x:c r="E511" s="257"/>
      <x:c r="F511" s="257" t="str">
        <x:v>OpenNeuro:ds005486</x:v>
      </x:c>
      <x:c r="G511" s="257" t="str">
        <x:v>DOWNLOAD_PUBLIC</x:v>
      </x:c>
      <x:c r="H511" s="257" t="str">
        <x:v>[OpenNeuro ds005486](https://openneuro.org/datasets/ds005486/versions/1.0.1)</x:v>
      </x:c>
      <x:c r="I511" s="257" t="str">
        <x:v>resting-state EEG；clinical prediction / cohort modeling</x:v>
      </x:c>
      <x:c r="J511" s="257" t="str">
        <x:v>159</x:v>
      </x:c>
      <x:c r="K511" s="257" t="str">
        <x:v>未给出</x:v>
      </x:c>
      <x:c r="L511" s="257" t="str">
        <x:v>未给出</x:v>
      </x:c>
      <x:c r="M511" s="257" t="str">
        <x:v>BIDS / OpenNeuro</x:v>
      </x:c>
      <x:c r="N511" s="257" t="str">
        <x:v>raw BIDS</x:v>
      </x:c>
      <x:c r="O511" s="257" t="str">
        <x:v>公开下载：OpenNeuro ds005486 v1.0.1；CC0，可网页、OpenNeuro CLI 或 DataLad 获取。</x:v>
      </x:c>
      <x:c r="P511" s="257" t="str">
        <x:v>Nahian S. Chowdhury; Chuan Bi; Andrew J. Furman; Alan KI Chiang; Patrick Skippen</x:v>
      </x:c>
      <x:c r="Q511" s="257" t="str">
        <x:v>03_Consciousness_and_State/Resting_State/PREDICT</x:v>
      </x:c>
      <x:c r="R511" s="257" t="str">
        <x:v>存在公开仓库、官方入口或稳定数据访问号</x:v>
      </x:c>
      <x:c r="S511" s="257"/>
      <x:c r="T511" s="257"/>
      <x:c r="U511" s="213"/>
    </x:row>
    <x:row r="512" ht="60" customHeight="1">
      <x:c r="A512" s="274" t="str">
        <x:v>EEG-0517</x:v>
      </x:c>
      <x:c r="B512" s="275" t="str">
        <x:v>03_Consciousness_and_State</x:v>
      </x:c>
      <x:c r="C512" s="275" t="str">
        <x:v>Resting_State</x:v>
      </x:c>
      <x:c r="D512" s="275" t="str">
        <x:v>UCI EEG Eye State</x:v>
      </x:c>
      <x:c r="E512" s="275" t="str">
        <x:v>EEG Eye State Dataset</x:v>
      </x:c>
      <x:c r="F512" s="275"/>
      <x:c r="G512" s="275" t="str">
        <x:v>DOWNLOAD_PUBLIC</x:v>
      </x:c>
      <x:c r="H512" s="275" t="str">
        <x:v>https://archive.ics.uci.edu/dataset/264/eeg+eye+state</x:v>
      </x:c>
      <x:c r="I512" s="275" t="str">
        <x:v>eyes open vs eyes closed classification</x:v>
      </x:c>
      <x:c r="J512" s="275" t="str">
        <x:v>1</x:v>
      </x:c>
      <x:c r="K512" s="275" t="str">
        <x:v>14 EEG values</x:v>
      </x:c>
      <x:c r="L512" s="275" t="str">
        <x:v>未给出</x:v>
      </x:c>
      <x:c r="M512" s="275" t="str">
        <x:v>ARFF / CSV</x:v>
      </x:c>
      <x:c r="N512" s="275" t="str">
        <x:v>Processed feature table</x:v>
      </x:c>
      <x:c r="O512" s="275" t="str">
        <x:v>Open; CC BY 4.0</x:v>
      </x:c>
      <x:c r="P512" s="275" t="str">
        <x:v>Oliver Roesler, 2013</x:v>
      </x:c>
      <x:c r="Q512" s="275" t="str">
        <x:v>03_Consciousness_and_State/Resting_State/UCI_EEG_Eye_State</x:v>
      </x:c>
      <x:c r="R512" s="275" t="str">
        <x:v>存在公开仓库、官方入口或稳定数据访问号</x:v>
      </x:c>
      <x:c r="S512" s="275"/>
      <x:c r="T512" s="275"/>
      <x:c r="U512" s="276"/>
    </x:row>
    <x:row r="513" ht="60" customHeight="1">
      <x:c r="A513" s="264" t="str">
        <x:v>EEG-0521</x:v>
      </x:c>
      <x:c r="B513" s="257" t="str">
        <x:v>08_Health_and_Population</x:v>
      </x:c>
      <x:c r="C513" s="257" t="str">
        <x:v>Lifespan_and_Normative</x:v>
      </x:c>
      <x:c r="D513" s="257" t="str">
        <x:v>Mind in Motion Older Adults Walking EEG</x:v>
      </x:c>
      <x:c r="E513" s="257"/>
      <x:c r="F513" s="257" t="str">
        <x:v>OpenNeuro:ds006095</x:v>
      </x:c>
      <x:c r="G513" s="257" t="str">
        <x:v>DOWNLOAD_PUBLIC</x:v>
      </x:c>
      <x:c r="H513" s="257" t="str">
        <x:v>[OpenNeuro ds006095](https://openneuro.org/datasets/ds006095/versions/1.0.0)</x:v>
      </x:c>
      <x:c r="I513" s="257" t="str">
        <x:v>older adults walking over uneven terrain；mixed mobile EEG task</x:v>
      </x:c>
      <x:c r="J513" s="257" t="str">
        <x:v>71</x:v>
      </x:c>
      <x:c r="K513" s="257" t="str">
        <x:v>未给出</x:v>
      </x:c>
      <x:c r="L513" s="257" t="str">
        <x:v>未给出</x:v>
      </x:c>
      <x:c r="M513" s="257" t="str">
        <x:v>BIDS</x:v>
      </x:c>
      <x:c r="N513" s="257" t="str">
        <x:v>raw BIDS</x:v>
      </x:c>
      <x:c r="O513" s="257" t="str">
        <x:v>公开下载：OpenNeuro ds006095 v1.0.0；CC0，可网页、OpenNeuro CLI 或 DataLad 获取。</x:v>
      </x:c>
      <x:c r="P513" s="257" t="str">
        <x:v>Chang Liu; Erika M. Pliner; Jacob S. Salminen; Ryan Downey; Jungyun Hwang</x:v>
      </x:c>
      <x:c r="Q513" s="257" t="str">
        <x:v>02_Biometrics_and_Disease/Development_and_Lifespan/Mind_in_Motion_Older_Adults_Walking_EEG</x:v>
      </x:c>
      <x:c r="R513" s="257" t="str">
        <x:v>存在公开仓库、官方入口或稳定数据访问号</x:v>
      </x:c>
      <x:c r="S513" s="257"/>
      <x:c r="T513" s="257"/>
      <x:c r="U513" s="213"/>
    </x:row>
    <x:row r="514" ht="60" customHeight="1">
      <x:c r="A514" s="274" t="str">
        <x:v>EEG-0534</x:v>
      </x:c>
      <x:c r="B514" s="275" t="str">
        <x:v>07_General-purpose_and_Multi-paradigm</x:v>
      </x:c>
      <x:c r="C514" s="275" t="str">
        <x:v>Multi-task_EEG</x:v>
      </x:c>
      <x:c r="D514" s="275" t="str">
        <x:v>CRYPTO and PROVIDE EEG Baseline Data</x:v>
      </x:c>
      <x:c r="E514" s="275"/>
      <x:c r="F514" s="275" t="str">
        <x:v>OpenNeuro:ds002181</x:v>
      </x:c>
      <x:c r="G514" s="275" t="str">
        <x:v>DOWNLOAD_PUBLIC</x:v>
      </x:c>
      <x:c r="H514" s="275" t="str">
        <x:v>[OpenNeuro ds002181](https://openneuro.org/datasets/ds002181/versions/1.0.0)</x:v>
      </x:c>
      <x:c r="I514" s="275" t="str">
        <x:v>baseline EEG from CRYPTO / PROVIDE cohorts</x:v>
      </x:c>
      <x:c r="J514" s="275" t="str">
        <x:v>226</x:v>
      </x:c>
      <x:c r="K514" s="275" t="str">
        <x:v>未给出</x:v>
      </x:c>
      <x:c r="L514" s="275" t="str">
        <x:v>未给出</x:v>
      </x:c>
      <x:c r="M514" s="275" t="str">
        <x:v>BIDS</x:v>
      </x:c>
      <x:c r="N514" s="275" t="str">
        <x:v>raw BIDS</x:v>
      </x:c>
      <x:c r="O514" s="275" t="str">
        <x:v>公开下载：OpenNeuro ds002181 v1.0.0；CC0，可网页、OpenNeuro CLI 或 DataLad 获取。</x:v>
      </x:c>
      <x:c r="P514" s="275" t="str">
        <x:v>Wanze Xie; Sarah Jensen; Mark Wade; Swapna Kumar; Alissa Westerlund</x:v>
      </x:c>
      <x:c r="Q514" s="275" t="str">
        <x:v>07_General-purpose_and_Multi-paradigm/Multi-task_EEG/CRYPTO_and_PROVIDE_EEG_Baseline_Data</x:v>
      </x:c>
      <x:c r="R514" s="275" t="str">
        <x:v>存在公开仓库、官方入口或稳定数据访问号</x:v>
      </x:c>
      <x:c r="S514" s="275"/>
      <x:c r="T514" s="275"/>
      <x:c r="U514" s="276"/>
    </x:row>
    <x:row r="515" ht="60" customHeight="1">
      <x:c r="A515" s="264" t="str">
        <x:v>EEG-0535</x:v>
      </x:c>
      <x:c r="B515" s="257" t="str">
        <x:v>07_General-purpose_and_Multi-paradigm</x:v>
      </x:c>
      <x:c r="C515" s="257" t="str">
        <x:v>Multi-task_EEG</x:v>
      </x:c>
      <x:c r="D515" s="257" t="str">
        <x:v>Edzna VR Visual</x:v>
      </x:c>
      <x:c r="E515" s="257"/>
      <x:c r="F515" s="257" t="str">
        <x:v>OpenNeuro:ds005628</x:v>
      </x:c>
      <x:c r="G515" s="257" t="str">
        <x:v>DOWNLOAD_PUBLIC</x:v>
      </x:c>
      <x:c r="H515" s="257" t="str">
        <x:v>[OpenNeuro ds005628](https://openneuro.org/datasets/ds005628/versions/1.0.0)</x:v>
      </x:c>
      <x:c r="I515" s="257" t="str">
        <x:v>visual and audiovisual stimuli in VR from Edzna archaeological site</x:v>
      </x:c>
      <x:c r="J515" s="257" t="str">
        <x:v>102</x:v>
      </x:c>
      <x:c r="K515" s="257" t="str">
        <x:v>未给出</x:v>
      </x:c>
      <x:c r="L515" s="257" t="str">
        <x:v>未给出</x:v>
      </x:c>
      <x:c r="M515" s="257" t="str">
        <x:v>BIDS</x:v>
      </x:c>
      <x:c r="N515" s="257" t="str">
        <x:v>raw BIDS</x:v>
      </x:c>
      <x:c r="O515" s="257" t="str">
        <x:v>公开下载：OpenNeuro ds005628 v1.0.0；CC0，可网页、OpenNeuro CLI 或 DataLad 获取。</x:v>
      </x:c>
      <x:c r="P515" s="257" t="str">
        <x:v>Juan Pablo Rosado-Aíza; Fernando José Domínguez-Morales; Tania Yareni Pech-Canul; Paola Guadalupe Vázquez-Rodríguez; Gustavo Navas-Reascos</x:v>
      </x:c>
      <x:c r="Q515" s="257" t="str">
        <x:v>07_General-purpose_and_Multi-paradigm/Multi-task_EEG/Edzna_VR_Visual</x:v>
      </x:c>
      <x:c r="R515" s="257" t="str">
        <x:v>存在公开仓库、官方入口或稳定数据访问号</x:v>
      </x:c>
      <x:c r="S515" s="257"/>
      <x:c r="T515" s="257"/>
      <x:c r="U515" s="213"/>
    </x:row>
    <x:row r="516" ht="60" customHeight="1">
      <x:c r="A516" s="274" t="str">
        <x:v>EEG-0548</x:v>
      </x:c>
      <x:c r="B516" s="275" t="str">
        <x:v>07_General-purpose_and_Multi-paradigm</x:v>
      </x:c>
      <x:c r="C516" s="275" t="str">
        <x:v>Multi-task_EEG</x:v>
      </x:c>
      <x:c r="D516" s="275" t="str">
        <x:v>IllusionGameEEG</x:v>
      </x:c>
      <x:c r="E516" s="275"/>
      <x:c r="F516" s="275" t="str">
        <x:v>OpenNeuro:ds004587</x:v>
      </x:c>
      <x:c r="G516" s="275" t="str">
        <x:v>DOWNLOAD_PUBLIC</x:v>
      </x:c>
      <x:c r="H516" s="275" t="str">
        <x:v>[OpenNeuro ds004587](https://openneuro.org/datasets/ds004587/versions/1.0.0)</x:v>
      </x:c>
      <x:c r="I516" s="275" t="str">
        <x:v>illusion game EEG；reality perception</x:v>
      </x:c>
      <x:c r="J516" s="275" t="str">
        <x:v>103</x:v>
      </x:c>
      <x:c r="K516" s="275" t="str">
        <x:v>未给出</x:v>
      </x:c>
      <x:c r="L516" s="275" t="str">
        <x:v>未给出</x:v>
      </x:c>
      <x:c r="M516" s="275" t="str">
        <x:v>BIDS</x:v>
      </x:c>
      <x:c r="N516" s="275" t="str">
        <x:v>raw BIDS</x:v>
      </x:c>
      <x:c r="O516" s="275" t="str">
        <x:v>公开下载：OpenNeuro ds004587 v1.0.0；CC0，可网页、OpenNeuro CLI 或 DataLad 获取。</x:v>
      </x:c>
      <x:c r="P516" s="275" t="str">
        <x:v>Dominique Makowski; An-Shu Te; Jiayi Zhang; Stephanie Kirk; Zi Liang Ngoi</x:v>
      </x:c>
      <x:c r="Q516" s="275" t="str">
        <x:v>07_General-purpose_and_Multi-paradigm/Multi-task_EEG/IllusionGameEEG</x:v>
      </x:c>
      <x:c r="R516" s="275" t="str">
        <x:v>存在公开仓库、官方入口或稳定数据访问号</x:v>
      </x:c>
      <x:c r="S516" s="275"/>
      <x:c r="T516" s="275"/>
      <x:c r="U516" s="276"/>
    </x:row>
    <x:row r="517" ht="60" customHeight="1">
      <x:c r="A517" s="264" t="str">
        <x:v>EEG-0551</x:v>
      </x:c>
      <x:c r="B517" s="257" t="str">
        <x:v>07_General-purpose_and_Multi-paradigm</x:v>
      </x:c>
      <x:c r="C517" s="257" t="str">
        <x:v>Multi-task_EEG</x:v>
      </x:c>
      <x:c r="D517" s="257" t="str">
        <x:v>NeuroTechs STEM Skills EEG</x:v>
      </x:c>
      <x:c r="E517" s="257"/>
      <x:c r="F517" s="257" t="str">
        <x:v>OpenNeuro:ds006803</x:v>
      </x:c>
      <x:c r="G517" s="257" t="str">
        <x:v>DOWNLOAD_PUBLIC</x:v>
      </x:c>
      <x:c r="H517" s="257" t="str">
        <x:v>[OpenNeuro ds006803](https://openneuro.org/datasets/ds006803/versions/1.1.1)</x:v>
      </x:c>
      <x:c r="I517" s="257" t="str">
        <x:v>STEM skills task EEG；neuroeducation / neuroengineering</x:v>
      </x:c>
      <x:c r="J517" s="257" t="str">
        <x:v>63</x:v>
      </x:c>
      <x:c r="K517" s="257" t="str">
        <x:v>未给出</x:v>
      </x:c>
      <x:c r="L517" s="257" t="str">
        <x:v>未给出</x:v>
      </x:c>
      <x:c r="M517" s="257" t="str">
        <x:v>BIDS</x:v>
      </x:c>
      <x:c r="N517" s="257" t="str">
        <x:v>raw BIDS</x:v>
      </x:c>
      <x:c r="O517" s="257" t="str">
        <x:v>公开下载：OpenNeuro ds006803 v1.1.1；CC0，可网页、OpenNeuro CLI 或 DataLad 获取。</x:v>
      </x:c>
      <x:c r="P517" s="257" t="str">
        <x:v>Tania Yareni Pech-Canul; Roberto Guajardo; Luis Fernando Acosta-Soto; Mónica Sofía Margoya-Constantino; Juan Pablo Rosado-Aíza</x:v>
      </x:c>
      <x:c r="Q517" s="257" t="str">
        <x:v>07_General-purpose_and_Multi-paradigm/Multi-task_EEG/NeuroTechs_STEM_Skills_EEG</x:v>
      </x:c>
      <x:c r="R517" s="257" t="str">
        <x:v>存在公开仓库、官方入口或稳定数据访问号</x:v>
      </x:c>
      <x:c r="S517" s="257"/>
      <x:c r="T517" s="257"/>
      <x:c r="U517" s="213"/>
    </x:row>
    <x:row r="518" ht="60" customHeight="1">
      <x:c r="A518" s="274" t="str">
        <x:v>EEG-0563</x:v>
      </x:c>
      <x:c r="B518" s="275" t="str">
        <x:v>07_General-purpose_and_Multi-paradigm</x:v>
      </x:c>
      <x:c r="C518" s="275" t="str">
        <x:v>Multi-task_EEG</x:v>
      </x:c>
      <x:c r="D518" s="275" t="str">
        <x:v>Simultaneous EEG-fMRI Speeded Discrimination Dataset</x:v>
      </x:c>
      <x:c r="E518" s="275"/>
      <x:c r="F518" s="275" t="str">
        <x:v>OpenNeuro:ds002158</x:v>
      </x:c>
      <x:c r="G518" s="275" t="str">
        <x:v>DOWNLOAD_PUBLIC</x:v>
      </x:c>
      <x:c r="H518" s="275" t="str">
        <x:v>[OpenNeuro ds002158](https://openneuro.org/datasets/ds002158/versions/1.0.2)</x:v>
      </x:c>
      <x:c r="I518" s="275" t="str">
        <x:v>speeded discrimination；confidence；simultaneous EEG-fMRI</x:v>
      </x:c>
      <x:c r="J518" s="275" t="str">
        <x:v>20</x:v>
      </x:c>
      <x:c r="K518" s="275" t="str">
        <x:v>未给出</x:v>
      </x:c>
      <x:c r="L518" s="275" t="str">
        <x:v>未给出</x:v>
      </x:c>
      <x:c r="M518" s="275" t="str">
        <x:v>BIDS</x:v>
      </x:c>
      <x:c r="N518" s="275" t="str">
        <x:v>raw BIDS</x:v>
      </x:c>
      <x:c r="O518" s="275" t="str">
        <x:v>公开下载：OpenNeuro ds002158 v1.0.2；CC0，可网页、OpenNeuro CLI 或 DataLad 获取。</x:v>
      </x:c>
      <x:c r="P518" s="275" t="str">
        <x:v>Michael Pereira; Nathan Faivre; Inaki Iturrate; Marco Wirthlin; Luana Serafini; Stephanie Martin; Arnaud Desvachez; Olaf Blanke</x:v>
      </x:c>
      <x:c r="Q518" s="275" t="str">
        <x:v>07_General-purpose_and_Multi-paradigm/Multi-task_EEG/Simultaneous_EEG-fMRI_Speeded_Discrimination_Dataset</x:v>
      </x:c>
      <x:c r="R518" s="275" t="str">
        <x:v>存在公开仓库、官方入口或稳定数据访问号</x:v>
      </x:c>
      <x:c r="S518" s="275" t="str">
        <x:v>1.28</x:v>
      </x:c>
      <x:c r="T518" s="275" t="str">
        <x:v>not reported</x:v>
      </x:c>
      <x:c r="U518" s="276" t="str">
        <x:v>6 experimental runs/subject</x:v>
      </x:c>
    </x:row>
    <x:row r="519" ht="60" customHeight="1">
      <x:c r="A519" s="264" t="str">
        <x:v>EEG-0030</x:v>
      </x:c>
      <x:c r="B519" s="257" t="str">
        <x:v>02_Healthcare_and_Disease</x:v>
      </x:c>
      <x:c r="C519" s="257" t="str">
        <x:v>Epilepsy_and_Abnormalities</x:v>
      </x:c>
      <x:c r="D519" s="257" t="str">
        <x:v>OpenNeuro ds003029 Epilepsy iEEG Multicenter</x:v>
      </x:c>
      <x:c r="E519" s="257"/>
      <x:c r="F519" s="257" t="str">
        <x:v>OpenNeuro:ds003029</x:v>
      </x:c>
      <x:c r="G519" s="257" t="str">
        <x:v>DOWNLOAD_PUBLIC</x:v>
      </x:c>
      <x:c r="H519" s="257" t="str">
        <x:v>[OpenNeuro ds003029](https://openneuro.org/datasets/ds003029)</x:v>
      </x:c>
      <x:c r="I519" s="257" t="str">
        <x:v>epileptiform activity / seizure-related iEEG analysis</x:v>
      </x:c>
      <x:c r="J519" s="257" t="str">
        <x:v>100</x:v>
      </x:c>
      <x:c r="K519" s="257" t="str">
        <x:v>未给出</x:v>
      </x:c>
      <x:c r="L519" s="257" t="str">
        <x:v>未给出</x:v>
      </x:c>
      <x:c r="M519" s="257" t="str">
        <x:v>BIDS</x:v>
      </x:c>
      <x:c r="N519" s="257" t="str">
        <x:v>raw BIDS</x:v>
      </x:c>
      <x:c r="O519" s="257" t="str">
        <x:v>public OpenNeuro; BIDS license terms</x:v>
      </x:c>
      <x:c r="P519" s="257" t="str">
        <x:v>未给出</x:v>
      </x:c>
      <x:c r="Q519" s="257" t="str">
        <x:v>02_Biometrics_and_Disease/Epilepsy_and_Abnormalities/OpenNeuro_ds003029_Epilepsy_iEEG_Multicenter</x:v>
      </x:c>
      <x:c r="R519" s="257" t="str">
        <x:v>存在公开仓库、官方入口或稳定数据访问号</x:v>
      </x:c>
      <x:c r="S519" s="257"/>
      <x:c r="T519" s="257"/>
      <x:c r="U519" s="213"/>
    </x:row>
    <x:row r="520" ht="60" customHeight="1">
      <x:c r="A520" s="274" t="str">
        <x:v>EEG-0100</x:v>
      </x:c>
      <x:c r="B520" s="275" t="str">
        <x:v>02_Healthcare_and_Disease</x:v>
      </x:c>
      <x:c r="C520" s="275" t="str">
        <x:v>Neurological_Disorders</x:v>
      </x:c>
      <x:c r="D520" s="275" t="str">
        <x:v>UNMDataset</x:v>
      </x:c>
      <x:c r="E520" s="275"/>
      <x:c r="F520" s="275"/>
      <x:c r="G520" s="275" t="str">
        <x:v>DOWNLOAD_PUBLIC</x:v>
      </x:c>
      <x:c r="H520" s="275" t="str">
        <x:v>[Narayanan Lab datasets](https://narayanan.lab.uiowa.edu/datasets)</x:v>
      </x:c>
      <x:c r="I520" s="275" t="str">
        <x:v>Parkinson's disease EEG; resting/cognitive task subset reported for BrainWave pretraining</x:v>
      </x:c>
      <x:c r="J520" s="275" t="str">
        <x:v>28</x:v>
      </x:c>
      <x:c r="K520" s="275" t="str">
        <x:v>10</x:v>
      </x:c>
      <x:c r="L520" s="275" t="str">
        <x:v>500Hz</x:v>
      </x:c>
      <x:c r="M520" s="275" t="str">
        <x:v>未给出</x:v>
      </x:c>
      <x:c r="N520" s="275" t="str">
        <x:v>未给出</x:v>
      </x:c>
      <x:c r="O520" s="275" t="str">
        <x:v>BrainWave reports this dataset; public download/version not clearly identified; contact original/BrainWave authors.</x:v>
      </x:c>
      <x:c r="P520" s="275" t="str">
        <x:v>BrainWave Table 2 (2024); IowaDataset</x:v>
      </x:c>
      <x:c r="Q520" s="275" t="str">
        <x:v>02_Biometrics_and_Disease/Neurological_Disorders/UNMDataset</x:v>
      </x:c>
      <x:c r="R520" s="275" t="str">
        <x:v>存在公开仓库、官方入口或稳定数据访问号</x:v>
      </x:c>
      <x:c r="S520" s="275"/>
      <x:c r="T520" s="275"/>
      <x:c r="U520" s="276"/>
    </x:row>
    <x:row r="521" ht="60" customHeight="1">
      <x:c r="A521" s="264" t="str">
        <x:v>EEG-0167</x:v>
      </x:c>
      <x:c r="B521" s="257" t="str">
        <x:v>04_Cognition_and_Emotion</x:v>
      </x:c>
      <x:c r="C521" s="257" t="str">
        <x:v>Vigilance_Detection</x:v>
      </x:c>
      <x:c r="D521" s="257" t="str">
        <x:v>SPIS</x:v>
      </x:c>
      <x:c r="E521" s="257" t="str">
        <x:v>SPIS Resting State Dataset [EEG-0250]</x:v>
      </x:c>
      <x:c r="F521" s="257"/>
      <x:c r="G521" s="257" t="str">
        <x:v>DOWNLOAD_PUBLIC</x:v>
      </x:c>
      <x:c r="H521" s="257" t="str">
        <x:v>[SPIS Resting-State Dataset GitHub](https://github.com/mastaneht/SPIS-Resting-State-Dataset) | https://github.com/mastaneht/SPIS-Resting-State-Dataset</x:v>
      </x:c>
      <x:c r="I521" s="257" t="str">
        <x:v>resting-state EO / EC；attention / vigilance variability related to later SART performance；Resting state (eyes-closed / eyes-open) prior to Sustained Attention to Response Task</x:v>
      </x:c>
      <x:c r="J521" s="257" t="str">
        <x:v>10</x:v>
      </x:c>
      <x:c r="K521" s="257" t="str">
        <x:v>10-10</x:v>
      </x:c>
      <x:c r="L521" s="257" t="str">
        <x:v>2048Hz</x:v>
      </x:c>
      <x:c r="M521" s="257" t="str">
        <x:v>未给出</x:v>
      </x:c>
      <x:c r="N521" s="257" t="str">
        <x:v>未给出</x:v>
      </x:c>
      <x:c r="O521" s="257" t="str">
        <x:v>公开下载：SPIS Resting-State Dataset GitHub (https://github.com/mastaneht/SPIS-Resting-State-Dataset)；仓库提供 EO/EC resting EEG 数据和说明。</x:v>
      </x:c>
      <x:c r="P521" s="257" t="str">
        <x:v>未给出；Torkamani-Azar et al. (2020). Prediction of Reaction Time and Vigilance Variability From Spatio-Spectral Features of Resting-State EEG in a Long Sustained Attention Task. IEEE Journal of Biomedical and Health Informatics, 24(9):2550-2558.</x:v>
      </x:c>
      <x:c r="Q521" s="257" t="str">
        <x:v>04_Cognition_and_Emotion/Vigilance_Detection/SPIS</x:v>
      </x:c>
      <x:c r="R521" s="257" t="str">
        <x:v>存在公开仓库、官方入口或稳定数据访问号；2026-08-04去重：EEG-0250并入EEG-0167（GitHub repository mastaneht/SPIS-Resting-State-Dataset）</x:v>
      </x:c>
      <x:c r="S521" s="257"/>
      <x:c r="T521" s="257"/>
      <x:c r="U521" s="213"/>
    </x:row>
    <x:row r="522" ht="60" customHeight="1">
      <x:c r="A522" s="274" t="str">
        <x:v>EEG-0174</x:v>
      </x:c>
      <x:c r="B522" s="275" t="str">
        <x:v>04_Cognition_and_Emotion</x:v>
      </x:c>
      <x:c r="C522" s="275" t="str">
        <x:v>Emotion_Recognition</x:v>
      </x:c>
      <x:c r="D522" s="275" t="str">
        <x:v>DENS</x:v>
      </x:c>
      <x:c r="E522" s="275"/>
      <x:c r="F522" s="275" t="str">
        <x:v>OpenNeuro:ds003751</x:v>
      </x:c>
      <x:c r="G522" s="275" t="str">
        <x:v>DOWNLOAD_PUBLIC</x:v>
      </x:c>
      <x:c r="H522" s="275" t="str">
        <x:v>[OpenNeuro ds003751](https://openneuro.org/datasets/ds003751)</x:v>
      </x:c>
      <x:c r="I522" s="275" t="str">
        <x:v>emotion recognition from naturalistic emotional stimuli</x:v>
      </x:c>
      <x:c r="J522" s="275" t="str">
        <x:v>40</x:v>
      </x:c>
      <x:c r="K522" s="275" t="str">
        <x:v>未给出</x:v>
      </x:c>
      <x:c r="L522" s="275" t="str">
        <x:v>未给出</x:v>
      </x:c>
      <x:c r="M522" s="275" t="str">
        <x:v>BIDS</x:v>
      </x:c>
      <x:c r="N522" s="275" t="str">
        <x:v>raw</x:v>
      </x:c>
      <x:c r="O522" s="275" t="str">
        <x:v>public OpenNeuro</x:v>
      </x:c>
      <x:c r="P522" s="275" t="str">
        <x:v>未给出</x:v>
      </x:c>
      <x:c r="Q522" s="275" t="str">
        <x:v>04_Cognition_and_Emotion/Emotion_Recognition/DENS</x:v>
      </x:c>
      <x:c r="R522" s="275" t="str">
        <x:v>存在公开仓库、官方入口或稳定数据访问号</x:v>
      </x:c>
      <x:c r="S522" s="275"/>
      <x:c r="T522" s="275"/>
      <x:c r="U522" s="276"/>
    </x:row>
    <x:row r="523" ht="60" customHeight="1">
      <x:c r="A523" s="264" t="str">
        <x:v>EEG-0223</x:v>
      </x:c>
      <x:c r="B523" s="257" t="str">
        <x:v>04_Cognition_and_Emotion</x:v>
      </x:c>
      <x:c r="C523" s="257" t="str">
        <x:v>Cognitive_Task_Recognition</x:v>
      </x:c>
      <x:c r="D523" s="257" t="str">
        <x:v>EEG from participants playing an 8-bit style video game (DS003517)</x:v>
      </x:c>
      <x:c r="E523" s="257"/>
      <x:c r="F523" s="257" t="str">
        <x:v>OpenNeuro:DS003517,ds003517</x:v>
      </x:c>
      <x:c r="G523" s="257" t="str">
        <x:v>DOWNLOAD_PUBLIC</x:v>
      </x:c>
      <x:c r="H523" s="257" t="str">
        <x:v>https://openneuro.org/datasets/ds003517</x:v>
      </x:c>
      <x:c r="I523" s="257" t="str">
        <x:v>Cognitive / Gaming</x:v>
      </x:c>
      <x:c r="J523" s="257" t="str">
        <x:v>17</x:v>
      </x:c>
      <x:c r="K523" s="257"/>
      <x:c r="L523" s="257"/>
      <x:c r="M523" s="257" t="str">
        <x:v>BIDS</x:v>
      </x:c>
      <x:c r="N523" s="257" t="str">
        <x:v>Raw</x:v>
      </x:c>
      <x:c r="O523" s="257" t="str">
        <x:v>OpenNeuro page; dynamic site; license not individually verified</x:v>
      </x:c>
      <x:c r="P523" s="257"/>
      <x:c r="Q523" s="257" t="str">
        <x:v>04_Cognition_and_Emotion/Cognitive_Task_Recognition/EEG_from_participants_playing_an_8-bit_style_video_game_DS003517</x:v>
      </x:c>
      <x:c r="R523" s="257" t="str">
        <x:v>存在公开仓库、官方入口或稳定数据访问号</x:v>
      </x:c>
      <x:c r="S523" s="257"/>
      <x:c r="T523" s="257"/>
      <x:c r="U523" s="213"/>
    </x:row>
    <x:row r="524" ht="60" customHeight="1">
      <x:c r="A524" s="274" t="str">
        <x:v>EEG-0300</x:v>
      </x:c>
      <x:c r="B524" s="275" t="str">
        <x:v>05_Naturalistic_Stimulus_Decoding</x:v>
      </x:c>
      <x:c r="C524" s="275" t="str">
        <x:v>Language_and_Reading</x:v>
      </x:c>
      <x:c r="D524" s="275" t="str">
        <x:v>EEG Semantic Imagination and Perception Dataset</x:v>
      </x:c>
      <x:c r="E524" s="275"/>
      <x:c r="F524" s="275" t="str">
        <x:v>OpenNeuro:ds004306</x:v>
      </x:c>
      <x:c r="G524" s="275" t="str">
        <x:v>DOWNLOAD_PUBLIC</x:v>
      </x:c>
      <x:c r="H524" s="275" t="str">
        <x:v>[OpenNeuro ds004306](https://openneuro.org/datasets/ds004306)</x:v>
      </x:c>
      <x:c r="I524" s="275" t="str">
        <x:v>semantic perception and imagination decoding</x:v>
      </x:c>
      <x:c r="J524" s="275" t="str">
        <x:v>未给出</x:v>
      </x:c>
      <x:c r="K524" s="275" t="str">
        <x:v>124</x:v>
      </x:c>
      <x:c r="L524" s="275" t="str">
        <x:v>未给出</x:v>
      </x:c>
      <x:c r="M524" s="275" t="str">
        <x:v>BIDS</x:v>
      </x:c>
      <x:c r="N524" s="275" t="str">
        <x:v>raw</x:v>
      </x:c>
      <x:c r="O524" s="275" t="str">
        <x:v>public OpenNeuro</x:v>
      </x:c>
      <x:c r="P524" s="275" t="str">
        <x:v>未给出</x:v>
      </x:c>
      <x:c r="Q524" s="275" t="str">
        <x:v>05_Naturalistic_Stimulus_Decoding/Language_and_Reading/EEG_Semantic_Imagination_and_Perception_Dataset</x:v>
      </x:c>
      <x:c r="R524" s="275" t="str">
        <x:v>存在公开仓库、官方入口或稳定数据访问号</x:v>
      </x:c>
      <x:c r="S524" s="275"/>
      <x:c r="T524" s="275"/>
      <x:c r="U524" s="276"/>
    </x:row>
    <x:row r="525" ht="60" customHeight="1">
      <x:c r="A525" s="264" t="str">
        <x:v>EEG-0321</x:v>
      </x:c>
      <x:c r="B525" s="257" t="str">
        <x:v>05_Naturalistic_Stimulus_Decoding</x:v>
      </x:c>
      <x:c r="C525" s="257" t="str">
        <x:v>Listening_and_Auditory_Attention</x:v>
      </x:c>
      <x:c r="D525" s="257" t="str">
        <x:v>OpenMIIR</x:v>
      </x:c>
      <x:c r="E525" s="257"/>
      <x:c r="F525" s="257"/>
      <x:c r="G525" s="257" t="str">
        <x:v>DOWNLOAD_PUBLIC</x:v>
      </x:c>
      <x:c r="H525" s="257" t="str">
        <x:v>[OpenMIIR GitHub](https://github.com/sstober/openmiir)</x:v>
      </x:c>
      <x:c r="I525" s="257" t="str">
        <x:v>music perception, music imagery, beat / cue decoding</x:v>
      </x:c>
      <x:c r="J525" s="257" t="str">
        <x:v>10</x:v>
      </x:c>
      <x:c r="K525" s="257" t="str">
        <x:v>64</x:v>
      </x:c>
      <x:c r="L525" s="257" t="str">
        <x:v>未给出</x:v>
      </x:c>
      <x:c r="M525" s="257" t="str">
        <x:v>未给出</x:v>
      </x:c>
      <x:c r="N525" s="257" t="str">
        <x:v>raw</x:v>
      </x:c>
      <x:c r="O525" s="257" t="str">
        <x:v>public；按仓库和论文说明下载</x:v>
      </x:c>
      <x:c r="P525" s="257" t="str">
        <x:v>Stober et al., 2015</x:v>
      </x:c>
      <x:c r="Q525" s="257" t="str">
        <x:v>05_Naturalistic_Stimulus_Decoding/Listening_and_Auditory_Attention/OpenMIIR</x:v>
      </x:c>
      <x:c r="R525" s="257" t="str">
        <x:v>存在公开仓库、官方入口或稳定数据访问号</x:v>
      </x:c>
      <x:c r="S525" s="257"/>
      <x:c r="T525" s="257"/>
      <x:c r="U525" s="213"/>
    </x:row>
    <x:row r="526" ht="60" customHeight="1">
      <x:c r="A526" s="274" t="str">
        <x:v>EEG-0336</x:v>
      </x:c>
      <x:c r="B526" s="275" t="str">
        <x:v>05_Naturalistic_Stimulus_Decoding</x:v>
      </x:c>
      <x:c r="C526" s="275" t="str">
        <x:v>Visual_Perception</x:v>
      </x:c>
      <x:c r="D526" s="275" t="str">
        <x:v>PhysioNet LTRSVP</x:v>
      </x:c>
      <x:c r="E526" s="275"/>
      <x:c r="F526" s="275" t="str">
        <x:v>PhysioNet:ltrsvp</x:v>
      </x:c>
      <x:c r="G526" s="275" t="str">
        <x:v>DOWNLOAD_PUBLIC</x:v>
      </x:c>
      <x:c r="H526" s="275" t="str">
        <x:v>[PhysioNet LTRSVP](https://physionet.org/content/ltrsvp/)</x:v>
      </x:c>
      <x:c r="I526" s="275" t="str">
        <x:v>rapid serial visual presentation target detection</x:v>
      </x:c>
      <x:c r="J526" s="275" t="str">
        <x:v>11</x:v>
      </x:c>
      <x:c r="K526" s="275" t="str">
        <x:v>未给出</x:v>
      </x:c>
      <x:c r="L526" s="275" t="str">
        <x:v>未给出</x:v>
      </x:c>
      <x:c r="M526" s="275" t="str">
        <x:v>PhysioNet files</x:v>
      </x:c>
      <x:c r="N526" s="275" t="str">
        <x:v>raw</x:v>
      </x:c>
      <x:c r="O526" s="275" t="str">
        <x:v>public PhysioNet</x:v>
      </x:c>
      <x:c r="P526" s="275" t="str">
        <x:v>未给出</x:v>
      </x:c>
      <x:c r="Q526" s="275" t="str">
        <x:v>05_Naturalistic_Stimulus_Decoding/Visual_Perception/PhysioNet_LTRSVP</x:v>
      </x:c>
      <x:c r="R526" s="275" t="str">
        <x:v>存在公开仓库、官方入口或稳定数据访问号</x:v>
      </x:c>
      <x:c r="S526" s="275"/>
      <x:c r="T526" s="275"/>
      <x:c r="U526" s="276"/>
    </x:row>
    <x:row r="527" ht="60" customHeight="1">
      <x:c r="A527" s="264" t="str">
        <x:v>EEG-0395</x:v>
      </x:c>
      <x:c r="B527" s="257" t="str">
        <x:v>06_Motor_and_Interaction</x:v>
      </x:c>
      <x:c r="C527" s="257" t="str">
        <x:v>Motor_Imagery_and_Execution</x:v>
      </x:c>
      <x:c r="D527" s="257" t="str">
        <x:v>LargeMI</x:v>
      </x:c>
      <x:c r="E527" s="257"/>
      <x:c r="F527" s="257"/>
      <x:c r="G527" s="257" t="str">
        <x:v>DOWNLOAD_PUBLIC</x:v>
      </x:c>
      <x:c r="H527" s="257" t="str">
        <x:v>[Nature Scientific Data Large MI](https://www.nature.com/articles/s41597-023-02787-8)</x:v>
      </x:c>
      <x:c r="I527" s="257" t="str">
        <x:v>large-scale motor imagery / motor execution benchmark; HEAR downstream source</x:v>
      </x:c>
      <x:c r="J527" s="257" t="str">
        <x:v>50</x:v>
      </x:c>
      <x:c r="K527" s="257" t="str">
        <x:v>23</x:v>
      </x:c>
      <x:c r="L527" s="257" t="str">
        <x:v>未给出</x:v>
      </x:c>
      <x:c r="M527" s="257" t="str">
        <x:v>未给出</x:v>
      </x:c>
      <x:c r="N527" s="257" t="str">
        <x:v>raw / release-dependent</x:v>
      </x:c>
      <x:c r="O527" s="257" t="str">
        <x:v>Reported by HEAR; exact identity/access route needs confirmation.</x:v>
      </x:c>
      <x:c r="P527" s="257" t="str">
        <x:v>HEAR; Liu et al. (2026), EEG Foundation Models Tables VIII-XIV</x:v>
      </x:c>
      <x:c r="Q527" s="257" t="str">
        <x:v>06_Motor_and_Interaction/Motor_Imagery_and_Execution/LargeMI</x:v>
      </x:c>
      <x:c r="R527" s="257" t="str">
        <x:v>存在公开仓库、官方入口或稳定数据访问号</x:v>
      </x:c>
      <x:c r="S527" s="257"/>
      <x:c r="T527" s="257"/>
      <x:c r="U527" s="213"/>
    </x:row>
    <x:row r="528" ht="60" customHeight="1">
      <x:c r="A528" s="274" t="str">
        <x:v>EEG-0402</x:v>
      </x:c>
      <x:c r="B528" s="275" t="str">
        <x:v>06_Motor_and_Interaction</x:v>
      </x:c>
      <x:c r="C528" s="275" t="str">
        <x:v>Motor_Imagery_and_Execution</x:v>
      </x:c>
      <x:c r="D528" s="275" t="str">
        <x:v>MILimbEEG</x:v>
      </x:c>
      <x:c r="E528" s="275"/>
      <x:c r="F528" s="275"/>
      <x:c r="G528" s="275" t="str">
        <x:v>DOWNLOAD_PUBLIC</x:v>
      </x:c>
      <x:c r="H528" s="275" t="str">
        <x:v>[Mendeley MILimbEEG](https://data.mendeley.com/datasets/x8psbz3f6x)</x:v>
      </x:c>
      <x:c r="I528" s="275" t="str">
        <x:v>upper-limb and lower-limb motor execution / motor imagery classification</x:v>
      </x:c>
      <x:c r="J528" s="275" t="str">
        <x:v>60</x:v>
      </x:c>
      <x:c r="K528" s="275" t="str">
        <x:v>16</x:v>
      </x:c>
      <x:c r="L528" s="275" t="str">
        <x:v>未给出</x:v>
      </x:c>
      <x:c r="M528" s="275" t="str">
        <x:v>CSV</x:v>
      </x:c>
      <x:c r="N528" s="275" t="str">
        <x:v>raw</x:v>
      </x:c>
      <x:c r="O528" s="275" t="str">
        <x:v>未给出</x:v>
      </x:c>
      <x:c r="P528" s="275" t="str">
        <x:v>未给出</x:v>
      </x:c>
      <x:c r="Q528" s="275" t="str">
        <x:v>06_Motor_and_Interaction/Motor_Imagery_and_Execution/MILimbEEG</x:v>
      </x:c>
      <x:c r="R528" s="275" t="str">
        <x:v>存在公开仓库、官方入口或稳定数据访问号</x:v>
      </x:c>
      <x:c r="S528" s="275"/>
      <x:c r="T528" s="275"/>
      <x:c r="U528" s="276"/>
    </x:row>
    <x:row r="529" ht="60" customHeight="1">
      <x:c r="A529" s="264" t="str">
        <x:v>EEG-0419</x:v>
      </x:c>
      <x:c r="B529" s="257" t="str">
        <x:v>06_Motor_and_Interaction</x:v>
      </x:c>
      <x:c r="C529" s="257" t="str">
        <x:v>SSVEP_and_Evoked_BCI</x:v>
      </x:c>
      <x:c r="D529" s="257" t="str">
        <x:v>160 Targets SSVEP BCI Dataset</x:v>
      </x:c>
      <x:c r="E529" s="257"/>
      <x:c r="F529" s="257"/>
      <x:c r="G529" s="257" t="str">
        <x:v>DOWNLOAD_PUBLIC</x:v>
      </x:c>
      <x:c r="H529" s="257" t="str">
        <x:v>https://bci.med.tsinghua.edu.cn/download.html</x:v>
      </x:c>
      <x:c r="I529" s="257" t="str">
        <x:v>High-target-count SSVEP BCI</x:v>
      </x:c>
      <x:c r="J529" s="257" t="str">
        <x:v>Offline S1-S8; online SS1-SS12 in file list</x:v>
      </x:c>
      <x:c r="K529" s="257"/>
      <x:c r="L529" s="257"/>
      <x:c r="M529" s="257" t="str">
        <x:v>RAR/MAT</x:v>
      </x:c>
      <x:c r="N529" s="257" t="str">
        <x:v>Raw EEG</x:v>
      </x:c>
      <x:c r="O529" s="257" t="str">
        <x:v>Public download page</x:v>
      </x:c>
      <x:c r="P529" s="257" t="str">
        <x:v>Chen et al. 2021</x:v>
      </x:c>
      <x:c r="Q529" s="257" t="str">
        <x:v>06_Motor_and_Interaction/SSVEP_and_Evoked_BCI/160_Targets_SSVEP_BCI_Dataset</x:v>
      </x:c>
      <x:c r="R529" s="257" t="str">
        <x:v>存在公开仓库、官方入口或稳定数据访问号</x:v>
      </x:c>
      <x:c r="S529" s="257"/>
      <x:c r="T529" s="257"/>
      <x:c r="U529" s="213"/>
    </x:row>
    <x:row r="530" ht="60" customHeight="1">
      <x:c r="A530" s="274" t="str">
        <x:v>EEG-0452</x:v>
      </x:c>
      <x:c r="B530" s="275" t="str">
        <x:v>06_Motor_and_Interaction</x:v>
      </x:c>
      <x:c r="C530" s="275" t="str">
        <x:v>SSVEP_and_Evoked_BCI</x:v>
      </x:c>
      <x:c r="D530" s="275" t="str">
        <x:v>Wearable SSVEP BCI Dataset</x:v>
      </x:c>
      <x:c r="E530" s="275"/>
      <x:c r="F530" s="275"/>
      <x:c r="G530" s="275" t="str">
        <x:v>DOWNLOAD_PUBLIC</x:v>
      </x:c>
      <x:c r="H530" s="275" t="str">
        <x:v>https://bci.med.tsinghua.edu.cn/download.html</x:v>
      </x:c>
      <x:c r="I530" s="275" t="str">
        <x:v>Wearable SSVEP BCI</x:v>
      </x:c>
      <x:c r="J530" s="275" t="str">
        <x:v>102</x:v>
      </x:c>
      <x:c r="K530" s="275"/>
      <x:c r="L530" s="275"/>
      <x:c r="M530" s="275" t="str">
        <x:v>ZIP/MAT</x:v>
      </x:c>
      <x:c r="N530" s="275" t="str">
        <x:v>Raw EEG</x:v>
      </x:c>
      <x:c r="O530" s="275" t="str">
        <x:v>Public download page</x:v>
      </x:c>
      <x:c r="P530" s="275" t="str">
        <x:v>Zhu et al. 2021</x:v>
      </x:c>
      <x:c r="Q530" s="275" t="str">
        <x:v>06_Motor_and_Interaction/SSVEP_and_Evoked_BCI/Wearable_SSVEP_BCI_Dataset</x:v>
      </x:c>
      <x:c r="R530" s="275" t="str">
        <x:v>存在公开仓库、官方入口或稳定数据访问号</x:v>
      </x:c>
      <x:c r="S530" s="275"/>
      <x:c r="T530" s="275"/>
      <x:c r="U530" s="276"/>
    </x:row>
    <x:row r="531" ht="60" customHeight="1">
      <x:c r="A531" s="264" t="str">
        <x:v>EEG-0479</x:v>
      </x:c>
      <x:c r="B531" s="257" t="str">
        <x:v>06_Motor_and_Interaction</x:v>
      </x:c>
      <x:c r="C531" s="257" t="str">
        <x:v>Interaction_and_Control</x:v>
      </x:c>
      <x:c r="D531" s="257" t="str">
        <x:v>Cross-Session Dataset for Collaborative BCIs</x:v>
      </x:c>
      <x:c r="E531" s="257"/>
      <x:c r="F531" s="257"/>
      <x:c r="G531" s="257" t="str">
        <x:v>DOWNLOAD_PUBLIC</x:v>
      </x:c>
      <x:c r="H531" s="257" t="str">
        <x:v>https://bci.med.tsinghua.edu.cn/download.html</x:v>
      </x:c>
      <x:c r="I531" s="257" t="str">
        <x:v>Collaborative BCI / cross-session EEG</x:v>
      </x:c>
      <x:c r="J531" s="257"/>
      <x:c r="K531" s="257" t="str">
        <x:v>62 EEG</x:v>
      </x:c>
      <x:c r="L531" s="257"/>
      <x:c r="M531" s="257" t="str">
        <x:v>ZIP/MAT</x:v>
      </x:c>
      <x:c r="N531" s="257" t="str">
        <x:v>Raw EEG</x:v>
      </x:c>
      <x:c r="O531" s="257" t="str">
        <x:v>Public download page</x:v>
      </x:c>
      <x:c r="P531" s="257" t="str">
        <x:v>Zheng et al. 2020</x:v>
      </x:c>
      <x:c r="Q531" s="257" t="str">
        <x:v>06_Motor_and_Interaction/Interaction_and_Control/Cross-Session_Dataset_for_Collaborative_BCIs</x:v>
      </x:c>
      <x:c r="R531" s="257" t="str">
        <x:v>存在公开仓库、官方入口或稳定数据访问号</x:v>
      </x:c>
      <x:c r="S531" s="257"/>
      <x:c r="T531" s="257"/>
      <x:c r="U531" s="213"/>
    </x:row>
    <x:row r="532" ht="60" customHeight="1">
      <x:c r="A532" s="274" t="str">
        <x:v>EEG-0015</x:v>
      </x:c>
      <x:c r="B532" s="275" t="str">
        <x:v>02_Healthcare_and_Disease</x:v>
      </x:c>
      <x:c r="C532" s="275" t="str">
        <x:v>Epilepsy_and_Abnormalities</x:v>
      </x:c>
      <x:c r="D532" s="275" t="str">
        <x:v>HUP iEEG Epilepsy Dataset</x:v>
      </x:c>
      <x:c r="E532" s="275"/>
      <x:c r="F532" s="275" t="str">
        <x:v>OpenNeuro:ds004100</x:v>
      </x:c>
      <x:c r="G532" s="275" t="str">
        <x:v>DOWNLOAD_PUBLIC</x:v>
      </x:c>
      <x:c r="H532" s="275" t="str">
        <x:v>[OpenNeuro ds004100](https://openneuro.org/datasets/ds004100)</x:v>
      </x:c>
      <x:c r="I532" s="275" t="str">
        <x:v>drug-resistant epilepsy iEEG / seizure localization research</x:v>
      </x:c>
      <x:c r="J532" s="275" t="str">
        <x:v>未给出</x:v>
      </x:c>
      <x:c r="K532" s="275" t="str">
        <x:v>未给出</x:v>
      </x:c>
      <x:c r="L532" s="275" t="str">
        <x:v>未给出</x:v>
      </x:c>
      <x:c r="M532" s="275" t="str">
        <x:v>iEEG-BIDS</x:v>
      </x:c>
      <x:c r="N532" s="275" t="str">
        <x:v>raw</x:v>
      </x:c>
      <x:c r="O532" s="275" t="str">
        <x:v>public OpenNeuro; clinical de-identified data</x:v>
      </x:c>
      <x:c r="P532" s="275" t="str">
        <x:v>未给出</x:v>
      </x:c>
      <x:c r="Q532" s="275" t="str">
        <x:v>02_Biometrics_and_Disease/Epilepsy_and_Abnormalities/HUP_iEEG_Epilepsy_Dataset</x:v>
      </x:c>
      <x:c r="R532" s="275" t="str">
        <x:v>存在公开仓库、官方入口或稳定数据访问号</x:v>
      </x:c>
      <x:c r="S532" s="275"/>
      <x:c r="T532" s="275"/>
      <x:c r="U532" s="276"/>
    </x:row>
    <x:row r="533" ht="60" customHeight="1">
      <x:c r="A533" s="264" t="str">
        <x:v>EEG-0018</x:v>
      </x:c>
      <x:c r="B533" s="257" t="str">
        <x:v>02_Healthcare_and_Disease</x:v>
      </x:c>
      <x:c r="C533" s="257" t="str">
        <x:v>Epilepsy_and_Abnormalities</x:v>
      </x:c>
      <x:c r="D533" s="257" t="str">
        <x:v>Kaggle UPenn and Mayo Clinic Seizure Detection</x:v>
      </x:c>
      <x:c r="E533" s="257"/>
      <x:c r="F533" s="257"/>
      <x:c r="G533" s="257" t="str">
        <x:v>DOWNLOAD_PUBLIC</x:v>
      </x:c>
      <x:c r="H533" s="257" t="str">
        <x:v>[Kaggle seizure detection](https://www.kaggle.com/c/seizure-detection/data)</x:v>
      </x:c>
      <x:c r="I533" s="257" t="str">
        <x:v>seizure vs non-seizure detection from intracranial EEG clips</x:v>
      </x:c>
      <x:c r="J533" s="257" t="str">
        <x:v>4</x:v>
      </x:c>
      <x:c r="K533" s="257" t="str">
        <x:v>未给出</x:v>
      </x:c>
      <x:c r="L533" s="257" t="str">
        <x:v>未给出</x:v>
      </x:c>
      <x:c r="M533" s="257" t="str">
        <x:v>MAT</x:v>
      </x:c>
      <x:c r="N533" s="257" t="str">
        <x:v>raw</x:v>
      </x:c>
      <x:c r="O533" s="257" t="str">
        <x:v>Kaggle rules; account needed</x:v>
      </x:c>
      <x:c r="P533" s="257" t="str">
        <x:v>未给出</x:v>
      </x:c>
      <x:c r="Q533" s="257" t="str">
        <x:v>02_Biometrics_and_Disease/Epilepsy_and_Abnormalities/Kaggle_UPenn_and_Mayo_Clinic_Seizure_Detection</x:v>
      </x:c>
      <x:c r="R533" s="257" t="str">
        <x:v>存在公开仓库、官方入口或稳定数据访问号</x:v>
      </x:c>
      <x:c r="S533" s="257"/>
      <x:c r="T533" s="257"/>
      <x:c r="U533" s="213"/>
    </x:row>
    <x:row r="534" ht="60" customHeight="1">
      <x:c r="A534" s="274" t="str">
        <x:v>EEG-0108</x:v>
      </x:c>
      <x:c r="B534" s="275" t="str">
        <x:v>03_Consciousness_and_State</x:v>
      </x:c>
      <x:c r="C534" s="275" t="str">
        <x:v>Sleep_Staging</x:v>
      </x:c>
      <x:c r="D534" s="275" t="str">
        <x:v>ABC</x:v>
      </x:c>
      <x:c r="E534" s="275"/>
      <x:c r="F534" s="275"/>
      <x:c r="G534" s="275" t="str">
        <x:v>DOWNLOAD_PUBLIC</x:v>
      </x:c>
      <x:c r="H534" s="275" t="str">
        <x:v>[NSRR ABC](https://sleepdata.org/datasets/abc)</x:v>
      </x:c>
      <x:c r="I534" s="275" t="str">
        <x:v>COPD burden；sleep measures；sleep staging / respiratory events</x:v>
      </x:c>
      <x:c r="J534" s="275" t="str">
        <x:v>332</x:v>
      </x:c>
      <x:c r="K534" s="275" t="str">
        <x:v>未给出</x:v>
      </x:c>
      <x:c r="L534" s="275" t="str">
        <x:v>未给出</x:v>
      </x:c>
      <x:c r="M534" s="275" t="str">
        <x:v>EDF / XML</x:v>
      </x:c>
      <x:c r="N534" s="275" t="str">
        <x:v>raw</x:v>
      </x:c>
      <x:c r="O534" s="275" t="str">
        <x:v>申请：NSRR ABC；通过 sleepdata.org 账号申请权限，批准后网页或 `nsrr download abc` 下载。</x:v>
      </x:c>
      <x:c r="P534" s="275" t="str">
        <x:v>未给出</x:v>
      </x:c>
      <x:c r="Q534" s="275" t="str">
        <x:v>03_Consciousness_and_State/Sleep_Staging/ABC</x:v>
      </x:c>
      <x:c r="R534" s="275" t="str">
        <x:v>存在公开仓库、官方入口或稳定数据访问号</x:v>
      </x:c>
      <x:c r="S534" s="275"/>
      <x:c r="T534" s="275"/>
      <x:c r="U534" s="276"/>
    </x:row>
    <x:row r="535" ht="60" customHeight="1">
      <x:c r="A535" s="264" t="str">
        <x:v>EEG-0126</x:v>
      </x:c>
      <x:c r="B535" s="257" t="str">
        <x:v>03_Consciousness_and_State</x:v>
      </x:c>
      <x:c r="C535" s="257" t="str">
        <x:v>Sleep_Staging</x:v>
      </x:c>
      <x:c r="D535" s="257" t="str">
        <x:v>HomePAP</x:v>
      </x:c>
      <x:c r="E535" s="257"/>
      <x:c r="F535" s="257"/>
      <x:c r="G535" s="257" t="str">
        <x:v>DOWNLOAD_APPLICATION_REQUIRED</x:v>
      </x:c>
      <x:c r="H535" s="257" t="str">
        <x:v>[NSRR HomePAP](https://sleepdata.org/datasets/homepap)</x:v>
      </x:c>
      <x:c r="I535" s="257" t="str">
        <x:v>OSA diagnosis; home vs laboratory pathway; sleep staging</x:v>
      </x:c>
      <x:c r="J535" s="257" t="str">
        <x:v>343 个含原始 PSG/EEG 的参与者</x:v>
      </x:c>
      <x:c r="K535" s="257" t="str">
        <x:v>未给出</x:v>
      </x:c>
      <x:c r="L535" s="257" t="str">
        <x:v>未给出</x:v>
      </x:c>
      <x:c r="M535" s="257" t="str">
        <x:v>EDF / NSRR files</x:v>
      </x:c>
      <x:c r="N535" s="257" t="str">
        <x:v>raw</x:v>
      </x:c>
      <x:c r="O535" s="257" t="str">
        <x:v>NSRR account + data request/DUA</x:v>
      </x:c>
      <x:c r="P535" s="257" t="str">
        <x:v>未给出</x:v>
      </x:c>
      <x:c r="Q535" s="257" t="str">
        <x:v>03_Consciousness_and_State/Sleep_Staging/HomePAP</x:v>
      </x:c>
      <x:c r="R535" s="257" t="str">
        <x:v>官方数据存在，但需申请、签署协议或获得权限</x:v>
      </x:c>
      <x:c r="S535" s="257"/>
      <x:c r="T535" s="257"/>
      <x:c r="U535" s="213"/>
    </x:row>
    <x:row r="536" ht="60" customHeight="1">
      <x:c r="A536" s="274" t="str">
        <x:v>EEG-0258</x:v>
      </x:c>
      <x:c r="B536" s="275" t="str">
        <x:v>04_Cognition_and_Emotion</x:v>
      </x:c>
      <x:c r="C536" s="275" t="str">
        <x:v>ERP_and_Event_Detection</x:v>
      </x:c>
      <x:c r="D536" s="275" t="str">
        <x:v>Bern-Barcelona EEG Database</x:v>
      </x:c>
      <x:c r="E536" s="275"/>
      <x:c r="F536" s="275"/>
      <x:c r="G536" s="275" t="str">
        <x:v>DOWNLOAD_PUBLIC</x:v>
      </x:c>
      <x:c r="H536" s="275" t="str">
        <x:v>[Bern-Barcelona EEG database](https://www.upf.edu/web/ntsa/downloads)</x:v>
      </x:c>
      <x:c r="I536" s="275" t="str">
        <x:v>focal vs non-focal intracranial EEG classification</x:v>
      </x:c>
      <x:c r="J536" s="275" t="str">
        <x:v>5</x:v>
      </x:c>
      <x:c r="K536" s="275" t="str">
        <x:v>2</x:v>
      </x:c>
      <x:c r="L536" s="275" t="str">
        <x:v>未给出</x:v>
      </x:c>
      <x:c r="M536" s="275" t="str">
        <x:v>未给出</x:v>
      </x:c>
      <x:c r="N536" s="275" t="str">
        <x:v>processed</x:v>
      </x:c>
      <x:c r="O536" s="275" t="str">
        <x:v>public academic download; citation required</x:v>
      </x:c>
      <x:c r="P536" s="275" t="str">
        <x:v>未给出</x:v>
      </x:c>
      <x:c r="Q536" s="275" t="str">
        <x:v>04_Cognition_and_Emotion/ERP_and_Event_Detection/Bern-Barcelona_EEG_Database</x:v>
      </x:c>
      <x:c r="R536" s="275" t="str">
        <x:v>存在公开仓库、官方入口或稳定数据访问号</x:v>
      </x:c>
      <x:c r="S536" s="275"/>
      <x:c r="T536" s="275"/>
      <x:c r="U536" s="276"/>
    </x:row>
    <x:row r="537" ht="60" customHeight="1">
      <x:c r="A537" s="264" t="str">
        <x:v>EEG-0280</x:v>
      </x:c>
      <x:c r="B537" s="257" t="str">
        <x:v>04_Cognition_and_Emotion</x:v>
      </x:c>
      <x:c r="C537" s="257" t="str">
        <x:v>ERP_and_Event_Detection</x:v>
      </x:c>
      <x:c r="D537" s="257" t="str">
        <x:v>Margaux2012</x:v>
      </x:c>
      <x:c r="E537" s="257"/>
      <x:c r="F537" s="257" t="str">
        <x:v>DOI:10.1155/2012/578295</x:v>
      </x:c>
      <x:c r="G537" s="257" t="str">
        <x:v>DOWNLOAD_PUBLIC</x:v>
      </x:c>
      <x:c r="H537" s="257" t="str">
        <x:v>[paper DOI](https://doi.org/10.1155/2012/578295)</x:v>
      </x:c>
      <x:c r="I537" s="257" t="str">
        <x:v>P300 spelling; online error correction; ERN / ERP</x:v>
      </x:c>
      <x:c r="J537" s="257" t="str">
        <x:v>未给出</x:v>
      </x:c>
      <x:c r="K537" s="257" t="str">
        <x:v>未给出</x:v>
      </x:c>
      <x:c r="L537" s="257" t="str">
        <x:v>未给出</x:v>
      </x:c>
      <x:c r="M537" s="257" t="str">
        <x:v>未给出</x:v>
      </x:c>
      <x:c r="N537" s="257" t="str">
        <x:v>raw / release-dependent</x:v>
      </x:c>
      <x:c r="O537" s="257" t="str">
        <x:v>Dataset used in BENDR downstream; stable public raw-data link not confirmed; cite paper and verify acquisition route.</x:v>
      </x:c>
      <x:c r="P537" s="257" t="str">
        <x:v>Margaux et al. (2012); BENDR; Liu et al. (2026), EEG Foundation Models Tables VIII-XIV</x:v>
      </x:c>
      <x:c r="Q537" s="257" t="str">
        <x:v>04_Cognition_and_Emotion/ERP_and_Event_Detection/Margaux2012</x:v>
      </x:c>
      <x:c r="R537" s="257" t="str">
        <x:v>存在公开仓库、官方入口或稳定数据访问号</x:v>
      </x:c>
      <x:c r="S537" s="257"/>
      <x:c r="T537" s="257"/>
      <x:c r="U537" s="213"/>
    </x:row>
    <x:row r="538" ht="60" customHeight="1">
      <x:c r="A538" s="274" t="str">
        <x:v>EEG-0301</x:v>
      </x:c>
      <x:c r="B538" s="275" t="str">
        <x:v>05_Naturalistic_Stimulus_Decoding</x:v>
      </x:c>
      <x:c r="C538" s="275" t="str">
        <x:v>Language_and_Reading</x:v>
      </x:c>
      <x:c r="D538" s="275" t="str">
        <x:v>EEG-Speech Brain Decoding Dataset</x:v>
      </x:c>
      <x:c r="E538" s="275"/>
      <x:c r="F538" s="275" t="str">
        <x:v>OpenNeuro:ds007808</x:v>
      </x:c>
      <x:c r="G538" s="275" t="str">
        <x:v>DOWNLOAD_PUBLIC</x:v>
      </x:c>
      <x:c r="H538" s="275" t="str">
        <x:v>[OpenNeuro ds007808](https://openneuro.org/datasets/ds007808)</x:v>
      </x:c>
      <x:c r="I538" s="275" t="str">
        <x:v>speech decoding from EEG and audio</x:v>
      </x:c>
      <x:c r="J538" s="275" t="str">
        <x:v>未给出</x:v>
      </x:c>
      <x:c r="K538" s="275" t="str">
        <x:v>未给出</x:v>
      </x:c>
      <x:c r="L538" s="275" t="str">
        <x:v>未给出</x:v>
      </x:c>
      <x:c r="M538" s="275" t="str">
        <x:v>BIDS</x:v>
      </x:c>
      <x:c r="N538" s="275" t="str">
        <x:v>raw</x:v>
      </x:c>
      <x:c r="O538" s="275" t="str">
        <x:v>public OpenNeuro</x:v>
      </x:c>
      <x:c r="P538" s="275" t="str">
        <x:v>未给出</x:v>
      </x:c>
      <x:c r="Q538" s="275" t="str">
        <x:v>05_Naturalistic_Stimulus_Decoding/Language_and_Reading/EEG-Speech_Brain_Decoding_Dataset</x:v>
      </x:c>
      <x:c r="R538" s="275" t="str">
        <x:v>存在公开仓库、官方入口或稳定数据访问号</x:v>
      </x:c>
      <x:c r="S538" s="275"/>
      <x:c r="T538" s="275"/>
      <x:c r="U538" s="276"/>
    </x:row>
    <x:row r="539">
      <x:c r="A539" s="226" t="str">
        <x:v>EEG-0306</x:v>
      </x:c>
      <x:c r="B539" s="259" t="str">
        <x:v>05_Naturalistic_Stimulus_Decoding</x:v>
      </x:c>
      <x:c r="C539" s="259" t="str">
        <x:v>Language_and_Reading</x:v>
      </x:c>
      <x:c r="D539" s="259" t="str">
        <x:v>OpenNeuro ds004408 Continuous Naturalistic Speech EEG</x:v>
      </x:c>
      <x:c r="E539" s="259"/>
      <x:c r="F539" s="259" t="str">
        <x:v>OpenNeuro:ds004408</x:v>
      </x:c>
      <x:c r="G539" s="259" t="str">
        <x:v>DOWNLOAD_PUBLIC</x:v>
      </x:c>
      <x:c r="H539" s="259" t="str">
        <x:v>[OpenNeuro ds004408](https://openneuro.org/datasets/ds004408)</x:v>
      </x:c>
      <x:c r="I539" s="259" t="str">
        <x:v>EEG responses to continuous naturalistic speech</x:v>
      </x:c>
      <x:c r="J539" s="259" t="str">
        <x:v>未给出</x:v>
      </x:c>
      <x:c r="K539" s="259" t="str">
        <x:v>未给出</x:v>
      </x:c>
      <x:c r="L539" s="259" t="str">
        <x:v>未给出</x:v>
      </x:c>
      <x:c r="M539" s="259" t="str">
        <x:v>BIDS</x:v>
      </x:c>
      <x:c r="N539" s="259" t="str">
        <x:v>raw</x:v>
      </x:c>
      <x:c r="O539" s="259" t="str">
        <x:v>public OpenNeuro</x:v>
      </x:c>
      <x:c r="P539" s="259" t="str">
        <x:v>未给出</x:v>
      </x:c>
      <x:c r="Q539" s="259" t="str">
        <x:v>05_Naturalistic_Stimulus_Decoding/Language_and_Reading/OpenNeuro_ds004408_Continuous_Naturalistic_Speech_EEG</x:v>
      </x:c>
      <x:c r="R539" s="259" t="str">
        <x:v>存在公开仓库、官方入口或稳定数据访问号</x:v>
      </x:c>
      <x:c r="S539" s="259"/>
      <x:c r="T539" s="259"/>
      <x:c r="U539" s="215"/>
    </x:row>
    <x:row r="540">
      <x:c r="A540" s="279" t="str">
        <x:v>EEG-0320</x:v>
      </x:c>
      <x:c r="B540" s="280" t="str">
        <x:v>05_Naturalistic_Stimulus_Decoding</x:v>
      </x:c>
      <x:c r="C540" s="280" t="str">
        <x:v>Listening_and_Auditory_Attention</x:v>
      </x:c>
      <x:c r="D540" s="280" t="str">
        <x:v>NMED-T</x:v>
      </x:c>
      <x:c r="E540" s="280"/>
      <x:c r="F540" s="280"/>
      <x:c r="G540" s="280" t="str">
        <x:v>DOWNLOAD_PUBLIC</x:v>
      </x:c>
      <x:c r="H540" s="280" t="str">
        <x:v>[NMED-T OSF](https://osf.io/p6vkg/)</x:v>
      </x:c>
      <x:c r="I540" s="280" t="str">
        <x:v>naturalistic music listening；tempo / beat tracking</x:v>
      </x:c>
      <x:c r="J540" s="280" t="str">
        <x:v>20</x:v>
      </x:c>
      <x:c r="K540" s="280" t="str">
        <x:v>64</x:v>
      </x:c>
      <x:c r="L540" s="280" t="str">
        <x:v>未给出</x:v>
      </x:c>
      <x:c r="M540" s="280" t="str">
        <x:v>未给出</x:v>
      </x:c>
      <x:c r="N540" s="280" t="str">
        <x:v>processed</x:v>
      </x:c>
      <x:c r="O540" s="280" t="str">
        <x:v>public OSF</x:v>
      </x:c>
      <x:c r="P540" s="280" t="str">
        <x:v>未给出</x:v>
      </x:c>
      <x:c r="Q540" s="280" t="str">
        <x:v>05_Naturalistic_Stimulus_Decoding/Listening_and_Auditory_Attention/NMED-T</x:v>
      </x:c>
      <x:c r="R540" s="280" t="str">
        <x:v>存在公开仓库、官方入口或稳定数据访问号</x:v>
      </x:c>
      <x:c r="S540" s="280"/>
      <x:c r="T540" s="280"/>
      <x:c r="U540" s="281"/>
    </x:row>
    <x:row r="541">
      <x:c r="A541" s="226" t="str">
        <x:v>EEG-0324</x:v>
      </x:c>
      <x:c r="B541" s="259" t="str">
        <x:v>05_Naturalistic_Stimulus_Decoding</x:v>
      </x:c>
      <x:c r="C541" s="259" t="str">
        <x:v>Visual_Perception</x:v>
      </x:c>
      <x:c r="D541" s="259" t="str">
        <x:v>Alljoined1</x:v>
      </x:c>
      <x:c r="E541" s="259"/>
      <x:c r="F541" s="259"/>
      <x:c r="G541" s="259" t="str">
        <x:v>DOWNLOAD_PUBLIC</x:v>
      </x:c>
      <x:c r="H541" s="259" t="str">
        <x:v>[Alljoined1 link hub](https://linktr.ee/alljoined1)</x:v>
      </x:c>
      <x:c r="I541" s="259" t="str">
        <x:v>EEG-to-image decoding；natural image response decoding</x:v>
      </x:c>
      <x:c r="J541" s="259" t="str">
        <x:v>8</x:v>
      </x:c>
      <x:c r="K541" s="259" t="str">
        <x:v>64</x:v>
      </x:c>
      <x:c r="L541" s="259" t="str">
        <x:v>512Hz</x:v>
      </x:c>
      <x:c r="M541" s="259" t="str">
        <x:v>未给出</x:v>
      </x:c>
      <x:c r="N541" s="259" t="str">
        <x:v>未给出</x:v>
      </x:c>
      <x:c r="O541" s="259" t="str">
        <x:v>公开下载：Alljoined1 link hub (https://linktr.ee/alljoined1)；大版本 Alljoined-1.6M 可从 Hugging Face (https://huggingface.co/datasets/Alljoined/Alljoined-1.6M) 用 `snapshot_download` 获取。</x:v>
      </x:c>
      <x:c r="P541" s="259" t="str">
        <x:v>未给出</x:v>
      </x:c>
      <x:c r="Q541" s="259" t="str">
        <x:v>05_Naturalistic_Stimulus_Decoding/Visual_Perception/Alljoined1</x:v>
      </x:c>
      <x:c r="R541" s="259" t="str">
        <x:v>存在公开仓库、官方入口或稳定数据访问号</x:v>
      </x:c>
      <x:c r="S541" s="259"/>
      <x:c r="T541" s="259"/>
      <x:c r="U541" s="215"/>
    </x:row>
    <x:row r="542">
      <x:c r="A542" s="279" t="str">
        <x:v>EEG-0326</x:v>
      </x:c>
      <x:c r="B542" s="280" t="str">
        <x:v>05_Naturalistic_Stimulus_Decoding</x:v>
      </x:c>
      <x:c r="C542" s="280" t="str">
        <x:v>Visual_Perception</x:v>
      </x:c>
      <x:c r="D542" s="280" t="str">
        <x:v>COGITATE iEEG Dataset</x:v>
      </x:c>
      <x:c r="E542" s="280"/>
      <x:c r="F542" s="280"/>
      <x:c r="G542" s="280" t="str">
        <x:v>DOWNLOAD_PUBLIC</x:v>
      </x:c>
      <x:c r="H542" s="280" t="str">
        <x:v>[Cogitate iEEG GitHub](https://github.com/Cogitate-consortium/iEEG-data-release)</x:v>
      </x:c>
      <x:c r="I542" s="280" t="str">
        <x:v>conscious visual perception with iEEG, eye tracking, behavior</x:v>
      </x:c>
      <x:c r="J542" s="280" t="str">
        <x:v>38</x:v>
      </x:c>
      <x:c r="K542" s="280" t="str">
        <x:v>未给出</x:v>
      </x:c>
      <x:c r="L542" s="280" t="str">
        <x:v>未给出</x:v>
      </x:c>
      <x:c r="M542" s="280" t="str">
        <x:v>未给出</x:v>
      </x:c>
      <x:c r="N542" s="280" t="str">
        <x:v>raw</x:v>
      </x:c>
      <x:c r="O542" s="280" t="str">
        <x:v>open release; GitHub tools; terms of use</x:v>
      </x:c>
      <x:c r="P542" s="280" t="str">
        <x:v>Cogitate Consortium, Scientific Data 2025</x:v>
      </x:c>
      <x:c r="Q542" s="280" t="str">
        <x:v>05_Naturalistic_Stimulus_Decoding/Visual_Perception/COGITATE_iEEG_Dataset</x:v>
      </x:c>
      <x:c r="R542" s="280" t="str">
        <x:v>存在公开仓库、官方入口或稳定数据访问号</x:v>
      </x:c>
      <x:c r="S542" s="280"/>
      <x:c r="T542" s="280"/>
      <x:c r="U542" s="281"/>
    </x:row>
    <x:row r="543">
      <x:c r="A543" s="226" t="str">
        <x:v>EEG-0413</x:v>
      </x:c>
      <x:c r="B543" s="259" t="str">
        <x:v>06_Motor_and_Interaction</x:v>
      </x:c>
      <x:c r="C543" s="259" t="str">
        <x:v>Motor_Imagery_and_Execution</x:v>
      </x:c>
      <x:c r="D543" s="259" t="str">
        <x:v>Stieger2021</x:v>
      </x:c>
      <x:c r="E543" s="259"/>
      <x:c r="F543" s="259"/>
      <x:c r="G543" s="259" t="str">
        <x:v>DOWNLOAD_PUBLIC</x:v>
      </x:c>
      <x:c r="H543" s="259" t="str">
        <x:v>https://moabb.neurotechx.com/docs/generated/moabb.datasets.Stieger2021.html</x:v>
      </x:c>
      <x:c r="I543" s="259" t="str">
        <x:v>Motor Imagery / SMR-BCI (longitudinal)</x:v>
      </x:c>
      <x:c r="J543" s="259" t="str">
        <x:v>62</x:v>
      </x:c>
      <x:c r="K543" s="259"/>
      <x:c r="L543" s="259"/>
      <x:c r="M543" s="259"/>
      <x:c r="N543" s="259" t="str">
        <x:v>Raw</x:v>
      </x:c>
      <x:c r="O543" s="259"/>
      <x:c r="P543" s="259" t="str">
        <x:v>Stieger et al.</x:v>
      </x:c>
      <x:c r="Q543" s="259" t="str">
        <x:v>06_Motor_and_Interaction/Motor_Imagery_and_Execution/Stieger2021</x:v>
      </x:c>
      <x:c r="R543" s="259" t="str">
        <x:v>存在公开仓库、官方入口或稳定数据访问号</x:v>
      </x:c>
      <x:c r="S543" s="259"/>
      <x:c r="T543" s="259"/>
      <x:c r="U543" s="215"/>
    </x:row>
    <x:row r="544">
      <x:c r="A544" s="279" t="str">
        <x:v>EEG-0509</x:v>
      </x:c>
      <x:c r="B544" s="280" t="str">
        <x:v>03_Consciousness_and_State</x:v>
      </x:c>
      <x:c r="C544" s="280" t="str">
        <x:v>Resting_State</x:v>
      </x:c>
      <x:c r="D544" s="280" t="str">
        <x:v>OpenNeuro ds006801 Resting-state EEG before</x:v>
      </x:c>
      <x:c r="E544" s="280"/>
      <x:c r="F544" s="280" t="str">
        <x:v>OpenNeuro:ds006801</x:v>
      </x:c>
      <x:c r="G544" s="280" t="str">
        <x:v>DOWNLOAD_PUBLIC</x:v>
      </x:c>
      <x:c r="H544" s="280" t="str">
        <x:v>[OpenNeuro ds006801](https://openneuro.org/datasets/ds006801/versions/1.0.0)</x:v>
      </x:c>
      <x:c r="I544" s="280" t="str">
        <x:v>resting-state EEG before and after different study methods</x:v>
      </x:c>
      <x:c r="J544" s="280" t="str">
        <x:v>未给出</x:v>
      </x:c>
      <x:c r="K544" s="280" t="str">
        <x:v>未给出</x:v>
      </x:c>
      <x:c r="L544" s="280" t="str">
        <x:v>未给出</x:v>
      </x:c>
      <x:c r="M544" s="280" t="str">
        <x:v>BIDS</x:v>
      </x:c>
      <x:c r="N544" s="280" t="str">
        <x:v>raw</x:v>
      </x:c>
      <x:c r="O544" s="280" t="str">
        <x:v>public OpenNeuro</x:v>
      </x:c>
      <x:c r="P544" s="280" t="str">
        <x:v>未给出</x:v>
      </x:c>
      <x:c r="Q544" s="280" t="str">
        <x:v>03_Consciousness_and_State/Resting_State/OpenNeuro_ds006801_Resting-state_EEG_before</x:v>
      </x:c>
      <x:c r="R544" s="280" t="str">
        <x:v>存在公开仓库、官方入口或稳定数据访问号</x:v>
      </x:c>
      <x:c r="S544" s="280"/>
      <x:c r="T544" s="280"/>
      <x:c r="U544" s="281"/>
    </x:row>
    <x:row r="545">
      <x:c r="A545" s="226" t="str">
        <x:v>EEG-0510</x:v>
      </x:c>
      <x:c r="B545" s="259" t="str">
        <x:v>03_Consciousness_and_State</x:v>
      </x:c>
      <x:c r="C545" s="259" t="str">
        <x:v>Resting_State</x:v>
      </x:c>
      <x:c r="D545" s="259" t="str">
        <x:v>PRED+CT</x:v>
      </x:c>
      <x:c r="E545" s="259"/>
      <x:c r="F545" s="259"/>
      <x:c r="G545" s="259" t="str">
        <x:v>DOWNLOAD_PUBLIC</x:v>
      </x:c>
      <x:c r="H545" s="259" t="str">
        <x:v>[PRED+CT paper / portal](https://pmc.ncbi.nlm.nih.gov/articles/PMC5702317/)</x:v>
      </x:c>
      <x:c r="I545" s="259" t="str">
        <x:v>patient EEG repository; diagnosis / resting-state computational tools</x:v>
      </x:c>
      <x:c r="J545" s="259" t="str">
        <x:v>未给出</x:v>
      </x:c>
      <x:c r="K545" s="259" t="str">
        <x:v>未给出</x:v>
      </x:c>
      <x:c r="L545" s="259" t="str">
        <x:v>未给出</x:v>
      </x:c>
      <x:c r="M545" s="259" t="str">
        <x:v>repository-specific</x:v>
      </x:c>
      <x:c r="N545" s="259" t="str">
        <x:v>raw</x:v>
      </x:c>
      <x:c r="O545" s="259" t="str">
        <x:v>未给出</x:v>
      </x:c>
      <x:c r="P545" s="259" t="str">
        <x:v>Obeid et al., Frontiers Neuroinformatics 2017</x:v>
      </x:c>
      <x:c r="Q545" s="259" t="str">
        <x:v>03_Consciousness_and_State/Resting_State/PRED_CT</x:v>
      </x:c>
      <x:c r="R545" s="259" t="str">
        <x:v>存在公开仓库、官方入口或稳定数据访问号</x:v>
      </x:c>
      <x:c r="S545" s="259"/>
      <x:c r="T545" s="259"/>
      <x:c r="U545" s="215"/>
    </x:row>
    <x:row r="546">
      <x:c r="A546" s="279" t="str">
        <x:v>EEG-0006</x:v>
      </x:c>
      <x:c r="B546" s="280" t="str">
        <x:v>02_Healthcare_and_Disease</x:v>
      </x:c>
      <x:c r="C546" s="280" t="str">
        <x:v>Epilepsy_and_Abnormalities</x:v>
      </x:c>
      <x:c r="D546" s="280" t="str">
        <x:v>American Epilepsy Society Seizure Prediction Challenge</x:v>
      </x:c>
      <x:c r="E546" s="280"/>
      <x:c r="F546" s="280"/>
      <x:c r="G546" s="280" t="str">
        <x:v>DOWNLOAD_PUBLIC</x:v>
      </x:c>
      <x:c r="H546" s="280" t="str">
        <x:v>[Kaggle AES seizure prediction](https://www.kaggle.com/c/seizure-prediction)</x:v>
      </x:c>
      <x:c r="I546" s="280" t="str">
        <x:v>preictal vs interictal seizure prediction</x:v>
      </x:c>
      <x:c r="J546" s="280" t="str">
        <x:v>未给出</x:v>
      </x:c>
      <x:c r="K546" s="280" t="str">
        <x:v>未给出</x:v>
      </x:c>
      <x:c r="L546" s="280" t="str">
        <x:v>未给出</x:v>
      </x:c>
      <x:c r="M546" s="280" t="str">
        <x:v>MAT</x:v>
      </x:c>
      <x:c r="N546" s="280" t="str">
        <x:v>raw</x:v>
      </x:c>
      <x:c r="O546" s="280" t="str">
        <x:v>Kaggle rules; account needed</x:v>
      </x:c>
      <x:c r="P546" s="280" t="str">
        <x:v>未给出</x:v>
      </x:c>
      <x:c r="Q546" s="280" t="str">
        <x:v>02_Biometrics_and_Disease/Epilepsy_and_Abnormalities/American_Epilepsy_Society_Seizure_Prediction_Challenge</x:v>
      </x:c>
      <x:c r="R546" s="280" t="str">
        <x:v>存在公开仓库、官方入口或稳定数据访问号</x:v>
      </x:c>
      <x:c r="S546" s="280"/>
      <x:c r="T546" s="280"/>
      <x:c r="U546" s="281"/>
    </x:row>
    <x:row r="547">
      <x:c r="A547" s="226" t="str">
        <x:v>EEG-0012</x:v>
      </x:c>
      <x:c r="B547" s="259" t="str">
        <x:v>02_Healthcare_and_Disease</x:v>
      </x:c>
      <x:c r="C547" s="259" t="str">
        <x:v>Epilepsy_and_Abnormalities</x:v>
      </x:c>
      <x:c r="D547" s="259" t="str">
        <x:v>Harvard EEG Database</x:v>
      </x:c>
      <x:c r="E547" s="259"/>
      <x:c r="F547" s="259"/>
      <x:c r="G547" s="259" t="str">
        <x:v>DOWNLOAD_APPLICATION_REQUIRED</x:v>
      </x:c>
      <x:c r="H547" s="259" t="str">
        <x:v>[Harvard EEG Database](https://bdsp.io/content/harvard-eeg-db/)</x:v>
      </x:c>
      <x:c r="I547" s="259" t="str">
        <x:v>large-scale clinical EEG for abnormality, epilepsy, encephalopathy, prognosis</x:v>
      </x:c>
      <x:c r="J547" s="259" t="str">
        <x:v>100,000+</x:v>
      </x:c>
      <x:c r="K547" s="259" t="str">
        <x:v>未给出</x:v>
      </x:c>
      <x:c r="L547" s="259" t="str">
        <x:v>未给出</x:v>
      </x:c>
      <x:c r="M547" s="259" t="str">
        <x:v>未给出</x:v>
      </x:c>
      <x:c r="N547" s="259" t="str">
        <x:v>raw</x:v>
      </x:c>
      <x:c r="O547" s="259" t="str">
        <x:v>BDSP access terms; may require application/account</x:v>
      </x:c>
      <x:c r="P547" s="259" t="str">
        <x:v>未给出</x:v>
      </x:c>
      <x:c r="Q547" s="259" t="str">
        <x:v>02_Biometrics_and_Disease/Epilepsy_and_Abnormalities/Harvard_EEG_Database</x:v>
      </x:c>
      <x:c r="R547" s="259" t="str">
        <x:v>官方数据存在，但需申请、签署协议或获得权限</x:v>
      </x:c>
      <x:c r="S547" s="259"/>
      <x:c r="T547" s="259"/>
      <x:c r="U547" s="215"/>
    </x:row>
    <x:row r="548">
      <x:c r="A548" s="279" t="str">
        <x:v>EEG-0112</x:v>
      </x:c>
      <x:c r="B548" s="280" t="str">
        <x:v>04_Cognition_and_Emotion</x:v>
      </x:c>
      <x:c r="C548" s="280" t="str">
        <x:v>Emotion</x:v>
      </x:c>
      <x:c r="D548" s="280" t="str">
        <x:v>ASCERTAIN</x:v>
      </x:c>
      <x:c r="E548" s="280"/>
      <x:c r="F548" s="280"/>
      <x:c r="G548" s="280" t="str">
        <x:v>DOWNLOAD_PUBLIC</x:v>
      </x:c>
      <x:c r="H548" s="280" t="str">
        <x:v>[ASCERTAIN dataset](https://ascertain-dataset.github.io/)</x:v>
      </x:c>
      <x:c r="I548" s="280" t="str">
        <x:v>valence / arousal / personality-aware affect recognition</x:v>
      </x:c>
      <x:c r="J548" s="280" t="str">
        <x:v>58</x:v>
      </x:c>
      <x:c r="K548" s="280" t="str">
        <x:v>14</x:v>
      </x:c>
      <x:c r="L548" s="280" t="str">
        <x:v>未给出</x:v>
      </x:c>
      <x:c r="M548" s="280" t="str">
        <x:v>未给出</x:v>
      </x:c>
      <x:c r="N548" s="280" t="str">
        <x:v>未给出</x:v>
      </x:c>
      <x:c r="O548" s="280" t="str">
        <x:v>public download; citation/license terms on site</x:v>
      </x:c>
      <x:c r="P548" s="280" t="str">
        <x:v>未给出</x:v>
      </x:c>
      <x:c r="Q548" s="280" t="str">
        <x:v>03_Consciousness_and_State/Sleep_Staging/ASCERTAIN</x:v>
      </x:c>
      <x:c r="R548" s="280" t="str">
        <x:v>存在公开仓库、官方入口或稳定数据访问号 分类复核：ASCERTAIN is an affect/personality experiment, not a sleep or clinical cohort.</x:v>
      </x:c>
      <x:c r="S548" s="280"/>
      <x:c r="T548" s="280"/>
      <x:c r="U548" s="281"/>
    </x:row>
    <x:row r="549">
      <x:c r="A549" s="265" t="str">
        <x:v>EEG-0137</x:v>
      </x:c>
      <x:c r="B549" s="261" t="str">
        <x:v>03_Consciousness_and_State</x:v>
      </x:c>
      <x:c r="C549" s="261" t="str">
        <x:v>Sleep_Staging</x:v>
      </x:c>
      <x:c r="D549" s="261" t="str">
        <x:v>NFS</x:v>
      </x:c>
      <x:c r="E549" s="261"/>
      <x:c r="F549" s="261"/>
      <x:c r="G549" s="261" t="str">
        <x:v>DOWNLOAD_APPLICATION_REQUIRED</x:v>
      </x:c>
      <x:c r="H549" s="261" t="str">
        <x:v>[NSRR NFS](https://sleepdata.org/datasets/nfs)</x:v>
      </x:c>
      <x:c r="I549" s="261" t="str">
        <x:v>sleep/circadian protocols; PSG, actigraphy, questionnaires</x:v>
      </x:c>
      <x:c r="J549" s="261" t="str">
        <x:v>未给出</x:v>
      </x:c>
      <x:c r="K549" s="261" t="str">
        <x:v>未给出</x:v>
      </x:c>
      <x:c r="L549" s="261" t="str">
        <x:v>未给出</x:v>
      </x:c>
      <x:c r="M549" s="261" t="str">
        <x:v>EDF</x:v>
      </x:c>
      <x:c r="N549" s="261" t="str">
        <x:v>raw</x:v>
      </x:c>
      <x:c r="O549" s="261" t="str">
        <x:v>NSRR account + data request/DUA</x:v>
      </x:c>
      <x:c r="P549" s="261" t="str">
        <x:v>未给出</x:v>
      </x:c>
      <x:c r="Q549" s="261" t="str">
        <x:v>03_Consciousness_and_State/Sleep_Staging/NFS</x:v>
      </x:c>
      <x:c r="R549" s="261" t="str">
        <x:v>官方数据存在，但需申请、签署协议或获得权限</x:v>
      </x:c>
      <x:c r="S549" s="261"/>
      <x:c r="T549" s="261"/>
      <x:c r="U549" s="217"/>
    </x:row>
    <x:row r="550">
      <x:c r="A550" s="279" t="str">
        <x:v>EEG-0313</x:v>
      </x:c>
      <x:c r="B550" s="280" t="str">
        <x:v>05_Naturalistic_Stimulus_Decoding</x:v>
      </x:c>
      <x:c r="C550" s="280" t="str">
        <x:v>Listening_and_Auditory_Attention</x:v>
      </x:c>
      <x:c r="D550" s="280" t="str">
        <x:v>AlphaWaves</x:v>
      </x:c>
      <x:c r="E550" s="280"/>
      <x:c r="F550" s="280"/>
      <x:c r="G550" s="280" t="str">
        <x:v>DOWNLOAD_PUBLIC</x:v>
      </x:c>
      <x:c r="H550" s="280" t="str">
        <x:v>[MOABB AlphaWaves](https://moabb.neurotechx.com/docs/generated/moabb.datasets.Lee2019_Alpha.html)</x:v>
      </x:c>
      <x:c r="I550" s="280" t="str">
        <x:v>alpha rhythm / relaxation / eyes open-closed</x:v>
      </x:c>
      <x:c r="J550" s="280" t="str">
        <x:v>未给出</x:v>
      </x:c>
      <x:c r="K550" s="280" t="str">
        <x:v>未给出</x:v>
      </x:c>
      <x:c r="L550" s="280" t="str">
        <x:v>未给出</x:v>
      </x:c>
      <x:c r="M550" s="280" t="str">
        <x:v>MOABB-supported / 原始格式</x:v>
      </x:c>
      <x:c r="N550" s="280" t="str">
        <x:v>raw / 原始发布数据</x:v>
      </x:c>
      <x:c r="O550" s="280" t="str">
        <x:v>public via MOABB / original data link</x:v>
      </x:c>
      <x:c r="P550" s="280" t="str">
        <x:v>未给出</x:v>
      </x:c>
      <x:c r="Q550" s="280" t="str">
        <x:v>05_Naturalistic_Stimulus_Decoding/Listening_and_Auditory_Attention/AlphaWaves</x:v>
      </x:c>
      <x:c r="R550" s="280" t="str">
        <x:v>存在公开仓库、官方入口或稳定数据访问号</x:v>
      </x:c>
      <x:c r="S550" s="280"/>
      <x:c r="T550" s="280"/>
      <x:c r="U550" s="281"/>
    </x:row>
    <x:row r="551">
      <x:c r="A551" s="226" t="str">
        <x:v>EEG-0448</x:v>
      </x:c>
      <x:c r="B551" s="259" t="str">
        <x:v>06_Motor_and_Interaction</x:v>
      </x:c>
      <x:c r="C551" s="259" t="str">
        <x:v>SSVEP_and_Evoked_BCI</x:v>
      </x:c>
      <x:c r="D551" s="259" t="str">
        <x:v>Thielen2015</x:v>
      </x:c>
      <x:c r="E551" s="259"/>
      <x:c r="F551" s="259"/>
      <x:c r="G551" s="259" t="str">
        <x:v>DOWNLOAD_PUBLIC</x:v>
      </x:c>
      <x:c r="H551" s="259" t="str">
        <x:v>https://moabb.neurotechx.com/docs/generated/moabb.datasets.Thielen2015.html</x:v>
      </x:c>
      <x:c r="I551" s="259" t="str">
        <x:v>c-VEP</x:v>
      </x:c>
      <x:c r="J551" s="259"/>
      <x:c r="K551" s="259"/>
      <x:c r="L551" s="259"/>
      <x:c r="M551" s="259"/>
      <x:c r="N551" s="259" t="str">
        <x:v>Raw</x:v>
      </x:c>
      <x:c r="O551" s="259"/>
      <x:c r="P551" s="259" t="str">
        <x:v>Thielen, van den Broek, Farquhar, Desain, Radboud University</x:v>
      </x:c>
      <x:c r="Q551" s="259" t="str">
        <x:v>06_Motor_and_Interaction/SSVEP_and_Evoked_BCI/Thielen2015</x:v>
      </x:c>
      <x:c r="R551" s="259" t="str">
        <x:v>存在公开仓库、官方入口或稳定数据访问号</x:v>
      </x:c>
      <x:c r="S551" s="259"/>
      <x:c r="T551" s="259"/>
      <x:c r="U551" s="215"/>
    </x:row>
    <x:row r="552">
      <x:c r="A552" s="279" t="str">
        <x:v>EEG-0513</x:v>
      </x:c>
      <x:c r="B552" s="280" t="str">
        <x:v>03_Consciousness_and_State</x:v>
      </x:c>
      <x:c r="C552" s="280" t="str">
        <x:v>Resting_State</x:v>
      </x:c>
      <x:c r="D552" s="280" t="str">
        <x:v>Rodrigues2017</x:v>
      </x:c>
      <x:c r="E552" s="280"/>
      <x:c r="F552" s="280"/>
      <x:c r="G552" s="280" t="str">
        <x:v>DOWNLOAD_PUBLIC</x:v>
      </x:c>
      <x:c r="H552" s="280" t="str">
        <x:v>https://moabb.neurotechx.com/docs/generated/moabb.datasets.Rodrigues2017.html</x:v>
      </x:c>
      <x:c r="I552" s="280" t="str">
        <x:v>Resting State</x:v>
      </x:c>
      <x:c r="J552" s="280"/>
      <x:c r="K552" s="280"/>
      <x:c r="L552" s="280"/>
      <x:c r="M552" s="280"/>
      <x:c r="N552" s="280" t="str">
        <x:v>Raw</x:v>
      </x:c>
      <x:c r="O552" s="280"/>
      <x:c r="P552" s="280" t="str">
        <x:v>Gregoire Cattan / Pedro Rodrigues, GIPSA-lab</x:v>
      </x:c>
      <x:c r="Q552" s="280" t="str">
        <x:v>03_Consciousness_and_State/Resting_State/Rodrigues2017</x:v>
      </x:c>
      <x:c r="R552" s="280" t="str">
        <x:v>存在公开仓库、官方入口或稳定数据访问号</x:v>
      </x:c>
      <x:c r="S552" s="280"/>
      <x:c r="T552" s="280"/>
      <x:c r="U552" s="281"/>
    </x:row>
    <x:row r="553">
      <x:c r="A553" s="226" t="str">
        <x:v>EEG-0537</x:v>
      </x:c>
      <x:c r="B553" s="259" t="str">
        <x:v>07_General-purpose_and_Multi-paradigm</x:v>
      </x:c>
      <x:c r="C553" s="259" t="str">
        <x:v>Multi-task_EEG</x:v>
      </x:c>
      <x:c r="D553" s="259" t="str">
        <x:v>EEGDash aggregate</x:v>
      </x:c>
      <x:c r="E553" s="259"/>
      <x:c r="F553" s="259"/>
      <x:c r="G553" s="259" t="str">
        <x:v>DOWNLOAD_PUBLIC</x:v>
      </x:c>
      <x:c r="H553" s="259" t="str">
        <x:v>[EEGDash](https://eegdash.org/)</x:v>
      </x:c>
      <x:c r="I553" s="259" t="str">
        <x:v>searchable aggregate for EEG foundation-model pretraining and benchmarking</x:v>
      </x:c>
      <x:c r="J553" s="259" t="str">
        <x:v>未给出</x:v>
      </x:c>
      <x:c r="K553" s="259" t="str">
        <x:v>未给出</x:v>
      </x:c>
      <x:c r="L553" s="259" t="str">
        <x:v>未给出</x:v>
      </x:c>
      <x:c r="M553" s="259" t="str">
        <x:v>BIDS / dataset-specific</x:v>
      </x:c>
      <x:c r="N553" s="259" t="str">
        <x:v>raw</x:v>
      </x:c>
      <x:c r="O553" s="259" t="str">
        <x:v>public index; access depends on underlying dataset license</x:v>
      </x:c>
      <x:c r="P553" s="259" t="str">
        <x:v>未给出</x:v>
      </x:c>
      <x:c r="Q553" s="259" t="str">
        <x:v>07_General-purpose_and_Multi-paradigm/Multi-task_EEG/EEGDash_aggregate</x:v>
      </x:c>
      <x:c r="R553" s="259" t="str">
        <x:v>存在公开仓库、官方入口或稳定数据访问号</x:v>
      </x:c>
      <x:c r="S553" s="259"/>
      <x:c r="T553" s="259"/>
      <x:c r="U553" s="215"/>
    </x:row>
    <x:row r="554">
      <x:c r="A554" s="279" t="str">
        <x:v>EEG-0011</x:v>
      </x:c>
      <x:c r="B554" s="280" t="str">
        <x:v>02_Healthcare_and_Disease</x:v>
      </x:c>
      <x:c r="C554" s="280" t="str">
        <x:v>Epilepsy_and_Abnormalities</x:v>
      </x:c>
      <x:c r="D554" s="280" t="str">
        <x:v>EPILEPSIAE European Epilepsy Database</x:v>
      </x:c>
      <x:c r="E554" s="280"/>
      <x:c r="F554" s="280"/>
      <x:c r="G554" s="280" t="str">
        <x:v>DOWNLOAD_APPLICATION_REQUIRED</x:v>
      </x:c>
      <x:c r="H554" s="280" t="str">
        <x:v>[EPILEPSIAE database](https://www.epilepsiae.eu/)</x:v>
      </x:c>
      <x:c r="I554" s="280" t="str">
        <x:v>seizure detection / prediction; long-term epilepsy monitoring</x:v>
      </x:c>
      <x:c r="J554" s="280" t="str">
        <x:v>未给出</x:v>
      </x:c>
      <x:c r="K554" s="280" t="str">
        <x:v>未给出</x:v>
      </x:c>
      <x:c r="L554" s="280" t="str">
        <x:v>未给出</x:v>
      </x:c>
      <x:c r="M554" s="280" t="str">
        <x:v>未给出</x:v>
      </x:c>
      <x:c r="N554" s="280" t="str">
        <x:v>raw</x:v>
      </x:c>
      <x:c r="O554" s="280" t="str">
        <x:v>request / collaboration likely required</x:v>
      </x:c>
      <x:c r="P554" s="280" t="str">
        <x:v>未给出</x:v>
      </x:c>
      <x:c r="Q554" s="280" t="str">
        <x:v>02_Biometrics_and_Disease/Epilepsy_and_Abnormalities/EPILEPSIAE_European_Epilepsy_Database</x:v>
      </x:c>
      <x:c r="R554" s="280" t="str">
        <x:v>官方数据存在，但需申请、签署协议或获得权限</x:v>
      </x:c>
      <x:c r="S554" s="280"/>
      <x:c r="T554" s="280"/>
      <x:c r="U554" s="281"/>
    </x:row>
    <x:row r="555">
      <x:c r="A555" s="226" t="str">
        <x:v>EEG-0227</x:v>
      </x:c>
      <x:c r="B555" s="259" t="str">
        <x:v>04_Cognition_and_Emotion</x:v>
      </x:c>
      <x:c r="C555" s="259" t="str">
        <x:v>Cognitive_Task_Recognition</x:v>
      </x:c>
      <x:c r="D555" s="259" t="str">
        <x:v>EEGManyPipelines</x:v>
      </x:c>
      <x:c r="E555" s="259"/>
      <x:c r="F555" s="259"/>
      <x:c r="G555" s="259" t="str">
        <x:v>DOWNLOAD_PUBLIC</x:v>
      </x:c>
      <x:c r="H555" s="259" t="str">
        <x:v>[EEGManyPipelines OSF](https://osf.io/yb3pq/)</x:v>
      </x:c>
      <x:c r="I555" s="259" t="str">
        <x:v>long-term memory EEG task; ERP/time-frequency pipeline comparison</x:v>
      </x:c>
      <x:c r="J555" s="259" t="str">
        <x:v>未给出</x:v>
      </x:c>
      <x:c r="K555" s="259" t="str">
        <x:v>未给出</x:v>
      </x:c>
      <x:c r="L555" s="259" t="str">
        <x:v>未给出</x:v>
      </x:c>
      <x:c r="M555" s="259" t="str">
        <x:v>未给出</x:v>
      </x:c>
      <x:c r="N555" s="259" t="str">
        <x:v>raw</x:v>
      </x:c>
      <x:c r="O555" s="259" t="str">
        <x:v>public OSF</x:v>
      </x:c>
      <x:c r="P555" s="259" t="str">
        <x:v>未给出</x:v>
      </x:c>
      <x:c r="Q555" s="259" t="str">
        <x:v>04_Cognition_and_Emotion/Cognitive_Task_Recognition/EEGManyPipelines</x:v>
      </x:c>
      <x:c r="R555" s="259" t="str">
        <x:v>存在公开仓库、官方入口或稳定数据访问号</x:v>
      </x:c>
      <x:c r="S555" s="259"/>
      <x:c r="T555" s="259"/>
      <x:c r="U555" s="215"/>
    </x:row>
    <x:row r="556">
      <x:c r="A556" s="279" t="str">
        <x:v>EEG-0242</x:v>
      </x:c>
      <x:c r="B556" s="280" t="str">
        <x:v>04_Cognition_and_Emotion</x:v>
      </x:c>
      <x:c r="C556" s="280" t="str">
        <x:v>Cognitive_Task_Recognition</x:v>
      </x:c>
      <x:c r="D556" s="280" t="str">
        <x:v>RAM Public Data</x:v>
      </x:c>
      <x:c r="E556" s="280"/>
      <x:c r="F556" s="280"/>
      <x:c r="G556" s="280" t="str">
        <x:v>DOWNLOAD_PUBLIC</x:v>
      </x:c>
      <x:c r="H556" s="280" t="str">
        <x:v>[RAM Public Data](https://memory.psych.upenn.edu/RAM_Public_Data)</x:v>
      </x:c>
      <x:c r="I556" s="280" t="str">
        <x:v>human memory tasks with intracranial EEG</x:v>
      </x:c>
      <x:c r="J556" s="280" t="str">
        <x:v>251</x:v>
      </x:c>
      <x:c r="K556" s="280" t="str">
        <x:v>未给出</x:v>
      </x:c>
      <x:c r="L556" s="280" t="str">
        <x:v>未给出</x:v>
      </x:c>
      <x:c r="M556" s="280" t="str">
        <x:v>未给出</x:v>
      </x:c>
      <x:c r="N556" s="280" t="str">
        <x:v>未给出</x:v>
      </x:c>
      <x:c r="O556" s="280" t="str">
        <x:v>未给出</x:v>
      </x:c>
      <x:c r="P556" s="280" t="str">
        <x:v>未给出</x:v>
      </x:c>
      <x:c r="Q556" s="280" t="str">
        <x:v>04_Cognition_and_Emotion/Cognitive_Task_Recognition/RAM_Public_Data</x:v>
      </x:c>
      <x:c r="R556" s="280" t="str">
        <x:v>存在公开仓库、官方入口或稳定数据访问号</x:v>
      </x:c>
      <x:c r="S556" s="280"/>
      <x:c r="T556" s="280"/>
      <x:c r="U556" s="281"/>
    </x:row>
    <x:row r="557">
      <x:c r="A557" s="226" t="str">
        <x:v>EEG-0247</x:v>
      </x:c>
      <x:c r="B557" s="259" t="str">
        <x:v>04_Cognition_and_Emotion</x:v>
      </x:c>
      <x:c r="C557" s="259" t="str">
        <x:v>Cognitive_Task_Recognition</x:v>
      </x:c>
      <x:c r="D557" s="259" t="str">
        <x:v>Simultaneous scalp EEG and iEEG working-memory dataset</x:v>
      </x:c>
      <x:c r="E557" s="259"/>
      <x:c r="F557" s="259" t="str">
        <x:v>DOI:10.12751/g-node.d76994/</x:v>
      </x:c>
      <x:c r="G557" s="259" t="str">
        <x:v>DOWNLOAD_PUBLIC</x:v>
      </x:c>
      <x:c r="H557" s="259" t="str">
        <x:v>[G-Node scalp+iEEG](https://doi.gin.g-node.org/10.12751/g-node.d76994/)</x:v>
      </x:c>
      <x:c r="I557" s="259" t="str">
        <x:v>working memory; simultaneous scalp EEG and intracranial EEG</x:v>
      </x:c>
      <x:c r="J557" s="259" t="str">
        <x:v>未给出</x:v>
      </x:c>
      <x:c r="K557" s="259" t="str">
        <x:v>未给出</x:v>
      </x:c>
      <x:c r="L557" s="259" t="str">
        <x:v>未给出</x:v>
      </x:c>
      <x:c r="M557" s="259" t="str">
        <x:v>未给出</x:v>
      </x:c>
      <x:c r="N557" s="259" t="str">
        <x:v>未给出</x:v>
      </x:c>
      <x:c r="O557" s="259" t="str">
        <x:v>public G-Node/GIN; citation required</x:v>
      </x:c>
      <x:c r="P557" s="259" t="str">
        <x:v>未给出</x:v>
      </x:c>
      <x:c r="Q557" s="259" t="str">
        <x:v>04_Cognition_and_Emotion/Cognitive_Task_Recognition/Simultaneous_scalp_EEG_and_iEEG_working-memory_dataset</x:v>
      </x:c>
      <x:c r="R557" s="259" t="str">
        <x:v>存在公开仓库、官方入口或稳定数据访问号</x:v>
      </x:c>
      <x:c r="S557" s="259"/>
      <x:c r="T557" s="259"/>
      <x:c r="U557" s="215"/>
    </x:row>
    <x:row r="558">
      <x:c r="A558" s="279" t="str">
        <x:v>EEG-0327</x:v>
      </x:c>
      <x:c r="B558" s="280" t="str">
        <x:v>05_Naturalistic_Stimulus_Decoding</x:v>
      </x:c>
      <x:c r="C558" s="280" t="str">
        <x:v>Visual_Perception</x:v>
      </x:c>
      <x:c r="D558" s="280" t="str">
        <x:v>COGITATE M-EEG Dataset</x:v>
      </x:c>
      <x:c r="E558" s="280"/>
      <x:c r="F558" s="280"/>
      <x:c r="G558" s="280" t="str">
        <x:v>DOWNLOAD_PUBLIC</x:v>
      </x:c>
      <x:c r="H558" s="280" t="str">
        <x:v>[COGITATE data release](https://cogitate-consortium.github.io/cogitate-data/03_cogdataset/)</x:v>
      </x:c>
      <x:c r="I558" s="280" t="str">
        <x:v>conscious visual perception; GNWT vs IIT adversarial collaboration</x:v>
      </x:c>
      <x:c r="J558" s="280" t="str">
        <x:v>100</x:v>
      </x:c>
      <x:c r="K558" s="280" t="str">
        <x:v>未给出</x:v>
      </x:c>
      <x:c r="L558" s="280" t="str">
        <x:v>未给出</x:v>
      </x:c>
      <x:c r="M558" s="280" t="str">
        <x:v>未给出</x:v>
      </x:c>
      <x:c r="N558" s="280" t="str">
        <x:v>未给出</x:v>
      </x:c>
      <x:c r="O558" s="280" t="str">
        <x:v>open-access release; CC BY 4.0 / terms of use</x:v>
      </x:c>
      <x:c r="P558" s="280" t="str">
        <x:v>未给出</x:v>
      </x:c>
      <x:c r="Q558" s="280" t="str">
        <x:v>05_Naturalistic_Stimulus_Decoding/Visual_Perception/COGITATE_M-EEG_Dataset</x:v>
      </x:c>
      <x:c r="R558" s="280" t="str">
        <x:v>存在公开仓库、官方入口或稳定数据访问号</x:v>
      </x:c>
      <x:c r="S558" s="280"/>
      <x:c r="T558" s="280"/>
      <x:c r="U558" s="281"/>
    </x:row>
    <x:row r="559">
      <x:c r="A559" s="226" t="str">
        <x:v>EEG-0549</x:v>
      </x:c>
      <x:c r="B559" s="259" t="str">
        <x:v>07_General-purpose_and_Multi-paradigm</x:v>
      </x:c>
      <x:c r="C559" s="259" t="str">
        <x:v>Multi-task_EEG</x:v>
      </x:c>
      <x:c r="D559" s="259" t="str">
        <x:v>MindBigData</x:v>
      </x:c>
      <x:c r="E559" s="259"/>
      <x:c r="F559" s="259"/>
      <x:c r="G559" s="259" t="str">
        <x:v>DOWNLOAD_PUBLIC</x:v>
      </x:c>
      <x:c r="H559" s="259" t="str">
        <x:v>[MindBigData](https://mindbigdata.com/opendb/)</x:v>
      </x:c>
      <x:c r="I559" s="259" t="str">
        <x:v>digit perception / imagined digit classification</x:v>
      </x:c>
      <x:c r="J559" s="259" t="str">
        <x:v>未给出</x:v>
      </x:c>
      <x:c r="K559" s="259" t="str">
        <x:v>未给出</x:v>
      </x:c>
      <x:c r="L559" s="259" t="str">
        <x:v>未给出</x:v>
      </x:c>
      <x:c r="M559" s="259" t="str">
        <x:v>未给出</x:v>
      </x:c>
      <x:c r="N559" s="259" t="str">
        <x:v>raw</x:v>
      </x:c>
      <x:c r="O559" s="259" t="str">
        <x:v>未给出</x:v>
      </x:c>
      <x:c r="P559" s="259" t="str">
        <x:v>未给出</x:v>
      </x:c>
      <x:c r="Q559" s="259" t="str">
        <x:v>07_General-purpose_and_Multi-paradigm/Multi-task_EEG/MindBigData</x:v>
      </x:c>
      <x:c r="R559" s="259" t="str">
        <x:v>存在公开仓库、官方入口或稳定数据访问号</x:v>
      </x:c>
      <x:c r="S559" s="259"/>
      <x:c r="T559" s="259"/>
      <x:c r="U559" s="215"/>
    </x:row>
    <x:row r="560">
      <x:c r="A560" s="279" t="str">
        <x:v>EEG-0007</x:v>
      </x:c>
      <x:c r="B560" s="280" t="str">
        <x:v>02_Healthcare_and_Disease</x:v>
      </x:c>
      <x:c r="C560" s="280" t="str">
        <x:v>Epilepsy_and_Abnormalities</x:v>
      </x:c>
      <x:c r="D560" s="280" t="str">
        <x:v>BEED</x:v>
      </x:c>
      <x:c r="E560" s="280"/>
      <x:c r="F560" s="280"/>
      <x:c r="G560" s="280" t="str">
        <x:v>DOWNLOAD_PUBLIC</x:v>
      </x:c>
      <x:c r="H560" s="280" t="str">
        <x:v>[BEED GitHub](https://github.com/renan-cunha/BEED)</x:v>
      </x:c>
      <x:c r="I560" s="280" t="str">
        <x:v>epileptic seizure / interictal EEG classification</x:v>
      </x:c>
      <x:c r="J560" s="280" t="str">
        <x:v>未给出</x:v>
      </x:c>
      <x:c r="K560" s="280" t="str">
        <x:v>未给出</x:v>
      </x:c>
      <x:c r="L560" s="280" t="str">
        <x:v>未给出</x:v>
      </x:c>
      <x:c r="M560" s="280" t="str">
        <x:v>未给出</x:v>
      </x:c>
      <x:c r="N560" s="280" t="str">
        <x:v>未给出</x:v>
      </x:c>
      <x:c r="O560" s="280" t="str">
        <x:v>未给出</x:v>
      </x:c>
      <x:c r="P560" s="280" t="str">
        <x:v>未给出</x:v>
      </x:c>
      <x:c r="Q560" s="280" t="str">
        <x:v>02_Biometrics_and_Disease/Epilepsy_and_Abnormalities/BEED</x:v>
      </x:c>
      <x:c r="R560" s="280" t="str">
        <x:v>存在公开仓库、官方入口或稳定数据访问号</x:v>
      </x:c>
      <x:c r="S560" s="280"/>
      <x:c r="T560" s="280"/>
      <x:c r="U560" s="281"/>
    </x:row>
    <x:row r="561">
      <x:c r="A561" s="226" t="str">
        <x:v>EEG-0489</x:v>
      </x:c>
      <x:c r="B561" s="259" t="str">
        <x:v>06_Motor_and_Interaction</x:v>
      </x:c>
      <x:c r="C561" s="259" t="str">
        <x:v>Interaction_and_Control</x:v>
      </x:c>
      <x:c r="D561" s="259" t="str">
        <x:v>NeuBCI Target Retrieval RSVP-EEG Dataset</x:v>
      </x:c>
      <x:c r="E561" s="259"/>
      <x:c r="F561" s="259"/>
      <x:c r="G561" s="259" t="str">
        <x:v>DOWNLOAD_PUBLIC</x:v>
      </x:c>
      <x:c r="H561" s="259" t="str">
        <x:v>[Science Data Bank NeuBCI RSVP-EEG](https://www.scidb.cn/en/detail?dataSetId=fd2f8cddb79a4cbc9ecdaa19c93ff9cd)</x:v>
      </x:c>
      <x:c r="I561" s="259" t="str">
        <x:v>RSVP-based target retrieval / target vs non-target detection</x:v>
      </x:c>
      <x:c r="J561" s="259" t="str">
        <x:v>未给出</x:v>
      </x:c>
      <x:c r="K561" s="259" t="str">
        <x:v>未给出</x:v>
      </x:c>
      <x:c r="L561" s="259" t="str">
        <x:v>未给出</x:v>
      </x:c>
      <x:c r="M561" s="259" t="str">
        <x:v>未给出</x:v>
      </x:c>
      <x:c r="N561" s="259" t="str">
        <x:v>未给出</x:v>
      </x:c>
      <x:c r="O561" s="259" t="str">
        <x:v>public Science Data Bank; license terms on page</x:v>
      </x:c>
      <x:c r="P561" s="259" t="str">
        <x:v>未给出</x:v>
      </x:c>
      <x:c r="Q561" s="259" t="str">
        <x:v>06_Motor_and_Interaction/Interaction_and_Control/NeuBCI_Target_Retrieval_RSVP-EEG_Dataset</x:v>
      </x:c>
      <x:c r="R561" s="259" t="str">
        <x:v>存在公开仓库、官方入口或稳定数据访问号</x:v>
      </x:c>
      <x:c r="S561" s="259"/>
      <x:c r="T561" s="259"/>
      <x:c r="U561" s="215"/>
    </x:row>
    <x:row r="562">
      <x:c r="A562" s="279" t="str">
        <x:v>EEG-0522</x:v>
      </x:c>
      <x:c r="B562" s="280" t="str">
        <x:v>08_Health_and_Population</x:v>
      </x:c>
      <x:c r="C562" s="280" t="str">
        <x:v>Lifespan_and_Normative</x:v>
      </x:c>
      <x:c r="D562" s="280" t="str">
        <x:v>MIPDB</x:v>
      </x:c>
      <x:c r="E562" s="280"/>
      <x:c r="F562" s="280"/>
      <x:c r="G562" s="280" t="str">
        <x:v>DOWNLOAD_PUBLIC</x:v>
      </x:c>
      <x:c r="H562" s="280" t="str">
        <x:v>[NITRC MIPDB](https://fcon_1000.projects.nitrc.org/indi/cmi_healthy_brain_network/MIPDB.html)</x:v>
      </x:c>
      <x:c r="I562" s="280" t="str">
        <x:v>developmental resting/task EEG + MRI / behavior</x:v>
      </x:c>
      <x:c r="J562" s="280" t="str">
        <x:v>未给出</x:v>
      </x:c>
      <x:c r="K562" s="280" t="str">
        <x:v>未给出</x:v>
      </x:c>
      <x:c r="L562" s="280" t="str">
        <x:v>未给出</x:v>
      </x:c>
      <x:c r="M562" s="280" t="str">
        <x:v>未给出</x:v>
      </x:c>
      <x:c r="N562" s="280" t="str">
        <x:v>未给出</x:v>
      </x:c>
      <x:c r="O562" s="280" t="str">
        <x:v>未给出</x:v>
      </x:c>
      <x:c r="P562" s="280" t="str">
        <x:v>未给出</x:v>
      </x:c>
      <x:c r="Q562" s="280" t="str">
        <x:v>02_Biometrics_and_Disease/Development_and_Lifespan/MIPDB</x:v>
      </x:c>
      <x:c r="R562" s="280" t="str">
        <x:v>存在公开仓库、官方入口或稳定数据访问号</x:v>
      </x:c>
      <x:c r="S562" s="280"/>
      <x:c r="T562" s="280"/>
      <x:c r="U562" s="281"/>
    </x:row>
    <x:row r="563">
      <x:c r="A563" s="227" t="str">
        <x:v>EEG-0552</x:v>
      </x:c>
      <x:c r="B563" s="270" t="str">
        <x:v>07_General-purpose_and_Multi-paradigm</x:v>
      </x:c>
      <x:c r="C563" s="270" t="str">
        <x:v>Multi-task_EEG</x:v>
      </x:c>
      <x:c r="D563" s="270" t="str">
        <x:v>Omni-iEEG</x:v>
      </x:c>
      <x:c r="E563" s="270"/>
      <x:c r="F563" s="270"/>
      <x:c r="G563" s="270" t="str">
        <x:v>DOWNLOAD_PUBLIC</x:v>
      </x:c>
      <x:c r="H563" s="270" t="str">
        <x:v>[Omni-iEEG project](https://omni-ieeg.github.io/)</x:v>
      </x:c>
      <x:c r="I563" s="270" t="str">
        <x:v>large-scale iEEG representation learning; multitask clinical/neuroscience decoding</x:v>
      </x:c>
      <x:c r="J563" s="270" t="str">
        <x:v>未给出</x:v>
      </x:c>
      <x:c r="K563" s="270" t="str">
        <x:v>未给出</x:v>
      </x:c>
      <x:c r="L563" s="270" t="str">
        <x:v>未给出</x:v>
      </x:c>
      <x:c r="M563" s="270" t="str">
        <x:v>未给出</x:v>
      </x:c>
      <x:c r="N563" s="270" t="str">
        <x:v>未给出</x:v>
      </x:c>
      <x:c r="O563" s="270" t="str">
        <x:v>未给出</x:v>
      </x:c>
      <x:c r="P563" s="270" t="str">
        <x:v>未给出</x:v>
      </x:c>
      <x:c r="Q563" s="270" t="str">
        <x:v>07_General-purpose_and_Multi-paradigm/Multi-task_EEG/Omni-iEEG</x:v>
      </x:c>
      <x:c r="R563" s="270" t="str">
        <x:v>存在公开仓库、官方入口或稳定数据访问号</x:v>
      </x:c>
      <x:c r="S563" s="270"/>
      <x:c r="T563" s="270"/>
      <x:c r="U563" s="228"/>
    </x:row>
  </x:sheetData>
  <x:pageMargins left="0.7" right="0.7" top="0.75" bottom="0.75" header="0.3" footer="0.3"/>
  <x:tableParts count="1">
    <x:tablePart xmlns:r="http://schemas.openxmlformats.org/officeDocument/2006/relationships" r:id="R47b204ecb413403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28" hidden="0" customWidth="1"/>
    <x:col min="4" max="4" width="42" hidden="0" customWidth="1"/>
    <x:col min="5" max="5" width="52" hidden="0" customWidth="1"/>
    <x:col min="6" max="6" width="48" hidden="0" customWidth="1"/>
    <x:col min="7" max="7" width="46" hidden="0" customWidth="1"/>
  </x:cols>
  <x:sheetData>
    <x:row r="1" ht="36" customHeight="1">
      <x:c r="A1" s="23" t="str">
        <x:v>原条目</x:v>
      </x:c>
      <x:c r="B1" s="23" t="str">
        <x:v>合并别名</x:v>
      </x:c>
      <x:c r="C1" s="23" t="str">
        <x:v>处理结果</x:v>
      </x:c>
      <x:c r="D1" s="23" t="str">
        <x:v>稳定标识</x:v>
      </x:c>
      <x:c r="E1" s="23" t="str">
        <x:v>排除原因</x:v>
      </x:c>
      <x:c r="F1" s="23" t="str">
        <x:v>原链接</x:v>
      </x:c>
      <x:c r="G1" s="23" t="str">
        <x:v>任务</x:v>
      </x:c>
    </x:row>
    <x:row r="2" ht="52" customHeight="1">
      <x:c r="A2" s="19" t="str">
        <x:v>Shin 2017 Hybrid EEG-NIRS Dataset</x:v>
      </x:c>
      <x:c r="B2" s="19"/>
      <x:c r="C2" s="19" t="str">
        <x:v>EXCLUDE_CONFLATED_RECORD</x:v>
      </x:c>
      <x:c r="D2" s="19" t="str">
        <x:v>DOI:10.14279/depositonce-5830</x:v>
      </x:c>
      <x:c r="E2" s="19" t="str">
        <x:v>任务描述对应Shin 2018认知数据，但链接/论文对应Shin 2017 MI数据；由两个正确条目替代</x:v>
      </x:c>
      <x:c r="F2" s="19" t="str">
        <x:v>https://doi.org/10.14279/depositonce-5830</x:v>
      </x:c>
      <x:c r="G2" s="19" t="str">
        <x:v>working memory / n-back；discrimination-selection response；word generation；cognitive load vs rest</x:v>
      </x:c>
    </x:row>
    <x:row r="3" ht="52" customHeight="1">
      <x:c r="A3" s="19" t="str">
        <x:v>Clinical</x:v>
      </x:c>
      <x:c r="B3" s="19"/>
      <x:c r="C3" s="19" t="str">
        <x:v>EXCLUDE_NON_DATASET</x:v>
      </x:c>
      <x:c r="D3" s="19"/>
      <x:c r="E3" s="19" t="str">
        <x:v>父级集合、目录、聚合预训练清单或信息不足的泛化条目；不作为独立下载单元</x:v>
      </x:c>
      <x:c r="F3" s="19"/>
      <x:c r="G3" s="19"/>
    </x:row>
    <x:row r="4" ht="52" customHeight="1">
      <x:c r="A4" s="19" t="str">
        <x:v>MOABB catalog</x:v>
      </x:c>
      <x:c r="B4" s="19"/>
      <x:c r="C4" s="19" t="str">
        <x:v>EXCLUDE_NON_DATASET</x:v>
      </x:c>
      <x:c r="D4" s="19"/>
      <x:c r="E4" s="19" t="str">
        <x:v>父级集合、目录、聚合预训练清单或信息不足的泛化条目；不作为独立下载单元</x:v>
      </x:c>
      <x:c r="F4" s="19" t="str">
        <x:v>[MOABB data summary](https://moabb.neurotechx.com/docs/dataset_summary.html)</x:v>
      </x:c>
      <x:c r="G4" s="19" t="str">
        <x:v>MI, P300 / ERP, SSVEP, c-VEP, resting-state 等</x:v>
      </x:c>
    </x:row>
    <x:row r="5" ht="52" customHeight="1">
      <x:c r="A5" s="19" t="str">
        <x:v>MOABB-indexed Motor Datasets</x:v>
      </x:c>
      <x:c r="B5" s="19"/>
      <x:c r="C5" s="19" t="str">
        <x:v>EXCLUDE_NON_DATASET</x:v>
      </x:c>
      <x:c r="D5" s="19"/>
      <x:c r="E5" s="19" t="str">
        <x:v>父级集合、目录、聚合预训练清单或信息不足的泛化条目；不作为独立下载单元</x:v>
      </x:c>
      <x:c r="F5" s="19"/>
      <x:c r="G5" s="19"/>
    </x:row>
    <x:row r="6" ht="52" customHeight="1">
      <x:c r="A6" s="19" t="str">
        <x:v>P300</x:v>
      </x:c>
      <x:c r="B6" s="19"/>
      <x:c r="C6" s="19" t="str">
        <x:v>EXCLUDE_NON_DATASET</x:v>
      </x:c>
      <x:c r="D6" s="19"/>
      <x:c r="E6" s="19" t="str">
        <x:v>父级集合、目录、聚合预训练清单或信息不足的泛化条目；不作为独立下载单元</x:v>
      </x:c>
      <x:c r="F6" s="19"/>
      <x:c r="G6" s="19"/>
    </x:row>
    <x:row r="7" ht="52" customHeight="1">
      <x:c r="A7" s="19" t="str">
        <x:v>PhysioNet</x:v>
      </x:c>
      <x:c r="B7" s="19"/>
      <x:c r="C7" s="19" t="str">
        <x:v>EXCLUDE_NON_DATASET</x:v>
      </x:c>
      <x:c r="D7" s="19"/>
      <x:c r="E7" s="19" t="str">
        <x:v>父级集合、目录、聚合预训练清单或信息不足的泛化条目；不作为独立下载单元</x:v>
      </x:c>
      <x:c r="F7" s="19"/>
      <x:c r="G7" s="19" t="str">
        <x:v>Sleep staging (5-class sleep stage classification following AASM standards; original challenge targeted arousal region classification)</x:v>
      </x:c>
    </x:row>
    <x:row r="8" ht="52" customHeight="1">
      <x:c r="A8" s="19" t="str">
        <x:v>REVE pretraining corpus (aggregate: 92 EEG datasets)</x:v>
      </x:c>
      <x:c r="B8" s="19"/>
      <x:c r="C8" s="19" t="str">
        <x:v>EXCLUDE_NON_DATASET</x:v>
      </x:c>
      <x:c r="D8" s="19"/>
      <x:c r="E8" s="19" t="str">
        <x:v>父级集合、目录、聚合预训练清单或信息不足的泛化条目；不作为独立下载单元</x:v>
      </x:c>
      <x:c r="F8" s="19"/>
      <x:c r="G8" s="19" t="str">
        <x:v>self-supervised masked-autoencoder pretraining (no labels)</x:v>
      </x:c>
    </x:row>
    <x:row r="9" ht="52" customHeight="1">
      <x:c r="A9" s="19" t="str">
        <x:v>SEED Series</x:v>
      </x:c>
      <x:c r="B9" s="19"/>
      <x:c r="C9" s="19" t="str">
        <x:v>EXCLUDE_NON_DATASET</x:v>
      </x:c>
      <x:c r="D9" s="19"/>
      <x:c r="E9" s="19" t="str">
        <x:v>父级集合、目录、聚合预训练清单或信息不足的泛化条目；不作为独立下载单元</x:v>
      </x:c>
      <x:c r="F9" s="19" t="str">
        <x:v>[BCMI SEED download/apply](https://bcmi.sjtu.edu.cn/home/seed/downloads.html)</x:v>
      </x:c>
      <x:c r="G9" s="19" t="str">
        <x:v>SEED: 3-class positive / neutral / negative；SEED-IV: 4-class happy / sad / fear / neutral；SEED-V: 5-class happy / fear / sad / disgust / neutral；SEED-GER/FRA: 3-class positive / neutral / negative</x:v>
      </x:c>
    </x:row>
    <x:row r="10" ht="52" customHeight="1">
      <x:c r="A10" s="19" t="str">
        <x:v>Sleep</x:v>
      </x:c>
      <x:c r="B10" s="19"/>
      <x:c r="C10" s="19" t="str">
        <x:v>EXCLUDE_NON_DATASET</x:v>
      </x:c>
      <x:c r="D10" s="19"/>
      <x:c r="E10" s="19" t="str">
        <x:v>父级集合、目录、聚合预训练清单或信息不足的泛化条目；不作为独立下载单元</x:v>
      </x:c>
      <x:c r="F10" s="19"/>
      <x:c r="G10" s="19"/>
    </x:row>
    <x:row r="11" ht="52" customHeight="1">
      <x:c r="A11" s="19" t="str">
        <x:v>Temple University</x:v>
      </x:c>
      <x:c r="B11" s="19"/>
      <x:c r="C11" s="19" t="str">
        <x:v>EXCLUDE_NON_DATASET</x:v>
      </x:c>
      <x:c r="D11" s="19"/>
      <x:c r="E11" s="19" t="str">
        <x:v>父级集合、目录、聚合预训练清单或信息不足的泛化条目；不作为独立下载单元</x:v>
      </x:c>
      <x:c r="F11" s="19"/>
      <x:c r="G11" s="19"/>
    </x:row>
    <x:row r="12" ht="52" customHeight="1">
      <x:c r="A12" s="19" t="str">
        <x:v>Tsinghua BCI Series</x:v>
      </x:c>
      <x:c r="B12" s="19"/>
      <x:c r="C12" s="19" t="str">
        <x:v>EXCLUDE_NON_DATASET</x:v>
      </x:c>
      <x:c r="D12" s="19"/>
      <x:c r="E12" s="19" t="str">
        <x:v>父级集合、目录、聚合预训练清单或信息不足的泛化条目；不作为独立下载单元</x:v>
      </x:c>
      <x:c r="F12" s="19"/>
      <x:c r="G12" s="19"/>
    </x:row>
    <x:row r="13" ht="52" customHeight="1">
      <x:c r="A13" s="19" t="str">
        <x:v>Absence-16</x:v>
      </x:c>
      <x:c r="B13" s="19"/>
      <x:c r="C13" s="19" t="str">
        <x:v>EXCLUDE_NOT_PUBLIC</x:v>
      </x:c>
      <x:c r="D13" s="19"/>
      <x:c r="E13" s="19" t="str">
        <x:v>明确未公开或私有，不能列入可下载清单</x:v>
      </x:c>
      <x:c r="F13" s="19" t="str">
        <x:v>not publicly released</x:v>
      </x:c>
      <x:c r="G13" s="19" t="str">
        <x:v>absence seizure vs normal vs IED</x:v>
      </x:c>
    </x:row>
    <x:row r="14" ht="52" customHeight="1">
      <x:c r="A14" s="19" t="str">
        <x:v>Atonic-5</x:v>
      </x:c>
      <x:c r="B14" s="19"/>
      <x:c r="C14" s="19" t="str">
        <x:v>EXCLUDE_NOT_PUBLIC</x:v>
      </x:c>
      <x:c r="D14" s="19"/>
      <x:c r="E14" s="19" t="str">
        <x:v>明确未公开或私有，不能列入可下载清单</x:v>
      </x:c>
      <x:c r="F14" s="19" t="str">
        <x:v>not publicly released</x:v>
      </x:c>
      <x:c r="G14" s="19" t="str">
        <x:v>atonic seizure vs normal vs IED</x:v>
      </x:c>
    </x:row>
    <x:row r="15" ht="52" customHeight="1">
      <x:c r="A15" s="19" t="str">
        <x:v>Clonic-6</x:v>
      </x:c>
      <x:c r="B15" s="19"/>
      <x:c r="C15" s="19" t="str">
        <x:v>EXCLUDE_NOT_PUBLIC</x:v>
      </x:c>
      <x:c r="D15" s="19"/>
      <x:c r="E15" s="19" t="str">
        <x:v>明确未公开或私有，不能列入可下载清单</x:v>
      </x:c>
      <x:c r="F15" s="19" t="str">
        <x:v>not publicly released</x:v>
      </x:c>
      <x:c r="G15" s="19" t="str">
        <x:v>clonic seizure vs normal vs IED</x:v>
      </x:c>
    </x:row>
    <x:row r="16" ht="52" customHeight="1">
      <x:c r="A16" s="19" t="str">
        <x:v>DRE-Clinical</x:v>
      </x:c>
      <x:c r="B16" s="19"/>
      <x:c r="C16" s="19" t="str">
        <x:v>EXCLUDE_NOT_PUBLIC</x:v>
      </x:c>
      <x:c r="D16" s="19"/>
      <x:c r="E16" s="19" t="str">
        <x:v>明确未公开或私有，不能列入可下载清单</x:v>
      </x:c>
      <x:c r="F16" s="19" t="str">
        <x:v>not publicly released</x:v>
      </x:c>
      <x:c r="G16" s="19" t="str">
        <x:v>iEEG seizure detection / SOZ localization</x:v>
      </x:c>
    </x:row>
    <x:row r="17" ht="52" customHeight="1">
      <x:c r="A17" s="19" t="str">
        <x:v>IIIC Seizure</x:v>
      </x:c>
      <x:c r="B17" s="19"/>
      <x:c r="C17" s="19" t="str">
        <x:v>EXCLUDE_NOT_PUBLIC</x:v>
      </x:c>
      <x:c r="D17" s="19"/>
      <x:c r="E17" s="19" t="str">
        <x:v>明确未公开或私有，不能列入可下载清单</x:v>
      </x:c>
      <x:c r="F17" s="19" t="str">
        <x:v>[BDSP SPaRCNet](https://bdsp.io/content/bdsp-sparcnet/)</x:v>
      </x:c>
      <x:c r="G17" s="19" t="str">
        <x:v>ICU EEG seizure / periodic and rhythmic pattern classification</x:v>
      </x:c>
    </x:row>
    <x:row r="18" ht="52" customHeight="1">
      <x:c r="A18" s="19" t="str">
        <x:v>Attention</x:v>
      </x:c>
      <x:c r="B18" s="19"/>
      <x:c r="C18" s="19" t="str">
        <x:v>EXCLUDE_NO_ACTIONABLE_SOURCE</x:v>
      </x:c>
      <x:c r="D18" s="19"/>
      <x:c r="E18" s="19" t="str">
        <x:v>未找到可执行的官方仓库、稳定编号或公开下载入口；不纳入最终下载清单</x:v>
      </x:c>
      <x:c r="F18" s="19" t="str">
        <x:v>未给出</x:v>
      </x:c>
      <x:c r="G18" s="19" t="str">
        <x:v>attention-related EEG pretraining source reported by SAMBA</x:v>
      </x:c>
    </x:row>
    <x:row r="19" ht="52" customHeight="1">
      <x:c r="A19" s="19" t="str">
        <x:v>AV-GC-AAD (Audiovisual Gaze-Controlled AAD dataset)</x:v>
      </x:c>
      <x:c r="B19" s="19"/>
      <x:c r="C19" s="19" t="str">
        <x:v>EXCLUDE_NO_ACTIONABLE_SOURCE</x:v>
      </x:c>
      <x:c r="D19" s="19"/>
      <x:c r="E19" s="19" t="str">
        <x:v>未找到可执行的官方仓库、稳定编号或公开下载入口；不纳入最终下载清单</x:v>
      </x:c>
      <x:c r="F19" s="19"/>
      <x:c r="G19" s="19" t="str">
        <x:v>Auditory attention detection (AAD) under audio-visual (multi-stimuli) conditions: binary classification of attended talker (left/right, +/-90 deg) in a two-talker scenario with gaze-controlled visual manipulation</x:v>
      </x:c>
    </x:row>
    <x:row r="20" ht="52" customHeight="1">
      <x:c r="A20" s="19" t="str">
        <x:v>BCI Challenge @ NER 2015 (Inria)</x:v>
      </x:c>
      <x:c r="B20" s="19"/>
      <x:c r="C20" s="19" t="str">
        <x:v>EXCLUDE_NO_ACTIONABLE_SOURCE</x:v>
      </x:c>
      <x:c r="D20" s="19"/>
      <x:c r="E20" s="19" t="str">
        <x:v>未找到可执行的官方仓库、稳定编号或公开下载入口；不纳入最终下载清单</x:v>
      </x:c>
      <x:c r="F20" s="19"/>
      <x:c r="G20" s="19" t="str">
        <x:v>Error-Related Potential (ErrP) detection during P300 spelling</x:v>
      </x:c>
    </x:row>
    <x:row r="21" ht="52" customHeight="1">
      <x:c r="A21" s="19" t="str">
        <x:v>BCIC 2020-T1</x:v>
      </x:c>
      <x:c r="B21" s="19"/>
      <x:c r="C21" s="19" t="str">
        <x:v>EXCLUDE_NO_ACTIONABLE_SOURCE</x:v>
      </x:c>
      <x:c r="D21" s="19"/>
      <x:c r="E21" s="19" t="str">
        <x:v>未找到可执行的官方仓库、稳定编号或公开下载入口；不纳入最终下载清单</x:v>
      </x:c>
      <x:c r="F21" s="19"/>
      <x:c r="G21" s="19" t="str">
        <x:v>Hand motor imagery, 2-class (left hand vs right hand); zero-shot unseen test track [excluded from training]</x:v>
      </x:c>
    </x:row>
    <x:row r="22" ht="52" customHeight="1">
      <x:c r="A22" s="19" t="str">
        <x:v>BEIRUT</x:v>
      </x:c>
      <x:c r="B22" s="19"/>
      <x:c r="C22" s="19" t="str">
        <x:v>EXCLUDE_NO_ACTIONABLE_SOURCE</x:v>
      </x:c>
      <x:c r="D22" s="19" t="str">
        <x:v>DOI:10.17632/5pc2j46cbc.1</x:v>
      </x:c>
      <x:c r="E22" s="19" t="str">
        <x:v>未找到可执行的官方仓库、稳定编号或公开下载入口；不纳入最终下载清单</x:v>
      </x:c>
      <x:c r="F22" s="19"/>
      <x:c r="G22" s="19" t="str">
        <x:v>seizure prediction (subject-agnostic / cross-subject); downstream evaluation</x:v>
      </x:c>
    </x:row>
    <x:row r="23" ht="52" customHeight="1">
      <x:c r="A23" s="19" t="str">
        <x:v>Binocular Dual-Frequency SSVEP Dataset (Yike et al., 2024)</x:v>
      </x:c>
      <x:c r="B23" s="19"/>
      <x:c r="C23" s="19" t="str">
        <x:v>EXCLUDE_NO_ACTIONABLE_SOURCE</x:v>
      </x:c>
      <x:c r="D23" s="19"/>
      <x:c r="E23" s="19" t="str">
        <x:v>未找到可执行的官方仓库、稳定编号或公开下载入口；不纳入最终下载清单</x:v>
      </x:c>
      <x:c r="F23" s="19"/>
      <x:c r="G23" s="19" t="str">
        <x:v>40-class binocular SSVEP target recognition</x:v>
      </x:c>
    </x:row>
    <x:row r="24" ht="52" customHeight="1">
      <x:c r="A24" s="19" t="str">
        <x:v>BNCI</x:v>
      </x:c>
      <x:c r="B24" s="19"/>
      <x:c r="C24" s="19" t="str">
        <x:v>EXCLUDE_NO_ACTIONABLE_SOURCE</x:v>
      </x:c>
      <x:c r="D24" s="19"/>
      <x:c r="E24" s="19" t="str">
        <x:v>未找到可执行的官方仓库、稳定编号或公开下载入口；不纳入最终下载清单</x:v>
      </x:c>
      <x:c r="F24" s="19"/>
      <x:c r="G24" s="19"/>
    </x:row>
    <x:row r="25" ht="52" customHeight="1">
      <x:c r="A25" s="19" t="str">
        <x:v>Bonn EEG dataset (University of Bonn epilepsy EEG)</x:v>
      </x:c>
      <x:c r="B25" s="19"/>
      <x:c r="C25" s="19" t="str">
        <x:v>EXCLUDE_NO_ACTIONABLE_SOURCE</x:v>
      </x:c>
      <x:c r="D25" s="19"/>
      <x:c r="E25" s="19" t="str">
        <x:v>未找到可执行的官方仓库、稳定编号或公开下载入口；不纳入最终下载清单</x:v>
      </x:c>
      <x:c r="F25" s="19"/>
      <x:c r="G25" s="19" t="str">
        <x:v>EEG compression (reconstruction fidelity) only</x:v>
      </x:c>
    </x:row>
    <x:row r="26" ht="52" customHeight="1">
      <x:c r="A26" s="19" t="str">
        <x:v>Brennan2018</x:v>
      </x:c>
      <x:c r="B26" s="19"/>
      <x:c r="C26" s="19" t="str">
        <x:v>EXCLUDE_NO_ACTIONABLE_SOURCE</x:v>
      </x:c>
      <x:c r="D26" s="19"/>
      <x:c r="E26" s="19" t="str">
        <x:v>未找到可执行的官方仓库、稳定编号或公开下载入口；不纳入最终下载清单</x:v>
      </x:c>
      <x:c r="F26" s="19"/>
      <x:c r="G26" s="19" t="str">
        <x:v>Naturalistic story listening; neural-acoustic alignment (Stage 2 multimodal alignment)</x:v>
      </x:c>
    </x:row>
    <x:row r="27" ht="52" customHeight="1">
      <x:c r="A27" s="19" t="str">
        <x:v>Brennan2019</x:v>
      </x:c>
      <x:c r="B27" s="19"/>
      <x:c r="C27" s="19" t="str">
        <x:v>EXCLUDE_NO_ACTIONABLE_SOURCE</x:v>
      </x:c>
      <x:c r="D27" s="19"/>
      <x:c r="E27" s="19" t="str">
        <x:v>未找到可执行的官方仓库、稳定编号或公开下载入口；不纳入最终下载清单</x:v>
      </x:c>
      <x:c r="F27" s="19"/>
      <x:c r="G27" s="19" t="str">
        <x:v>Naturalistic speech-listening EEG (comprehension)</x:v>
      </x:c>
    </x:row>
    <x:row r="28" ht="52" customHeight="1">
      <x:c r="A28" s="19" t="str">
        <x:v>Buckwalter (2021)</x:v>
      </x:c>
      <x:c r="B28" s="19"/>
      <x:c r="C28" s="19" t="str">
        <x:v>EXCLUDE_NO_ACTIONABLE_SOURCE</x:v>
      </x:c>
      <x:c r="D28" s="19"/>
      <x:c r="E28" s="19" t="str">
        <x:v>未找到可执行的官方仓库、稳定编号或公开下载入口；不纳入最终下载清单</x:v>
      </x:c>
      <x:c r="F28" s="19" t="str">
        <x:v>isip.piconepress.com/projects/nedc/html/tuh_eeg/ (rsync path: data/tuh_eeg/tuh_eeg_artifact/)</x:v>
      </x:c>
      <x:c r="G28" s="19" t="str">
        <x:v>Artifact</x:v>
      </x:c>
    </x:row>
    <x:row r="29" ht="52" customHeight="1">
      <x:c r="A29" s="19" t="str">
        <x:v>CBVEP100 (Castillos et al., 2023)</x:v>
      </x:c>
      <x:c r="B29" s="19"/>
      <x:c r="C29" s="19" t="str">
        <x:v>EXCLUDE_NO_ACTIONABLE_SOURCE</x:v>
      </x:c>
      <x:c r="D29" s="19"/>
      <x:c r="E29" s="19" t="str">
        <x:v>未找到可执行的官方仓库、稳定编号或公开下载入口；不纳入最终下载清单</x:v>
      </x:c>
      <x:c r="F29" s="19"/>
      <x:c r="G29" s="19" t="str">
        <x:v>4-class burst-VEP / c-VEP decoding, 100% (full) stimulus amplitude condition</x:v>
      </x:c>
    </x:row>
    <x:row r="30" ht="52" customHeight="1">
      <x:c r="A30" s="19" t="str">
        <x:v>CBVEP40 (Castillos et al., 2023)</x:v>
      </x:c>
      <x:c r="B30" s="19"/>
      <x:c r="C30" s="19" t="str">
        <x:v>EXCLUDE_NO_ACTIONABLE_SOURCE</x:v>
      </x:c>
      <x:c r="D30" s="19"/>
      <x:c r="E30" s="19" t="str">
        <x:v>未找到可执行的官方仓库、稳定编号或公开下载入口；不纳入最终下载清单</x:v>
      </x:c>
      <x:c r="F30" s="19"/>
      <x:c r="G30" s="19" t="str">
        <x:v>4-class burst-VEP / c-VEP decoding, 40% (reduced) stimulus amplitude condition</x:v>
      </x:c>
    </x:row>
    <x:row r="31" ht="52" customHeight="1">
      <x:c r="A31" s="19" t="str">
        <x:v>CL-Drive</x:v>
      </x:c>
      <x:c r="B31" s="19"/>
      <x:c r="C31" s="19" t="str">
        <x:v>EXCLUDE_NO_ACTIONABLE_SOURCE</x:v>
      </x:c>
      <x:c r="D31" s="19"/>
      <x:c r="E31" s="19" t="str">
        <x:v>未找到可执行的官方仓库、稳定编号或公开下载入口；不纳入最终下载清单</x:v>
      </x:c>
      <x:c r="F31" s="19"/>
      <x:c r="G31" s="19" t="str">
        <x:v>Cognitive load (CL) prediction (binary: low vs high) in driving; multimodal (EEG, ECG, EDA, gaze)</x:v>
      </x:c>
    </x:row>
    <x:row r="32" ht="52" customHeight="1">
      <x:c r="A32" s="19" t="str">
        <x:v>CNBPM</x:v>
      </x:c>
      <x:c r="B32" s="19"/>
      <x:c r="C32" s="19" t="str">
        <x:v>EXCLUDE_NO_ACTIONABLE_SOURCE</x:v>
      </x:c>
      <x:c r="D32" s="19"/>
      <x:c r="E32" s="19" t="str">
        <x:v>未找到可执行的官方仓库、稳定编号或公开下载入口；不纳入最终下载清单</x:v>
      </x:c>
      <x:c r="F32" s="19" t="str">
        <x:v>未给出</x:v>
      </x:c>
      <x:c r="G32" s="19" t="str">
        <x:v>AD / MCI / healthy control classification</x:v>
      </x:c>
    </x:row>
    <x:row r="33" ht="52" customHeight="1">
      <x:c r="A33" s="19" t="str">
        <x:v>Cog-Expo</x:v>
      </x:c>
      <x:c r="B33" s="19"/>
      <x:c r="C33" s="19" t="str">
        <x:v>EXCLUDE_NO_ACTIONABLE_SOURCE</x:v>
      </x:c>
      <x:c r="D33" s="19"/>
      <x:c r="E33" s="19" t="str">
        <x:v>未找到可执行的官方仓库、稳定编号或公开下载入口；不纳入最终下载清单</x:v>
      </x:c>
      <x:c r="F33" s="19"/>
      <x:c r="G33" s="19" t="str">
        <x:v>EEG recording of human cognitive responses to multi-exposure image stimuli (under/normal/over exposure), for cognition-aware multi-exposure fusion</x:v>
      </x:c>
    </x:row>
    <x:row r="34" ht="52" customHeight="1">
      <x:c r="A34" s="19" t="str">
        <x:v>Cognision</x:v>
      </x:c>
      <x:c r="B34" s="19"/>
      <x:c r="C34" s="19" t="str">
        <x:v>EXCLUDE_NO_ACTIONABLE_SOURCE</x:v>
      </x:c>
      <x:c r="D34" s="19"/>
      <x:c r="E34" s="19" t="str">
        <x:v>未找到可执行的官方仓库、稳定编号或公开下载入口；不纳入最终下载清单</x:v>
      </x:c>
      <x:c r="F34" s="19" t="str">
        <x:v>未给出</x:v>
      </x:c>
      <x:c r="G34" s="19" t="str">
        <x:v>clinical cognitive EEG; LEAD downstream source</x:v>
      </x:c>
    </x:row>
    <x:row r="35" ht="52" customHeight="1">
      <x:c r="A35" s="19" t="str">
        <x:v>Cognition</x:v>
      </x:c>
      <x:c r="B35" s="19"/>
      <x:c r="C35" s="19" t="str">
        <x:v>EXCLUDE_NO_ACTIONABLE_SOURCE</x:v>
      </x:c>
      <x:c r="D35" s="19"/>
      <x:c r="E35" s="19" t="str">
        <x:v>未找到可执行的官方仓库、稳定编号或公开下载入口；不纳入最终下载清单</x:v>
      </x:c>
      <x:c r="F35" s="19"/>
      <x:c r="G35" s="19"/>
    </x:row>
    <x:row r="36" ht="52" customHeight="1">
      <x:c r="A36" s="19" t="str">
        <x:v>Crowdsourced</x:v>
      </x:c>
      <x:c r="B36" s="19"/>
      <x:c r="C36" s="19" t="str">
        <x:v>EXCLUDE_NO_ACTIONABLE_SOURCE</x:v>
      </x:c>
      <x:c r="D36" s="19"/>
      <x:c r="E36" s="19" t="str">
        <x:v>未找到可执行的官方仓库、稳定编号或公开下载入口；不纳入最终下载清单</x:v>
      </x:c>
      <x:c r="F36" s="19" t="str">
        <x:v>未给出</x:v>
      </x:c>
      <x:c r="G36" s="19" t="str">
        <x:v>crowdsourced EEG source reported by EEG-X/SAMBA</x:v>
      </x:c>
    </x:row>
    <x:row r="37" ht="52" customHeight="1">
      <x:c r="A37" s="19" t="str">
        <x:v>DEAP-valence</x:v>
      </x:c>
      <x:c r="B37" s="19"/>
      <x:c r="C37" s="19" t="str">
        <x:v>EXCLUDE_NO_ACTIONABLE_SOURCE</x:v>
      </x:c>
      <x:c r="D37" s="19"/>
      <x:c r="E37" s="19" t="str">
        <x:v>未找到可执行的官方仓库、稳定编号或公开下载入口；不纳入最终下载清单</x:v>
      </x:c>
      <x:c r="F37" s="19" t="str">
        <x:v>Queen Mary University of London, eecs.qmul.ac.uk/mmv/datasets/deap/ (requires signed EULA upload via dataset request form)</x:v>
      </x:c>
      <x:c r="G37" s="19" t="str">
        <x:v>High/low valence classification (2 classes)</x:v>
      </x:c>
    </x:row>
    <x:row r="38" ht="52" customHeight="1">
      <x:c r="A38" s="19" t="str">
        <x:v>DTU (Technical University of Denmark auditory attention EEG dataset)</x:v>
      </x:c>
      <x:c r="B38" s="19"/>
      <x:c r="C38" s="19" t="str">
        <x:v>EXCLUDE_NO_ACTIONABLE_SOURCE</x:v>
      </x:c>
      <x:c r="D38" s="19"/>
      <x:c r="E38" s="19" t="str">
        <x:v>未找到可执行的官方仓库、稳定编号或公开下载入口；不纳入最终下载清单</x:v>
      </x:c>
      <x:c r="F38" s="19"/>
      <x:c r="G38" s="19" t="str">
        <x:v>Auditory attention detection (AAD) / auditory spatial attention decoding: identify the attended speaker of two simultaneous speakers from EEG</x:v>
      </x:c>
    </x:row>
    <x:row r="39" ht="52" customHeight="1">
      <x:c r="A39" s="19" t="str">
        <x:v>EAV</x:v>
      </x:c>
      <x:c r="B39" s="19"/>
      <x:c r="C39" s="19" t="str">
        <x:v>EXCLUDE_NO_ACTIONABLE_SOURCE</x:v>
      </x:c>
      <x:c r="D39" s="19"/>
      <x:c r="E39" s="19" t="str">
        <x:v>未找到可执行的官方仓库、稳定编号或公开下载入口；不纳入最终下载清单</x:v>
      </x:c>
      <x:c r="F39" s="19"/>
      <x:c r="G39" s="19" t="str">
        <x:v>Multimodal emotion recognition (5-class: neutral, anger, happiness, sadness, calmness)</x:v>
      </x:c>
    </x:row>
    <x:row r="40" ht="52" customHeight="1">
      <x:c r="A40" s="19" t="str">
        <x:v>EEG-EMG-Fusion (Multimodal signal dataset for 11 intuitive movement tasks from single upper extremity during multiple recording sessions; Jeong et al. 2020)</x:v>
      </x:c>
      <x:c r="B40" s="19"/>
      <x:c r="C40" s="19" t="str">
        <x:v>EXCLUDE_NO_ACTIONABLE_SOURCE</x:v>
      </x:c>
      <x:c r="D40" s="19"/>
      <x:c r="E40" s="19" t="str">
        <x:v>未找到可执行的官方仓库、稳定编号或公开下载入口；不纳入最终下载清单</x:v>
      </x:c>
      <x:c r="F40" s="19"/>
      <x:c r="G40" s="19" t="str">
        <x:v>Concurrent EEG-EMG motor decoding: upper-extremity movement classification (3 main movements arm-reaching / hand-grasping / wrist-twisting; 11 sub-movements) and subject identification (25 subjects); cortico-muscular dependence estimation</x:v>
      </x:c>
    </x:row>
    <x:row r="41" ht="52" customHeight="1">
      <x:c r="A41" s="19" t="str">
        <x:v>EEG-Hallucination dataset (self-collected, MLLM hallucination verification)</x:v>
      </x:c>
      <x:c r="B41" s="19"/>
      <x:c r="C41" s="19" t="str">
        <x:v>EXCLUDE_NO_ACTIONABLE_SOURCE</x:v>
      </x:c>
      <x:c r="D41" s="19"/>
      <x:c r="E41" s="19" t="str">
        <x:v>未找到可执行的官方仓库、稳定编号或公开下载入口；不纳入最终下载清单</x:v>
      </x:c>
      <x:c r="F41" s="19"/>
      <x:c r="G41" s="19" t="str">
        <x:v>ERP analysis and word/sentence-level classification of hallucinated vs. non-hallucinated MLLM-generated content from EEG during a verification task</x:v>
      </x:c>
    </x:row>
    <x:row r="42" ht="52" customHeight="1">
      <x:c r="A42" s="19" t="str">
        <x:v>EEGCVPR40 (Spampinato</x:v>
      </x:c>
      <x:c r="B42" s="19"/>
      <x:c r="C42" s="19" t="str">
        <x:v>EXCLUDE_NO_ACTIONABLE_SOURCE</x:v>
      </x:c>
      <x:c r="D42" s="19"/>
      <x:c r="E42" s="19" t="str">
        <x:v>未找到可执行的官方仓库、稳定编号或公开下载入口；不纳入最终下载清单</x:v>
      </x:c>
      <x:c r="F42" s="19"/>
      <x:c r="G42" s="19" t="str">
        <x:v>EEG-based visual classification / retrieval (40-category ImageNet subset)</x:v>
      </x:c>
    </x:row>
    <x:row r="43" ht="52" customHeight="1">
      <x:c r="A43" s="19" t="str">
        <x:v>Emotion</x:v>
      </x:c>
      <x:c r="B43" s="19"/>
      <x:c r="C43" s="19" t="str">
        <x:v>EXCLUDE_NO_ACTIONABLE_SOURCE</x:v>
      </x:c>
      <x:c r="D43" s="19"/>
      <x:c r="E43" s="19" t="str">
        <x:v>未找到可执行的官方仓库、稳定编号或公开下载入口；不纳入最终下载清单</x:v>
      </x:c>
      <x:c r="F43" s="19"/>
      <x:c r="G43" s="19"/>
    </x:row>
    <x:row r="44" ht="52" customHeight="1">
      <x:c r="A44" s="19" t="str">
        <x:v>Error-Related EEG Dataset (Kueper et al., 2024) [ERN]</x:v>
      </x:c>
      <x:c r="B44" s="19"/>
      <x:c r="C44" s="19" t="str">
        <x:v>EXCLUDE_NO_ACTIONABLE_SOURCE</x:v>
      </x:c>
      <x:c r="D44" s="19"/>
      <x:c r="E44" s="19" t="str">
        <x:v>未找到可执行的官方仓库、稳定编号或公开下载入口；不纳入最终下载清单</x:v>
      </x:c>
      <x:c r="F44" s="19"/>
      <x:c r="G44" s="19" t="str">
        <x:v>2-class error-related negativity / ErrP classification (error vs correct movement)</x:v>
      </x:c>
    </x:row>
    <x:row r="45" ht="52" customHeight="1">
      <x:c r="A45" s="19" t="str">
        <x:v>ESAA (EEG-Speech Auditory Attention Detection database)</x:v>
      </x:c>
      <x:c r="B45" s="19"/>
      <x:c r="C45" s="19" t="str">
        <x:v>EXCLUDE_NO_ACTIONABLE_SOURCE</x:v>
      </x:c>
      <x:c r="D45" s="19"/>
      <x:c r="E45" s="19" t="str">
        <x:v>未找到可执行的官方仓库、稳定编号或公开下载入口；不纳入最终下载清单</x:v>
      </x:c>
      <x:c r="F45" s="19"/>
      <x:c r="G45" s="19" t="str">
        <x:v>Speech auditory attention decoding (Stage 3 downstream)</x:v>
      </x:c>
    </x:row>
    <x:row r="46" ht="52" customHeight="1">
      <x:c r="A46" s="19" t="str">
        <x:v>FoG</x:v>
      </x:c>
      <x:c r="B46" s="19"/>
      <x:c r="C46" s="19" t="str">
        <x:v>EXCLUDE_NO_ACTIONABLE_SOURCE</x:v>
      </x:c>
      <x:c r="D46" s="19"/>
      <x:c r="E46" s="19" t="str">
        <x:v>未找到可执行的官方仓库、稳定编号或公开下载入口；不纳入最终下载清单</x:v>
      </x:c>
      <x:c r="F46" s="19" t="str">
        <x:v>未给出</x:v>
      </x:c>
      <x:c r="G46" s="19" t="str">
        <x:v>freezing-of-gait related clinical decoding; EEG/EOG reported by Brant-X</x:v>
      </x:c>
    </x:row>
    <x:row r="47" ht="52" customHeight="1">
      <x:c r="A47" s="19" t="str">
        <x:v>Go-Nogo</x:v>
      </x:c>
      <x:c r="B47" s="19"/>
      <x:c r="C47" s="19" t="str">
        <x:v>EXCLUDE_NO_ACTIONABLE_SOURCE</x:v>
      </x:c>
      <x:c r="D47" s="19"/>
      <x:c r="E47" s="19" t="str">
        <x:v>未找到可执行的官方仓库、稳定编号或公开下载入口；不纳入最终下载清单</x:v>
      </x:c>
      <x:c r="F47" s="19"/>
      <x:c r="G47" s="19" t="str">
        <x:v>Rapid visual go/no-go categorization and recognition task (animal categorization: 50 targets vs 50 non-targets per series; and recognition of a single repeated photograph); pretraining</x:v>
      </x:c>
    </x:row>
    <x:row r="48" ht="52" customHeight="1">
      <x:c r="A48" s="19" t="str">
        <x:v>Harati (2015)</x:v>
      </x:c>
      <x:c r="B48" s="19"/>
      <x:c r="C48" s="19" t="str">
        <x:v>EXCLUDE_NO_ACTIONABLE_SOURCE</x:v>
      </x:c>
      <x:c r="D48" s="19"/>
      <x:c r="E48" s="19" t="str">
        <x:v>未找到可执行的官方仓库、稳定编号或公开下载入口；不纳入最终下载清单</x:v>
      </x:c>
      <x:c r="F48" s="19" t="str">
        <x:v>isip.piconepress.com/projects/nedc/html/tuh_eeg/ (rsync path: data/tuh_eeg/tuh_eeg_events/)</x:v>
      </x:c>
      <x:c r="G48" s="19" t="str">
        <x:v>Event</x:v>
      </x:c>
    </x:row>
    <x:row r="49" ht="52" customHeight="1">
      <x:c r="A49" s="19" t="str">
        <x:v>HFO</x:v>
      </x:c>
      <x:c r="B49" s="19"/>
      <x:c r="C49" s="19" t="str">
        <x:v>EXCLUDE_NO_ACTIONABLE_SOURCE</x:v>
      </x:c>
      <x:c r="D49" s="19"/>
      <x:c r="E49" s="19" t="str">
        <x:v>未找到可执行的官方仓库、稳定编号或公开下载入口；不纳入最终下载清单</x:v>
      </x:c>
      <x:c r="F49" s="19"/>
      <x:c r="G49" s="19" t="str">
        <x:v>Sleep EEG in pediatric epilepsy; pretraining</x:v>
      </x:c>
    </x:row>
    <x:row r="50" ht="52" customHeight="1">
      <x:c r="A50" s="19" t="str">
        <x:v>HUH (Helsinki University Hospital neonatal</x:v>
      </x:c>
      <x:c r="B50" s="19"/>
      <x:c r="C50" s="19" t="str">
        <x:v>EXCLUDE_NO_ACTIONABLE_SOURCE</x:v>
      </x:c>
      <x:c r="D50" s="19"/>
      <x:c r="E50" s="19" t="str">
        <x:v>未找到可执行的官方仓库、稳定编号或公开下载入口；不纳入最终下载清单</x:v>
      </x:c>
      <x:c r="F50" s="19"/>
      <x:c r="G50" s="19" t="str">
        <x:v>Seizure detection</x:v>
      </x:c>
    </x:row>
    <x:row r="51" ht="52" customHeight="1">
      <x:c r="A51" s="19" t="str">
        <x:v>Jaramillo2021</x:v>
      </x:c>
      <x:c r="B51" s="19"/>
      <x:c r="C51" s="19" t="str">
        <x:v>EXCLUDE_NO_ACTIONABLE_SOURCE</x:v>
      </x:c>
      <x:c r="D51" s="19"/>
      <x:c r="E51" s="19" t="str">
        <x:v>未找到可执行的官方仓库、稳定编号或公开下载入口；不纳入最终下载清单</x:v>
      </x:c>
      <x:c r="F51" s="19" t="str">
        <x:v>未给出</x:v>
      </x:c>
      <x:c r="G51" s="19" t="str">
        <x:v>clinical EEG + EOG; Brant-X pretraining source</x:v>
      </x:c>
    </x:row>
    <x:row r="52" ht="52" customHeight="1">
      <x:c r="A52" s="19" t="str">
        <x:v>KISS (Korea Image-based Sleep Study)</x:v>
      </x:c>
      <x:c r="B52" s="19"/>
      <x:c r="C52" s="19" t="str">
        <x:v>EXCLUDE_NO_ACTIONABLE_SOURCE</x:v>
      </x:c>
      <x:c r="D52" s="19"/>
      <x:c r="E52" s="19" t="str">
        <x:v>未找到可执行的官方仓库、稳定编号或公开下载入口；不纳入最终下载清单</x:v>
      </x:c>
      <x:c r="F52" s="19"/>
      <x:c r="G52" s="19" t="str">
        <x:v>Sleep FM pre-training and downstream sleep staging and SDB segmentation</x:v>
      </x:c>
    </x:row>
    <x:row r="53" ht="52" customHeight="1">
      <x:c r="A53" s="19" t="str">
        <x:v>KUL Auditory Decoding Dataset (Bollens et al., 2023)</x:v>
      </x:c>
      <x:c r="B53" s="19"/>
      <x:c r="C53" s="19" t="str">
        <x:v>EXCLUDE_NO_ACTIONABLE_SOURCE</x:v>
      </x:c>
      <x:c r="D53" s="19"/>
      <x:c r="E53" s="19" t="str">
        <x:v>未找到可执行的官方仓库、稳定编号或公开下载入口；不纳入最终下载清单</x:v>
      </x:c>
      <x:c r="F53" s="19"/>
      <x:c r="G53" s="19" t="str">
        <x:v>auditory attention / speech decoding [pre-training]</x:v>
      </x:c>
    </x:row>
    <x:row r="54" ht="52" customHeight="1">
      <x:c r="A54" s="19" t="str">
        <x:v>Large-5F</x:v>
      </x:c>
      <x:c r="B54" s="19"/>
      <x:c r="C54" s="19" t="str">
        <x:v>EXCLUDE_NO_ACTIONABLE_SOURCE</x:v>
      </x:c>
      <x:c r="D54" s="19"/>
      <x:c r="E54" s="19" t="str">
        <x:v>未找到可执行的官方仓库、稳定编号或公开下载入口；不纳入最终下载清单</x:v>
      </x:c>
      <x:c r="F54" s="19" t="str">
        <x:v>未给出</x:v>
      </x:c>
      <x:c r="G54" s="19" t="str">
        <x:v>motor imagery / motor execution; CoMET pretraining source</x:v>
      </x:c>
    </x:row>
    <x:row r="55" ht="52" customHeight="1">
      <x:c r="A55" s="19" t="str">
        <x:v>Large-MI-5F (Kaya et al., 2018)</x:v>
      </x:c>
      <x:c r="B55" s="19"/>
      <x:c r="C55" s="19" t="str">
        <x:v>EXCLUDE_NO_ACTIONABLE_SOURCE</x:v>
      </x:c>
      <x:c r="D55" s="19"/>
      <x:c r="E55" s="19" t="str">
        <x:v>未找到可执行的官方仓库、稳定编号或公开下载入口；不纳入最终下载清单</x:v>
      </x:c>
      <x:c r="F55" s="19"/>
      <x:c r="G55" s="19" t="str">
        <x:v>5-class finger movement motor imagery (thumb, index, middle, ring, pinkie) [pre-training]</x:v>
      </x:c>
    </x:row>
    <x:row r="56" ht="52" customHeight="1">
      <x:c r="A56" s="19" t="str">
        <x:v>Large-MI-Classic (Kaya et al., 2018)</x:v>
      </x:c>
      <x:c r="B56" s="19"/>
      <x:c r="C56" s="19" t="str">
        <x:v>EXCLUDE_NO_ACTIONABLE_SOURCE</x:v>
      </x:c>
      <x:c r="D56" s="19"/>
      <x:c r="E56" s="19" t="str">
        <x:v>未找到可执行的官方仓库、稳定编号或公开下载入口；不纳入最终下载清单</x:v>
      </x:c>
      <x:c r="F56" s="19"/>
      <x:c r="G56" s="19" t="str">
        <x:v>6-class motor imagery (left/right hand, left/right foot, tongue, rest) [pre-training]</x:v>
      </x:c>
    </x:row>
    <x:row r="57" ht="52" customHeight="1">
      <x:c r="A57" s="19" t="str">
        <x:v>Localize-MI</x:v>
      </x:c>
      <x:c r="B57" s="19"/>
      <x:c r="C57" s="19" t="str">
        <x:v>EXCLUDE_NO_ACTIONABLE_SOURCE</x:v>
      </x:c>
      <x:c r="D57" s="19"/>
      <x:c r="E57" s="19" t="str">
        <x:v>未找到可执行的官方仓库、稳定编号或公开下载入口；不纳入最终下载清单</x:v>
      </x:c>
      <x:c r="F57" s="19"/>
      <x:c r="G57" s="19" t="str">
        <x:v>EEG spatial super-resolution (high-density recovery; more extensive SR scales 2x/4x/8x/16x)</x:v>
      </x:c>
    </x:row>
    <x:row r="58" ht="52" customHeight="1">
      <x:c r="A58" s="19" t="str">
        <x:v>Lopez2015</x:v>
      </x:c>
      <x:c r="B58" s="19" t="str">
        <x:v>Lopez (2015)</x:v>
      </x:c>
      <x:c r="C58" s="19" t="str">
        <x:v>EXCLUDE_NO_ACTIONABLE_SOURCE</x:v>
      </x:c>
      <x:c r="D58" s="19"/>
      <x:c r="E58" s="19" t="str">
        <x:v>未找到可执行的官方仓库、稳定编号或公开下载入口；不纳入最终下载清单</x:v>
      </x:c>
      <x:c r="F58" s="19" t="str">
        <x:v>未给出</x:v>
      </x:c>
      <x:c r="G58" s="19" t="str">
        <x:v>clinical EEG; SingLEM pretraining source</x:v>
      </x:c>
    </x:row>
    <x:row r="59" ht="52" customHeight="1">
      <x:c r="A59" s="19" t="str">
        <x:v>MAD-EEG</x:v>
      </x:c>
      <x:c r="B59" s="19"/>
      <x:c r="C59" s="19" t="str">
        <x:v>EXCLUDE_NO_ACTIONABLE_SOURCE</x:v>
      </x:c>
      <x:c r="D59" s="19"/>
      <x:c r="E59" s="19" t="str">
        <x:v>未找到可执行的官方仓库、稳定编号或公开下载入口；不纳入最终下载清单</x:v>
      </x:c>
      <x:c r="F59" s="19"/>
      <x:c r="G59" s="19" t="str">
        <x:v>Cross-modal music retrieval / auditory attention to target instrument in polyphonic music (Stage 3 downstream)</x:v>
      </x:c>
    </x:row>
    <x:row r="60" ht="52" customHeight="1">
      <x:c r="A60" s="19" t="str">
        <x:v>MDME (Multimodal Dataset for Mixed Emotion Recognition)</x:v>
      </x:c>
      <x:c r="B60" s="19"/>
      <x:c r="C60" s="19" t="str">
        <x:v>EXCLUDE_NO_ACTIONABLE_SOURCE</x:v>
      </x:c>
      <x:c r="D60" s="19"/>
      <x:c r="E60" s="19" t="str">
        <x:v>未找到可执行的官方仓库、稳定编号或公开下载入口；不纳入最终下载清单</x:v>
      </x:c>
      <x:c r="F60" s="19"/>
      <x:c r="G60" s="19" t="str">
        <x:v>Mixed emotion recognition</x:v>
      </x:c>
    </x:row>
    <x:row r="61" ht="52" customHeight="1">
      <x:c r="A61" s="19" t="str">
        <x:v>MoBI (Mobile Brain-Body Imaging dataset during treadmill walking)</x:v>
      </x:c>
      <x:c r="B61" s="19"/>
      <x:c r="C61" s="19" t="str">
        <x:v>EXCLUDE_NO_ACTIONABLE_SOURCE</x:v>
      </x:c>
      <x:c r="D61" s="19"/>
      <x:c r="E61" s="19" t="str">
        <x:v>未找到可执行的官方仓库、稳定编号或公开下载入口；不纳入最终下载清单</x:v>
      </x:c>
      <x:c r="F61" s="19"/>
      <x:c r="G61" s="19" t="str">
        <x:v>Gait prediction / lower-limb motor imagery (regression of 12 joint angles: hip, knee, ankle bilateral)</x:v>
      </x:c>
    </x:row>
    <x:row r="62" ht="52" customHeight="1">
      <x:c r="A62" s="19" t="str">
        <x:v>N400 Speech</x:v>
      </x:c>
      <x:c r="B62" s="19"/>
      <x:c r="C62" s="19" t="str">
        <x:v>EXCLUDE_NO_ACTIONABLE_SOURCE</x:v>
      </x:c>
      <x:c r="D62" s="19"/>
      <x:c r="E62" s="19" t="str">
        <x:v>未找到可执行的官方仓库、稳定编号或公开下载入口；不纳入最终下载清单</x:v>
      </x:c>
      <x:c r="F62" s="19" t="str">
        <x:v>未给出</x:v>
      </x:c>
      <x:c r="G62" s="19" t="str">
        <x:v>N400 / speech-language ERP; BioCodec downstream source</x:v>
      </x:c>
    </x:row>
    <x:row r="63" ht="52" customHeight="1">
      <x:c r="A63" s="19" t="str">
        <x:v>P300 speller</x:v>
      </x:c>
      <x:c r="B63" s="19"/>
      <x:c r="C63" s="19" t="str">
        <x:v>EXCLUDE_NO_ACTIONABLE_SOURCE</x:v>
      </x:c>
      <x:c r="D63" s="19"/>
      <x:c r="E63" s="19" t="str">
        <x:v>未找到可执行的官方仓库、稳定编号或公开下载入口；不纳入最终下载清单</x:v>
      </x:c>
      <x:c r="F63" s="19"/>
      <x:c r="G63" s="19" t="str">
        <x:v>P300 speller and RSVP ERP [pre-training]</x:v>
      </x:c>
    </x:row>
    <x:row r="64" ht="52" customHeight="1">
      <x:c r="A64" s="19" t="str">
        <x:v>Pavlov2022</x:v>
      </x:c>
      <x:c r="B64" s="19"/>
      <x:c r="C64" s="19" t="str">
        <x:v>EXCLUDE_NO_ACTIONABLE_SOURCE</x:v>
      </x:c>
      <x:c r="D64" s="19"/>
      <x:c r="E64" s="19" t="str">
        <x:v>未找到可执行的官方仓库、稳定编号或公开下载入口；不纳入最终下载清单</x:v>
      </x:c>
      <x:c r="F64" s="19" t="str">
        <x:v>未给出</x:v>
      </x:c>
      <x:c r="G64" s="19" t="str">
        <x:v>resting-state EEG; NeuroRVQ pretraining source</x:v>
      </x:c>
    </x:row>
    <x:row r="65" ht="52" customHeight="1">
      <x:c r="A65" s="19" t="str">
        <x:v>PME4</x:v>
      </x:c>
      <x:c r="B65" s="19"/>
      <x:c r="C65" s="19" t="str">
        <x:v>EXCLUDE_NO_ACTIONABLE_SOURCE</x:v>
      </x:c>
      <x:c r="D65" s="19"/>
      <x:c r="E65" s="19" t="str">
        <x:v>未找到可执行的官方仓库、稳定编号或公开下载入口；不纳入最终下载清单</x:v>
      </x:c>
      <x:c r="F65" s="19"/>
      <x:c r="G65" s="19" t="str">
        <x:v>Emotion analysis / recognition from EEG with audio (Stage 3 downstream)</x:v>
      </x:c>
    </x:row>
    <x:row r="66" ht="52" customHeight="1">
      <x:c r="A66" s="19" t="str">
        <x:v>Raw EEG Data (Trujillo 2020)</x:v>
      </x:c>
      <x:c r="B66" s="19"/>
      <x:c r="C66" s="19" t="str">
        <x:v>EXCLUDE_NO_ACTIONABLE_SOURCE</x:v>
      </x:c>
      <x:c r="D66" s="19"/>
      <x:c r="E66" s="19" t="str">
        <x:v>未找到可执行的官方仓库、稳定编号或公开下载入口；不纳入最终下载清单</x:v>
      </x:c>
      <x:c r="F66" s="19"/>
      <x:c r="G66" s="19" t="str">
        <x:v>Categorization tasks (Information-Integration categorization and Rule-Based categorization)</x:v>
      </x:c>
    </x:row>
    <x:row r="67" ht="52" customHeight="1">
      <x:c r="A67" s="19" t="str">
        <x:v>Regulation of Brain Cognitive States EEG Dataset</x:v>
      </x:c>
      <x:c r="B67" s="19"/>
      <x:c r="C67" s="19" t="str">
        <x:v>EXCLUDE_NO_ACTIONABLE_SOURCE</x:v>
      </x:c>
      <x:c r="D67" s="19"/>
      <x:c r="E67" s="19" t="str">
        <x:v>未找到可执行的官方仓库、稳定编号或公开下载入口；不纳入最终下载清单</x:v>
      </x:c>
      <x:c r="F67" s="19"/>
      <x:c r="G67" s="19" t="str">
        <x:v>Working-memory (n-back) task under multi-sensory stimulation (auditory, gustatory, olfactory)</x:v>
      </x:c>
    </x:row>
    <x:row r="68" ht="52" customHeight="1">
      <x:c r="A68" s="19" t="str">
        <x:v>Resting State EEG (eyes closed</x:v>
      </x:c>
      <x:c r="B68" s="19"/>
      <x:c r="C68" s="19" t="str">
        <x:v>EXCLUDE_NO_ACTIONABLE_SOURCE</x:v>
      </x:c>
      <x:c r="D68" s="19" t="str">
        <x:v>DOI:10.18738/T8/HAYF5H</x:v>
      </x:c>
      <x:c r="E68" s="19" t="str">
        <x:v>未找到可执行的官方仓库、稳定编号或公开下载入口；不纳入最终下载清单</x:v>
      </x:c>
      <x:c r="F68" s="19"/>
      <x:c r="G68" s="19" t="str">
        <x:v>Pre-training (resting-state EEG)</x:v>
      </x:c>
    </x:row>
    <x:row r="69" ht="52" customHeight="1">
      <x:c r="A69" s="19" t="str">
        <x:v>ROAMM (Reading Observed At Mindless Moments)</x:v>
      </x:c>
      <x:c r="B69" s="19"/>
      <x:c r="C69" s="19" t="str">
        <x:v>EXCLUDE_NO_ACTIONABLE_SOURCE</x:v>
      </x:c>
      <x:c r="D69" s="19"/>
      <x:c r="E69" s="19" t="str">
        <x:v>未找到可执行的官方仓库、稳定编号或公开下载入口；不纳入最终下载清单</x:v>
      </x:c>
      <x:c r="F69" s="19"/>
      <x:c r="G69" s="19" t="str">
        <x:v>Mind-wandering/attention decoding + EEG-to-text during naturalistic reading</x:v>
      </x:c>
    </x:row>
    <x:row r="70" ht="52" customHeight="1">
      <x:c r="A70" s="19" t="str">
        <x:v>RSVP-based BCI Benchmark Dataset (Zhang et al. 2020, Tsinghua)</x:v>
      </x:c>
      <x:c r="B70" s="19"/>
      <x:c r="C70" s="19" t="str">
        <x:v>EXCLUDE_NO_ACTIONABLE_SOURCE</x:v>
      </x:c>
      <x:c r="D70" s="19"/>
      <x:c r="E70" s="19" t="str">
        <x:v>未找到可执行的官方仓库、稳定编号或公开下载入口；不纳入最终下载清单</x:v>
      </x:c>
      <x:c r="F70" s="19"/>
      <x:c r="G70" s="19" t="str">
        <x:v>RSVP target image detection (binary target/non-target ERP classification of street-view images with vs. without humans); used here to simulate an RSVP typing/spelling task</x:v>
      </x:c>
    </x:row>
    <x:row r="71" ht="52" customHeight="1">
      <x:c r="A71" s="19" t="str">
        <x:v>Self-Calibrating BCI EEG-Face Mental-Target Dataset (CURSOR</x:v>
      </x:c>
      <x:c r="B71" s="19"/>
      <x:c r="C71" s="19" t="str">
        <x:v>EXCLUDE_NO_ACTIONABLE_SOURCE</x:v>
      </x:c>
      <x:c r="D71" s="19"/>
      <x:c r="E71" s="19" t="str">
        <x:v>未找到可执行的官方仓库、稳定编号或公开下载入口；不纳入最终下载清单</x:v>
      </x:c>
      <x:c r="F71" s="19"/>
      <x:c r="G71" s="19" t="str">
        <x:v>Self-calibrating BCI mental-target recovery: recovering/ranking an unknown mental target (a face image held in mind) from EEG responses to face stimuli in an RSVP oddball paradigm evoking a P3-like response; participants mentally counted target-matching faces</x:v>
      </x:c>
    </x:row>
    <x:row r="72" ht="52" customHeight="1">
      <x:c r="A72" s="19" t="str">
        <x:v>Shah (2018)</x:v>
      </x:c>
      <x:c r="B72" s="19"/>
      <x:c r="C72" s="19" t="str">
        <x:v>EXCLUDE_NO_ACTIONABLE_SOURCE</x:v>
      </x:c>
      <x:c r="D72" s="19"/>
      <x:c r="E72" s="19" t="str">
        <x:v>未找到可执行的官方仓库、稳定编号或公开下载入口；不纳入最终下载清单</x:v>
      </x:c>
      <x:c r="F72" s="19" t="str">
        <x:v>isip.piconepress.com/projects/nedc/html/tuh_eeg/ (rsync path: data/tuh_eeg/tuh_eeg_seizure/)</x:v>
      </x:c>
      <x:c r="G72" s="19" t="str">
        <x:v>Seizure</x:v>
      </x:c>
    </x:row>
    <x:row r="73" ht="52" customHeight="1">
      <x:c r="A73" s="19" t="str">
        <x:v>SVUH-UCD (St. Vincent's University Hospital</x:v>
      </x:c>
      <x:c r="B73" s="19"/>
      <x:c r="C73" s="19" t="str">
        <x:v>EXCLUDE_NO_ACTIONABLE_SOURCE</x:v>
      </x:c>
      <x:c r="D73" s="19" t="str">
        <x:v>DOI:10.13026/C26C7D</x:v>
      </x:c>
      <x:c r="E73" s="19" t="str">
        <x:v>未找到可执行的官方仓库、稳定编号或公开下载入口；不纳入最终下载清单</x:v>
      </x:c>
      <x:c r="F73" s="19"/>
      <x:c r="G73" s="19" t="str">
        <x:v>Automated sleep staging (5-class) in subjects with sleep disorders (sleep apnea)</x:v>
      </x:c>
    </x:row>
    <x:row r="74" ht="52" customHeight="1">
      <x:c r="A74" s="19" t="str">
        <x:v>Target Versus Non-Target (Brain Invaders bi2015a)</x:v>
      </x:c>
      <x:c r="B74" s="19"/>
      <x:c r="C74" s="19" t="str">
        <x:v>EXCLUDE_NO_ACTIONABLE_SOURCE</x:v>
      </x:c>
      <x:c r="D74" s="19"/>
      <x:c r="E74" s="19" t="str">
        <x:v>未找到可执行的官方仓库、稳定编号或公开下载入口；不纳入最终下载清单</x:v>
      </x:c>
      <x:c r="F74" s="19"/>
      <x:c r="G74" s="19" t="str">
        <x:v>Visual P300 BCI (oddball paradigm, target vs non-target)</x:v>
      </x:c>
    </x:row>
    <x:row r="75" ht="52" customHeight="1">
      <x:c r="A75" s="19" t="str">
        <x:v>THU-EEG</x:v>
      </x:c>
      <x:c r="B75" s="19"/>
      <x:c r="C75" s="19" t="str">
        <x:v>EXCLUDE_NO_ACTIONABLE_SOURCE</x:v>
      </x:c>
      <x:c r="D75" s="19" t="str">
        <x:v>DOI:10.3389/fnins.2016.00196</x:v>
      </x:c>
      <x:c r="E75" s="19" t="str">
        <x:v>未找到可执行的官方仓库、稳定编号或公开下载入口；不纳入最终下载清单</x:v>
      </x:c>
      <x:c r="F75" s="19" t="str">
        <x:v>www.nedcdata.org</x:v>
      </x:c>
      <x:c r="G75" s="19" t="str">
        <x:v>Clinical EEG</x:v>
      </x:c>
    </x:row>
    <x:row r="76" ht="52" customHeight="1">
      <x:c r="A76" s="19" t="str">
        <x:v>Upper-Limb Motor Execution</x:v>
      </x:c>
      <x:c r="B76" s="19"/>
      <x:c r="C76" s="19" t="str">
        <x:v>EXCLUDE_NO_ACTIONABLE_SOURCE</x:v>
      </x:c>
      <x:c r="D76" s="19"/>
      <x:c r="E76" s="19" t="str">
        <x:v>未找到可执行的官方仓库、稳定编号或公开下载入口；不纳入最终下载清单</x:v>
      </x:c>
      <x:c r="F76" s="19"/>
      <x:c r="G76" s="19" t="str">
        <x:v>7-class upper-limb motor execution and motor imagery (6 arm movements + rest)</x:v>
      </x:c>
    </x:row>
    <x:row r="77" ht="52" customHeight="1">
      <x:c r="A77" s="19" t="str">
        <x:v>Veloso2017</x:v>
      </x:c>
      <x:c r="B77" s="19" t="str">
        <x:v>Veloso (2017)</x:v>
      </x:c>
      <x:c r="C77" s="19" t="str">
        <x:v>EXCLUDE_NO_ACTIONABLE_SOURCE</x:v>
      </x:c>
      <x:c r="D77" s="19"/>
      <x:c r="E77" s="19" t="str">
        <x:v>未找到可执行的官方仓库、稳定编号或公开下载入口；不纳入最终下载清单</x:v>
      </x:c>
      <x:c r="F77" s="19" t="str">
        <x:v>未给出</x:v>
      </x:c>
      <x:c r="G77" s="19" t="str">
        <x:v>clinical EEG; SingLEM pretraining source</x:v>
      </x:c>
    </x:row>
    <x:row r="78" ht="52" customHeight="1">
      <x:c r="A78" s="19" t="str">
        <x:v>von Weltin (2017)</x:v>
      </x:c>
      <x:c r="B78" s="19"/>
      <x:c r="C78" s="19" t="str">
        <x:v>EXCLUDE_NO_ACTIONABLE_SOURCE</x:v>
      </x:c>
      <x:c r="D78" s="19"/>
      <x:c r="E78" s="19" t="str">
        <x:v>未找到可执行的官方仓库、稳定编号或公开下载入口；不纳入最终下载清单</x:v>
      </x:c>
      <x:c r="F78" s="19" t="str">
        <x:v>isip.piconepress.com/projects/nedc/html/tuh_eeg/ (rsync path: data/tuh_eeg/tuh_eeg_slowing/, i.e. TUH EEG Slowing Corpus, TUSL)</x:v>
      </x:c>
      <x:c r="G78" s="19" t="str">
        <x:v>Slowing</x:v>
      </x:c>
    </x:row>
    <x:row r="79" ht="52" customHeight="1">
      <x:c r="A79" s="19" t="str">
        <x:v>zenodo10260082 (Imperial College ear-EEG dataset for AAD)</x:v>
      </x:c>
      <x:c r="B79" s="19"/>
      <x:c r="C79" s="19" t="str">
        <x:v>EXCLUDE_NO_ACTIONABLE_SOURCE</x:v>
      </x:c>
      <x:c r="D79" s="19"/>
      <x:c r="E79" s="19" t="str">
        <x:v>未找到可执行的官方仓库、稳定编号或公开下载入口；不纳入最终下载清单</x:v>
      </x:c>
      <x:c r="F79" s="19"/>
      <x:c r="G79" s="19" t="str">
        <x:v>Auditory attention decoding (speech AAD) (Stage 2 multimodal alignment)</x:v>
      </x:c>
    </x:row>
    <x:row r="80" ht="52" customHeight="1">
      <x:c r="A80" s="19" t="str">
        <x:v>zenodo4518754 (Ultra high-density 255-channel EEG-AAD dataset)</x:v>
      </x:c>
      <x:c r="B80" s="19"/>
      <x:c r="C80" s="19" t="str">
        <x:v>EXCLUDE_NO_ACTIONABLE_SOURCE</x:v>
      </x:c>
      <x:c r="D80" s="19"/>
      <x:c r="E80" s="19" t="str">
        <x:v>未找到可执行的官方仓库、稳定编号或公开下载入口；不纳入最终下载清单</x:v>
      </x:c>
      <x:c r="F80" s="19"/>
      <x:c r="G80" s="19" t="str">
        <x:v>Auditory attention decoding (speech AAD) (Stage 2 multimodal alignment)</x:v>
      </x:c>
    </x:row>
    <x:row r="81" ht="52" customHeight="1">
      <x:c r="A81" s="19" t="str">
        <x:v>Simultaneous EEG-fMRI Multi-Source Interference Task Summary Dataset</x:v>
      </x:c>
      <x:c r="B81" s="19" t="str">
        <x:v>Dryad c1m3b; MSIT EEG-fMRI</x:v>
      </x:c>
      <x:c r="C81" s="19" t="str">
        <x:v>EXCLUDE_NO_RAW_EEG_FMRI</x:v>
      </x:c>
      <x:c r="D81" s="19" t="str">
        <x:v>Dryad:c1m3b | DOI:10.5061/dryad.c1m3b</x:v>
      </x:c>
      <x:c r="E81" s="19" t="str">
        <x:v>官方 Dryad 记录当前只提供一个 46.59 KB Excel 汇总文件，不含原始 EEG 或 fMRI；不作为 foundation model 预训练下载单元。</x:v>
      </x:c>
      <x:c r="F81" s="19" t="str">
        <x:v>https://datadryad.org/dataset/doi:10.5061/dryad.c1m3b</x:v>
      </x:c>
      <x:c r="G81" s="19" t="str">
        <x:v>Multi-Source Interference Task，control versus interference；论文实验为 simultaneous EEG-fMRI</x:v>
      </x:c>
    </x:row>
    <x:row r="82" ht="52" customHeight="1">
      <x:c r="A82" s="19" t="str">
        <x:v>Gesture-Speech Integration EEG-informed fMRI Derived Dataset</x:v>
      </x:c>
      <x:c r="B82" s="19" t="str">
        <x:v>Zenodo 5031815; gesture-speech integration</x:v>
      </x:c>
      <x:c r="C82" s="19" t="str">
        <x:v>EXCLUDE_DERIVED_ONLY</x:v>
      </x:c>
      <x:c r="D82" s="19" t="str">
        <x:v>Zenodo:5031815 | DOI:10.5281/zenodo.5031815</x:v>
      </x:c>
      <x:c r="E82" s="19" t="str">
        <x:v>官方 Zenodo 记录仅含约 64.4 MB 的派生 alpha 分析结果，不是原始 simultaneous EEG-fMRI；不作为原始预训练下载单元。</x:v>
      </x:c>
      <x:c r="F82" s="19" t="str">
        <x:v>https://zenodo.org/records/5031815</x:v>
      </x:c>
      <x:c r="G82" s="19" t="str">
        <x:v>Gesture-speech integration（GG/GR/SG 视频）；论文实验为 simultaneous EEG-fMRI</x:v>
      </x:c>
    </x:row>
    <x:row r="83" ht="52" customHeight="1">
      <x:c r="A83" s="19" t="str">
        <x:v>EEG-0029 Neonatal EEG Seizure Dataset</x:v>
      </x:c>
      <x:c r="B83" s="19" t="str">
        <x:v>EEG-0005 A dataset of neonatal EEG recordings with seizure annotations</x:v>
      </x:c>
      <x:c r="C83" s="19" t="str">
        <x:v>EXCLUDE_DUPLICATE</x:v>
      </x:c>
      <x:c r="D83" s="19" t="str">
        <x:v>User-confirmed release relationship: EEG-0005 is the newer version of EEG-0029</x:v>
      </x:c>
      <x:c r="E83" s="19" t="str">
        <x:v>Confirmed same download unit; merged into EEG-0005 on 2026-08-04</x:v>
      </x:c>
      <x:c r="F83" s="19" t="str">
        <x:v>https://zenodo.org/records/2547147</x:v>
      </x:c>
      <x:c r="G83" s="19" t="str">
        <x:v>neonatal seizure annotation / seizure detection</x:v>
      </x:c>
    </x:row>
    <x:row r="84" ht="52" customHeight="1">
      <x:c r="A84" s="19" t="str">
        <x:v>EEG-0037 University of Bonn EEG Database (Andrzejak et al. 2001)</x:v>
      </x:c>
      <x:c r="B84" s="19" t="str">
        <x:v>EEG-0008 Bonn EEG Seizure Dataset</x:v>
      </x:c>
      <x:c r="C84" s="19" t="str">
        <x:v>EXCLUDE_DUPLICATE</x:v>
      </x:c>
      <x:c r="D84" s="19" t="str">
        <x:v>Official University of Bonn landing page and Andrzejak 2001 corpus identity</x:v>
      </x:c>
      <x:c r="E84" s="19" t="str">
        <x:v>Confirmed same download unit; merged into EEG-0008 on 2026-08-04</x:v>
      </x:c>
      <x:c r="F84" s="19" t="str">
        <x:v>https://www.ukbonn.de/epileptologie/arbeitsgruppen/ag-lehnertz-neurophysik/downloads/</x:v>
      </x:c>
      <x:c r="G84" s="19" t="str">
        <x:v>Epileptic seizure classification</x:v>
      </x:c>
    </x:row>
    <x:row r="85" ht="52" customHeight="1">
      <x:c r="A85" s="19" t="str">
        <x:v>EEG-0019 Lin (2025)</x:v>
      </x:c>
      <x:c r="B85" s="19" t="str">
        <x:v>EEG-0016 vEpiSet (Interictal Epileptiform Discharge EEG Dataset)</x:v>
      </x:c>
      <x:c r="C85" s="19" t="str">
        <x:v>EXCLUDE_DUPLICATE</x:v>
      </x:c>
      <x:c r="D85" s="19" t="str">
        <x:v>Figshare article 28069568</x:v>
      </x:c>
      <x:c r="E85" s="19" t="str">
        <x:v>Confirmed same download unit; merged into EEG-0016 on 2026-08-04</x:v>
      </x:c>
      <x:c r="F85" s="19" t="str">
        <x:v>https://doi.org/10.6084/m9.figshare.28069568</x:v>
      </x:c>
      <x:c r="G85" s="19" t="str">
        <x:v>Epilepsy (IED)</x:v>
      </x:c>
    </x:row>
    <x:row r="86" ht="52" customHeight="1">
      <x:c r="A86" s="19" t="str">
        <x:v>EEG-0038 vEpiSet (IED)</x:v>
      </x:c>
      <x:c r="B86" s="19" t="str">
        <x:v>EEG-0016 vEpiSet (Interictal Epileptiform Discharge EEG Dataset)</x:v>
      </x:c>
      <x:c r="C86" s="19" t="str">
        <x:v>EXCLUDE_DUPLICATE</x:v>
      </x:c>
      <x:c r="D86" s="19" t="str">
        <x:v>Figshare article 28069568</x:v>
      </x:c>
      <x:c r="E86" s="19" t="str">
        <x:v>Confirmed same download unit; merged into EEG-0016 on 2026-08-04</x:v>
      </x:c>
      <x:c r="F86" s="19" t="str">
        <x:v>https://springernature.figshare.com/articles/dataset/An_EEG_dataset_for_interictal_epileptiform_discharge.../28069568</x:v>
      </x:c>
      <x:c r="G86" s="19" t="str">
        <x:v>Interictal epileptiform discharge (IED) detection</x:v>
      </x:c>
    </x:row>
    <x:row r="87" ht="52" customHeight="1">
      <x:c r="A87" s="19" t="str">
        <x:v>EEG-0046 P-ADIC</x:v>
      </x:c>
      <x:c r="B87" s="19" t="str">
        <x:v>EEG-0045 EEG p-adic quantum potential accurately identifies depression, schizophrenia and cognitive decline</x:v>
      </x:c>
      <x:c r="C87" s="19" t="str">
        <x:v>EXCLUDE_DUPLICATE</x:v>
      </x:c>
      <x:c r="D87" s="19" t="str">
        <x:v>Project download-content audit: P-ADIC source duplication</x:v>
      </x:c>
      <x:c r="E87" s="19" t="str">
        <x:v>Confirmed same download unit; merged into EEG-0045 on 2026-08-04</x:v>
      </x:c>
      <x:c r="F87" s="19" t="str">
        <x:v>[Dryad P-ADIC dataset](https://datadryad.org/dataset/doi:10.5061/dryad.8gtht76pw)</x:v>
      </x:c>
      <x:c r="G87" s="19" t="str">
        <x:v>AD / MCI / healthy control / schizophrenia / depression classification；可构造 neurodegeneration vs psychiatric differential diagnosis</x:v>
      </x:c>
    </x:row>
    <x:row r="88" ht="52" customHeight="1">
      <x:c r="A88" s="19" t="str">
        <x:v>EEG-0049 Adult ADHD Resting</x:v>
      </x:c>
      <x:c r="B88" s="19" t="str">
        <x:v>EEG-0048 Adult ADHD EEG</x:v>
      </x:c>
      <x:c r="C88" s="19" t="str">
        <x:v>EXCLUDE_DUPLICATE</x:v>
      </x:c>
      <x:c r="D88" s="19" t="str">
        <x:v>Mendeley dataset 6k4g25fhzg</x:v>
      </x:c>
      <x:c r="E88" s="19" t="str">
        <x:v>Confirmed same download unit; merged into EEG-0048 on 2026-08-04</x:v>
      </x:c>
      <x:c r="F88" s="19" t="str">
        <x:v>[Mendeley Data 6k4g25fhzg](https://data.mendeley.com/datasets/6k4g25fhzg/1)</x:v>
      </x:c>
      <x:c r="G88" s="19" t="str">
        <x:v>ADHD vs healthy control；eyes-open/eyes-closed；cognitive challenge；sound listening</x:v>
      </x:c>
    </x:row>
    <x:row r="89" ht="52" customHeight="1">
      <x:c r="A89" s="19" t="str">
        <x:v>EEG-0072 BNCI2014_008</x:v>
      </x:c>
      <x:c r="B89" s="19" t="str">
        <x:v>EEG-0071 BNCI 008-2014 (P300 speller, ALS)</x:v>
      </x:c>
      <x:c r="C89" s="19" t="str">
        <x:v>EXCLUDE_DUPLICATE</x:v>
      </x:c>
      <x:c r="D89" s="19" t="str">
        <x:v>BNCI 008-2014 / MOABB BNCI2014_008</x:v>
      </x:c>
      <x:c r="E89" s="19" t="str">
        <x:v>Confirmed same download unit; merged into EEG-0071 on 2026-08-04</x:v>
      </x:c>
      <x:c r="F89" s="19" t="str">
        <x:v>https://bnci-horizon-2020.eu/database/data-sets</x:v>
      </x:c>
      <x:c r="G89" s="19" t="str">
        <x:v>P300 / ERP target vs non-target; ALS P300 speller</x:v>
      </x:c>
    </x:row>
    <x:row r="90" ht="52" customHeight="1">
      <x:c r="A90" s="19" t="str">
        <x:v>EEG-0088 Monitoring ErrP</x:v>
      </x:c>
      <x:c r="B90" s="19" t="str">
        <x:v>EEG-0073 BNCI2015_013 (Error-Related Potentials)</x:v>
      </x:c>
      <x:c r="C90" s="19" t="str">
        <x:v>EXCLUDE_DUPLICATE</x:v>
      </x:c>
      <x:c r="D90" s="19" t="str">
        <x:v>BNCI 013-2015 / MOABB BNCI2015_013</x:v>
      </x:c>
      <x:c r="E90" s="19" t="str">
        <x:v>Confirmed same download unit; merged into EEG-0073 on 2026-08-04</x:v>
      </x:c>
      <x:c r="F90" s="19" t="str">
        <x:v>https://bnci-horizon-2020.eu/database/data-sets (013-2015)</x:v>
      </x:c>
      <x:c r="G90" s="19" t="str">
        <x:v>Error-related potential detection (cursor feedback)</x:v>
      </x:c>
    </x:row>
    <x:row r="91" ht="52" customHeight="1">
      <x:c r="A91" s="19" t="str">
        <x:v>EEG-0099 Tinnitus-EEG</x:v>
      </x:c>
      <x:c r="B91" s="19" t="str">
        <x:v>EEG-0098 Tinnitus Acoustic Therapy EEG Database</x:v>
      </x:c>
      <x:c r="C91" s="19" t="str">
        <x:v>EXCLUDE_DUPLICATE</x:v>
      </x:c>
      <x:c r="D91" s="19" t="str">
        <x:v>Mendeley dataset kj443jc4yc</x:v>
      </x:c>
      <x:c r="E91" s="19" t="str">
        <x:v>Confirmed same download unit; merged into EEG-0098 on 2026-08-04</x:v>
      </x:c>
      <x:c r="F91" s="19" t="str">
        <x:v>https://data.mendeley.com/datasets/kj443jc4yc/2</x:v>
      </x:c>
      <x:c r="G91" s="19" t="str">
        <x:v>Acoustic therapy for tinnitus (longitudinal)</x:v>
      </x:c>
    </x:row>
    <x:row r="92" ht="52" customHeight="1">
      <x:c r="A92" s="19" t="str">
        <x:v>EEG-0315 Cuevas-Romero (2022)</x:v>
      </x:c>
      <x:c r="B92" s="19" t="str">
        <x:v>EEG-0098 Tinnitus Acoustic Therapy EEG Database</x:v>
      </x:c>
      <x:c r="C92" s="19" t="str">
        <x:v>EXCLUDE_DUPLICATE</x:v>
      </x:c>
      <x:c r="D92" s="19" t="str">
        <x:v>Mendeley dataset kj443jc4yc</x:v>
      </x:c>
      <x:c r="E92" s="19" t="str">
        <x:v>Confirmed same download unit; merged into EEG-0098 on 2026-08-04</x:v>
      </x:c>
      <x:c r="F92" s="19" t="str">
        <x:v>https://data.mendeley.com/datasets/kj443jc4yc/1</x:v>
      </x:c>
      <x:c r="G92" s="19" t="str">
        <x:v>Resting-state (eyes-open/closed) + passive music + acoustic therapy listening + 3 soundscape conditions</x:v>
      </x:c>
    </x:row>
    <x:row r="93" ht="52" customHeight="1">
      <x:c r="A93" s="19" t="str">
        <x:v>EEG-0184 MAHNOB-HCI: A Multimodal Database for Affect Recognition and Implicit Tagging</x:v>
      </x:c>
      <x:c r="B93" s="19" t="str">
        <x:v>EEG-0129 MAHNOB-HCI</x:v>
      </x:c>
      <x:c r="C93" s="19" t="str">
        <x:v>EXCLUDE_DUPLICATE</x:v>
      </x:c>
      <x:c r="D93" s="19" t="str">
        <x:v>MAHNOB-HCI official database identity</x:v>
      </x:c>
      <x:c r="E93" s="19" t="str">
        <x:v>Confirmed same download unit; merged into EEG-0129 on 2026-08-04</x:v>
      </x:c>
      <x:c r="F93" s="19" t="str">
        <x:v>https://mahnob-db.eu/</x:v>
      </x:c>
      <x:c r="G93" s="19" t="str">
        <x:v>Emotion recognition / affect recognition</x:v>
      </x:c>
    </x:row>
    <x:row r="94" ht="52" customHeight="1">
      <x:c r="A94" s="19" t="str">
        <x:v>EEG-0168 Tao (2024)</x:v>
      </x:c>
      <x:c r="B94" s="19" t="str">
        <x:v>EEG-0162 MPDB (driving)</x:v>
      </x:c>
      <x:c r="C94" s="19" t="str">
        <x:v>EXCLUDE_DUPLICATE</x:v>
      </x:c>
      <x:c r="D94" s="19" t="str">
        <x:v>MPDB paper DOI 10.1038/s41597-024-03222-2 and Figshare 22193119</x:v>
      </x:c>
      <x:c r="E94" s="19" t="str">
        <x:v>Confirmed same download unit; merged into EEG-0162 on 2026-08-04</x:v>
      </x:c>
      <x:c r="F94" s="19" t="str">
        <x:v>https://doi.org/10.6084/m9.figshare.22193119.v3</x:v>
      </x:c>
      <x:c r="G94" s="19" t="str">
        <x:v>Driving Task</x:v>
      </x:c>
    </x:row>
    <x:row r="95" ht="52" customHeight="1">
      <x:c r="A95" s="19" t="str">
        <x:v>EEG-0546 He (2025)</x:v>
      </x:c>
      <x:c r="B95" s="19" t="str">
        <x:v>EEG-0330 EEGET-RSOD</x:v>
      </x:c>
      <x:c r="C95" s="19" t="str">
        <x:v>EXCLUDE_DUPLICATE</x:v>
      </x:c>
      <x:c r="D95" s="19" t="str">
        <x:v>Figshare article 26943565</x:v>
      </x:c>
      <x:c r="E95" s="19" t="str">
        <x:v>Confirmed same download unit; merged into EEG-0330 on 2026-08-04</x:v>
      </x:c>
      <x:c r="F95" s="19" t="str">
        <x:v>https://doi.org/10.6084/m9.figshare.26943565</x:v>
      </x:c>
      <x:c r="G95" s="19" t="str">
        <x:v>Visual: Object ID</x:v>
      </x:c>
    </x:row>
    <x:row r="96" ht="52" customHeight="1">
      <x:c r="A96" s="19" t="str">
        <x:v>EEG-0347 Telesford (2023)</x:v>
      </x:c>
      <x:c r="B96" s="19" t="str">
        <x:v>EEG-0346 NATVIEW (EEG-fMRI)</x:v>
      </x:c>
      <x:c r="C96" s="19" t="str">
        <x:v>EXCLUDE_DUPLICATE</x:v>
      </x:c>
      <x:c r="D96" s="19" t="str">
        <x:v>NATVIEW/NITRC official project identity</x:v>
      </x:c>
      <x:c r="E96" s="19" t="str">
        <x:v>Confirmed same download unit; merged into EEG-0346 on 2026-08-04</x:v>
      </x:c>
      <x:c r="F96" s="19" t="str">
        <x:v>https://fcon_1000.projects.nitrc.org/indi/retro/nat_view.html</x:v>
      </x:c>
      <x:c r="G96" s="19" t="str">
        <x:v>Visual: Movie, rest, Inscapes, checkerboard</x:v>
      </x:c>
    </x:row>
    <x:row r="97" ht="52" customHeight="1">
      <x:c r="A97" s="19" t="str">
        <x:v>EEG-0417 Yi (2025)</x:v>
      </x:c>
      <x:c r="B97" s="19" t="str">
        <x:v>EEG-0399 MI-Joints (EEG-fNIRS)</x:v>
      </x:c>
      <x:c r="C97" s="19" t="str">
        <x:v>EXCLUDE_DUPLICATE</x:v>
      </x:c>
      <x:c r="D97" s="19" t="str">
        <x:v>Figshare article 24123303</x:v>
      </x:c>
      <x:c r="E97" s="19" t="str">
        <x:v>Confirmed same download unit; merged into EEG-0399 on 2026-08-04</x:v>
      </x:c>
      <x:c r="F97" s="19" t="str">
        <x:v>https://figshare.com/articles/dataset/Data/24123303</x:v>
      </x:c>
      <x:c r="G97" s="19" t="str">
        <x:v>MI</x:v>
      </x:c>
    </x:row>
    <x:row r="98" ht="52" customHeight="1">
      <x:c r="A98" s="19" t="str">
        <x:v>EEG-0367 BNCI2014002</x:v>
      </x:c>
      <x:c r="B98" s="19" t="str">
        <x:v>EEG-0363 BNCI 002-2014 (Two-class MI)</x:v>
      </x:c>
      <x:c r="C98" s="19" t="str">
        <x:v>EXCLUDE_DUPLICATE</x:v>
      </x:c>
      <x:c r="D98" s="19" t="str">
        <x:v>BNCI 002-2014 / BNCI2014002</x:v>
      </x:c>
      <x:c r="E98" s="19" t="str">
        <x:v>Confirmed same download unit; merged into EEG-0363 on 2026-08-04</x:v>
      </x:c>
      <x:c r="F98" s="19" t="str">
        <x:v>[BNCI Horizon Data sets](https://bnci-horizon-2020.eu/database/data-sets)</x:v>
      </x:c>
      <x:c r="G98" s="19" t="str">
        <x:v>Motor imagery decoding (2-class: right hand / both feet) - test-time adaptation</x:v>
      </x:c>
    </x:row>
    <x:row r="99" ht="52" customHeight="1">
      <x:c r="A99" s="19" t="str">
        <x:v>EEG-0476 BNCI2014_009</x:v>
      </x:c>
      <x:c r="B99" s="19" t="str">
        <x:v>EEG-0471 BNCI 009-2014 (Covert and overt ERP)</x:v>
      </x:c>
      <x:c r="C99" s="19" t="str">
        <x:v>EXCLUDE_DUPLICATE</x:v>
      </x:c>
      <x:c r="D99" s="19" t="str">
        <x:v>BNCI 009-2014 / BNCI2014_009</x:v>
      </x:c>
      <x:c r="E99" s="19" t="str">
        <x:v>Confirmed same download unit; merged into EEG-0471 on 2026-08-04</x:v>
      </x:c>
      <x:c r="F99" s="19" t="str">
        <x:v>[MOABB BNCI2014_009](https://moabb.neurotechx.com/docs/generated/moabb.datasets.BNCI2014_009.html)</x:v>
      </x:c>
      <x:c r="G99" s="19" t="str">
        <x:v>P300 / ERP target vs non-target; P300 speller / GeoSpell</x:v>
      </x:c>
    </x:row>
    <x:row r="100" ht="52" customHeight="1">
      <x:c r="A100" s="19" t="str">
        <x:v>EEG-0368 BNCI2015001</x:v>
      </x:c>
      <x:c r="B100" s="19" t="str">
        <x:v>EEG-0360 BNCI 001-2015 (Autocalibration</x:v>
      </x:c>
      <x:c r="C100" s="19" t="str">
        <x:v>EXCLUDE_DUPLICATE</x:v>
      </x:c>
      <x:c r="D100" s="19" t="str">
        <x:v>BNCI 001-2015 / BNCI2015001</x:v>
      </x:c>
      <x:c r="E100" s="19" t="str">
        <x:v>Confirmed same download unit; merged into EEG-0360 on 2026-08-04</x:v>
      </x:c>
      <x:c r="F100" s="19" t="str">
        <x:v>[BNCI Horizon Data sets](https://bnci-horizon-2020.eu/database/data-sets)</x:v>
      </x:c>
      <x:c r="G100" s="19" t="str">
        <x:v>Motor imagery (2-class); cross-session and cross-subject SFUDA classification with artificial label shifts</x:v>
      </x:c>
    </x:row>
    <x:row r="101" ht="52" customHeight="1">
      <x:c r="A101" s="19" t="str">
        <x:v>EEG-0477 BNCI2015_003</x:v>
      </x:c>
      <x:c r="B101" s="19" t="str">
        <x:v>EEG-0468 BNCI 003-2015 (Visual P300 speller)</x:v>
      </x:c>
      <x:c r="C101" s="19" t="str">
        <x:v>EXCLUDE_DUPLICATE</x:v>
      </x:c>
      <x:c r="D101" s="19" t="str">
        <x:v>BNCI 003-2015 / BNCI2015_003</x:v>
      </x:c>
      <x:c r="E101" s="19" t="str">
        <x:v>Confirmed same download unit; merged into EEG-0468 on 2026-08-04</x:v>
      </x:c>
      <x:c r="F101" s="19" t="str">
        <x:v>[MOABB BNCI2015_003](https://moabb.neurotechx.com/docs/generated/moabb.datasets.BNCI2015_003.html)</x:v>
      </x:c>
      <x:c r="G101" s="19" t="str">
        <x:v>auditory BCI speller / AMUSE P300; Target vs NonTarget</x:v>
      </x:c>
    </x:row>
    <x:row r="102" ht="52" customHeight="1">
      <x:c r="A102" s="19" t="str">
        <x:v>EEG-0365 BNCI 004-2015 (Individual imagery)</x:v>
      </x:c>
      <x:c r="B102" s="19" t="str">
        <x:v>EEG-0208 BNCI 004-2015 (Individual imagery)</x:v>
      </x:c>
      <x:c r="C102" s="19" t="str">
        <x:v>EXCLUDE_DUPLICATE</x:v>
      </x:c>
      <x:c r="D102" s="19" t="str">
        <x:v>BNCI 004-2015 / BNCI2015_004</x:v>
      </x:c>
      <x:c r="E102" s="19" t="str">
        <x:v>Confirmed same download unit; merged into EEG-0208 on 2026-08-04</x:v>
      </x:c>
      <x:c r="F102" s="19" t="str">
        <x:v>http://bnci-horizon-2020.eu/database/data-sets</x:v>
      </x:c>
      <x:c r="G102" s="19" t="str">
        <x:v>Mental multiplication vs word association vs hand motor imagery</x:v>
      </x:c>
    </x:row>
    <x:row r="103" ht="52" customHeight="1">
      <x:c r="A103" s="19" t="str">
        <x:v>EEG-0155 BNCI2016_002 (Emergency Braking driving)</x:v>
      </x:c>
      <x:c r="B103" s="19" t="str">
        <x:v>EEG-0154 BNCI 002-2016 (Emergency braking during simulated driving)</x:v>
      </x:c>
      <x:c r="C103" s="19" t="str">
        <x:v>EXCLUDE_DUPLICATE</x:v>
      </x:c>
      <x:c r="D103" s="19" t="str">
        <x:v>BNCI 002-2016 / BNCI2016_002</x:v>
      </x:c>
      <x:c r="E103" s="19" t="str">
        <x:v>Confirmed same download unit; merged into EEG-0154 on 2026-08-04</x:v>
      </x:c>
      <x:c r="F103" s="19" t="str">
        <x:v>https://moabb.neurotechx.com/docs/generated/moabb.datasets.BNCI2016_002.html</x:v>
      </x:c>
      <x:c r="G103" s="19" t="str">
        <x:v>ERP / Driving Cognitive State</x:v>
      </x:c>
    </x:row>
    <x:row r="104" ht="52" customHeight="1">
      <x:c r="A104" s="19" t="str">
        <x:v>EEG-0496 BNCI 001-2019 (Attempted arm</x:v>
      </x:c>
      <x:c r="B104" s="19" t="str">
        <x:v>EEG-0369 BNCI 001-2019 (Attempted arm movement)</x:v>
      </x:c>
      <x:c r="C104" s="19" t="str">
        <x:v>EXCLUDE_DUPLICATE</x:v>
      </x:c>
      <x:c r="D104" s="19" t="str">
        <x:v>BNCI 001-2019 / BNCI2019_001</x:v>
      </x:c>
      <x:c r="E104" s="19" t="str">
        <x:v>Confirmed same download unit; merged into EEG-0369 on 2026-08-04</x:v>
      </x:c>
      <x:c r="F104" s="19" t="str">
        <x:v>http://bnci-horizon-2020.eu/database/data-sets</x:v>
      </x:c>
      <x:c r="G104" s="19" t="str">
        <x:v>Decoding 5 attempted hand movements vs rest in SCI</x:v>
      </x:c>
    </x:row>
    <x:row r="105" ht="52" customHeight="1">
      <x:c r="A105" s="19" t="str">
        <x:v>EEG-0370 BNCI2020_001</x:v>
      </x:c>
      <x:c r="B105" s="19" t="str">
        <x:v>EEG-0362 BNCI 001-2020 (Reach &amp; grasp, gel</x:v>
      </x:c>
      <x:c r="C105" s="19" t="str">
        <x:v>EXCLUDE_DUPLICATE</x:v>
      </x:c>
      <x:c r="D105" s="19" t="str">
        <x:v>BNCI 001-2020 / BNCI2020_001</x:v>
      </x:c>
      <x:c r="E105" s="19" t="str">
        <x:v>Confirmed same download unit; merged into EEG-0362 on 2026-08-04</x:v>
      </x:c>
      <x:c r="F105" s="19" t="str">
        <x:v>[BNCI Horizon Data sets](https://bnci-horizon-2020.eu/database/data-sets)</x:v>
      </x:c>
      <x:c r="G105" s="19" t="str">
        <x:v>3-class upper-limb motor imagery</x:v>
      </x:c>
    </x:row>
    <x:row r="106" ht="52" customHeight="1">
      <x:c r="A106" s="19" t="str">
        <x:v>EEG-0526 BNCI 001-2022 (EEG correlates of difficulty level)</x:v>
      </x:c>
      <x:c r="B106" s="19" t="str">
        <x:v>EEG-0371 BNCI2022_001 (Difficulty level)</x:v>
      </x:c>
      <x:c r="C106" s="19" t="str">
        <x:v>EXCLUDE_DUPLICATE</x:v>
      </x:c>
      <x:c r="D106" s="19" t="str">
        <x:v>BNCI 001-2022 / BNCI2022_001</x:v>
      </x:c>
      <x:c r="E106" s="19" t="str">
        <x:v>Confirmed same download unit; merged into EEG-0371 on 2026-08-04</x:v>
      </x:c>
      <x:c r="F106" s="19" t="str">
        <x:v>http://bnci-horizon-2020.eu/database/data-sets</x:v>
      </x:c>
      <x:c r="G106" s="19" t="str">
        <x:v>Drone joystick piloting in simulation under varying difficulty levels</x:v>
      </x:c>
    </x:row>
    <x:row r="107" ht="52" customHeight="1">
      <x:c r="A107" s="19" t="str">
        <x:v>EEG-0527 BNCI 001-2024 (Handwritten character classification through continuous kinematic decoding)</x:v>
      </x:c>
      <x:c r="B107" s="19" t="str">
        <x:v>EEG-0372 BNCI2024_001 (Handwritten characters)</x:v>
      </x:c>
      <x:c r="C107" s="19" t="str">
        <x:v>EXCLUDE_DUPLICATE</x:v>
      </x:c>
      <x:c r="D107" s="19" t="str">
        <x:v>BNCI 001-2024 / BNCI2024_001</x:v>
      </x:c>
      <x:c r="E107" s="19" t="str">
        <x:v>Confirmed same download unit; merged into EEG-0372 on 2026-08-04</x:v>
      </x:c>
      <x:c r="F107" s="19" t="str">
        <x:v>http://bnci-horizon-2020.eu/database/data-sets</x:v>
      </x:c>
      <x:c r="G107" s="19" t="str">
        <x:v>Writing 10 handwritten letters with right index finger</x:v>
      </x:c>
    </x:row>
    <x:row r="108" ht="52" customHeight="1">
      <x:c r="A108" s="19" t="str">
        <x:v>EEG-0528 BNCI 001-2025 (Simultaneous encoding of speed, distance, and direction in discrete reaching)</x:v>
      </x:c>
      <x:c r="B108" s="19" t="str">
        <x:v>EEG-0373 BNCI2025_001 (Motor Kinematics Reaching)</x:v>
      </x:c>
      <x:c r="C108" s="19" t="str">
        <x:v>EXCLUDE_DUPLICATE</x:v>
      </x:c>
      <x:c r="D108" s="19" t="str">
        <x:v>BNCI 001-2025 / BNCI2025_001</x:v>
      </x:c>
      <x:c r="E108" s="19" t="str">
        <x:v>Confirmed same download unit; merged into EEG-0373 on 2026-08-04</x:v>
      </x:c>
      <x:c r="F108" s="19" t="str">
        <x:v>http://bnci-horizon-2020.eu/database/data-sets</x:v>
      </x:c>
      <x:c r="G108" s="19" t="str">
        <x:v>Discrete hand reaching in 4 directions with varying speed and distance</x:v>
      </x:c>
    </x:row>
    <x:row r="109" ht="52" customHeight="1">
      <x:c r="A109" s="19" t="str">
        <x:v>EEG-0529 BNCI 002-2025 (Continuous 2D trajectory decoding from attempted movement)</x:v>
      </x:c>
      <x:c r="B109" s="19" t="str">
        <x:v>EEG-0374 BNCI2025_002 (Continuous 2D Trajectory)</x:v>
      </x:c>
      <x:c r="C109" s="19" t="str">
        <x:v>EXCLUDE_DUPLICATE</x:v>
      </x:c>
      <x:c r="D109" s="19" t="str">
        <x:v>BNCI 002-2025 / BNCI2025_002</x:v>
      </x:c>
      <x:c r="E109" s="19" t="str">
        <x:v>Confirmed same download unit; merged into EEG-0374 on 2026-08-04</x:v>
      </x:c>
      <x:c r="F109" s="19" t="str">
        <x:v>http://bnci-horizon-2020.eu/database/data-sets</x:v>
      </x:c>
      <x:c r="G109" s="19" t="str">
        <x:v>Continuous 2D trajectory tracking of attempted hand movements</x:v>
      </x:c>
    </x:row>
    <x:row r="110" ht="52" customHeight="1">
      <x:c r="A110" s="19" t="str">
        <x:v>EEG-0233 Ghosh (2019)</x:v>
      </x:c>
      <x:c r="B110" s="19" t="str">
        <x:v>EEG-0189 SAM 40</x:v>
      </x:c>
      <x:c r="C110" s="19" t="str">
        <x:v>EXCLUDE_DUPLICATE</x:v>
      </x:c>
      <x:c r="D110" s="19" t="str">
        <x:v>Figshare article 14562090</x:v>
      </x:c>
      <x:c r="E110" s="19" t="str">
        <x:v>Confirmed same download unit; merged into EEG-0189 on 2026-08-04</x:v>
      </x:c>
      <x:c r="F110" s="19" t="str">
        <x:v>Figshare, DOI:10.6084/m9.figshare.14562090</x:v>
      </x:c>
      <x:c r="G110" s="19" t="str">
        <x:v>Cognitive: Stroop</x:v>
      </x:c>
    </x:row>
    <x:row r="111" ht="52" customHeight="1">
      <x:c r="A111" s="19" t="str">
        <x:v>EEG-0218 Deception-Game</x:v>
      </x:c>
      <x:c r="B111" s="19" t="str">
        <x:v>EEG-0212 Chen (2024)</x:v>
      </x:c>
      <x:c r="C111" s="19" t="str">
        <x:v>EXCLUDE_DUPLICATE</x:v>
      </x:c>
      <x:c r="D111" s="19" t="str">
        <x:v>Figshare article 24760827</x:v>
      </x:c>
      <x:c r="E111" s="19" t="str">
        <x:v>Confirmed same download unit; merged into EEG-0212 on 2026-08-04</x:v>
      </x:c>
      <x:c r="F111" s="19" t="str">
        <x:v>https://figshare.com/articles/dataset/An_EEG_Dataset_of_Neural_Signatures.../24760827</x:v>
      </x:c>
      <x:c r="G111" s="19" t="str">
        <x:v>Two-player game encouraging deception</x:v>
      </x:c>
    </x:row>
    <x:row r="112" ht="52" customHeight="1">
      <x:c r="A112" s="19" t="str">
        <x:v>EEG-0396 Liu (2019)</x:v>
      </x:c>
      <x:c r="B112" s="19" t="str">
        <x:v>EEG-0085 Lower-Limb-MI (stroke)</x:v>
      </x:c>
      <x:c r="C112" s="19" t="str">
        <x:v>EXCLUDE_DUPLICATE</x:v>
      </x:c>
      <x:c r="D112" s="19" t="str">
        <x:v>Figshare article 27130299</x:v>
      </x:c>
      <x:c r="E112" s="19" t="str">
        <x:v>Confirmed same download unit; merged into EEG-0085 on 2026-08-04</x:v>
      </x:c>
      <x:c r="F112" s="19" t="str">
        <x:v>Figshare (Springer Nature), DOI:10.6084/m9.figshare.27130299</x:v>
      </x:c>
      <x:c r="G112" s="19" t="str">
        <x:v>MI</x:v>
      </x:c>
    </x:row>
    <x:row r="113" ht="52" customHeight="1">
      <x:c r="A113" s="19" t="str">
        <x:v>EEG-0250 SPIS Resting State Dataset</x:v>
      </x:c>
      <x:c r="B113" s="19" t="str">
        <x:v>EEG-0167 SPIS</x:v>
      </x:c>
      <x:c r="C113" s="19" t="str">
        <x:v>EXCLUDE_DUPLICATE</x:v>
      </x:c>
      <x:c r="D113" s="19" t="str">
        <x:v>GitHub repository mastaneht/SPIS-Resting-State-Dataset</x:v>
      </x:c>
      <x:c r="E113" s="19" t="str">
        <x:v>Confirmed same download unit; merged into EEG-0167 on 2026-08-04</x:v>
      </x:c>
      <x:c r="F113" s="19" t="str">
        <x:v>https://github.com/mastaneht/SPIS-Resting-State-Dataset</x:v>
      </x:c>
      <x:c r="G113" s="19" t="str">
        <x:v>Resting state (eyes-closed / eyes-open) prior to Sustained Attention to Response Task</x:v>
      </x:c>
    </x:row>
    <x:row r="114" ht="52" customHeight="1">
      <x:c r="A114" s="19" t="str">
        <x:v>EEG-0177 Emobrain</x:v>
      </x:c>
      <x:c r="B114" s="19" t="str">
        <x:v>EEG-0180 eNTERFACE 2006 (Emobrain) Dataset</x:v>
      </x:c>
      <x:c r="C114" s="19" t="str">
        <x:v>EXCLUDE_DUPLICATE</x:v>
      </x:c>
      <x:c r="D114" s="19" t="str">
        <x:v>User-confirmed catalog identity; retain the five-subject eNTERFACE 2006 release as canonical</x:v>
      </x:c>
      <x:c r="E114" s="19" t="str">
        <x:v>Confirmed same download unit; merged into EEG-0180 on 2026-08-04</x:v>
      </x:c>
      <x:c r="F114" s="19" t="str">
        <x:v>[eNTERFACE'06 results](http://www.enterface.net/results/)</x:v>
      </x:c>
      <x:c r="G114" s="19" t="str">
        <x:v>multimodal emotion recognition; IAPS emotion elicitation</x:v>
      </x:c>
    </x:row>
    <x:row r="115" ht="52" customHeight="1">
      <x:c r="A115" s="19" t="str">
        <x:v>EEG-0147 Valdes-Sosa (2021)</x:v>
      </x:c>
      <x:c r="B115" s="19" t="str">
        <x:v>EEG-0519 Cuban Human Brain Mapping Project (CHBMP)</x:v>
      </x:c>
      <x:c r="C115" s="19" t="str">
        <x:v>EXCLUDE_DUPLICATE</x:v>
      </x:c>
      <x:c r="D115" s="19" t="str">
        <x:v>CHBMP / Synapse syn22324937 / LORIS; DOI 10.1038/s41597-021-00829-7</x:v>
      </x:c>
      <x:c r="E115" s="19" t="str">
        <x:v>Confirmed same download unit; merged into EEG-0519 on 2026-08-04</x:v>
      </x:c>
      <x:c r="F115" s="19" t="str">
        <x:v>https://www.synapse.org/Synapse:syn22324937</x:v>
      </x:c>
      <x:c r="G115" s="19" t="str">
        <x:v>Resting-state, ognitive assessment (MMSE, WAIS-III), reaction time task (Go/No-Go subset), MRI / DWI structural imaging (partial cohort)</x:v>
      </x:c>
    </x:row>
    <x:row r="116" ht="52" customHeight="1">
      <x:c r="A116" s="19" t="str">
        <x:v>EEG-0498 CHBMP</x:v>
      </x:c>
      <x:c r="B116" s="19" t="str">
        <x:v>EEG-0519 Cuban Human Brain Mapping Project (CHBMP)</x:v>
      </x:c>
      <x:c r="C116" s="19" t="str">
        <x:v>EXCLUDE_DUPLICATE</x:v>
      </x:c>
      <x:c r="D116" s="19" t="str">
        <x:v>CHBMP / Synapse syn22324937 / LORIS; DOI 10.1038/s41597-021-00829-7</x:v>
      </x:c>
      <x:c r="E116" s="19" t="str">
        <x:v>Confirmed same download unit; merged into EEG-0519 on 2026-08-04</x:v>
      </x:c>
      <x:c r="F116" s="19" t="str">
        <x:v>https://chbmp-open.loris.ca/</x:v>
      </x:c>
      <x:c r="G116" s="19" t="str">
        <x:v>Clinical activation protocol (EO/EC/hyperventilation)</x:v>
      </x:c>
    </x:row>
    <x:row r="117" ht="52" customHeight="1">
      <x:c r="A117" s="19" t="str">
        <x:v>EEG-0406 Munich Motor Imagery Dataset (Grosse-Wentrup 2009)</x:v>
      </x:c>
      <x:c r="B117" s="19" t="str">
        <x:v>EEG-0357 Beamforming in Noninvasive Brain–Computer Interfaces Dataset</x:v>
      </x:c>
      <x:c r="C117" s="19" t="str">
        <x:v>EXCLUDE_DUPLICATE</x:v>
      </x:c>
      <x:c r="D117" s="19" t="str">
        <x:v>Zenodo record 1217449</x:v>
      </x:c>
      <x:c r="E117" s="19" t="str">
        <x:v>Confirmed same download unit; merged into EEG-0357 on 2026-08-04</x:v>
      </x:c>
      <x:c r="F117" s="19" t="str">
        <x:v>https://doi.org/10.5281/zenodo.1217449</x:v>
      </x:c>
      <x:c r="G117" s="19" t="str">
        <x:v>Motor imagery</x:v>
      </x:c>
    </x:row>
    <x:row r="118" ht="52" customHeight="1">
      <x:c r="A118" s="19" t="str">
        <x:v>EEG-0491 VR.EEG.2018-GIPSA (Brain Invaders VR 2018)</x:v>
      </x:c>
      <x:c r="B118" s="19" t="str">
        <x:v>EEG-0262 Cattan2019 VR P300 (Zenodo)</x:v>
      </x:c>
      <x:c r="C118" s="19" t="str">
        <x:v>EXCLUDE_DUPLICATE</x:v>
      </x:c>
      <x:c r="D118" s="19" t="str">
        <x:v>Zenodo record 2605204</x:v>
      </x:c>
      <x:c r="E118" s="19" t="str">
        <x:v>Confirmed same download unit; merged into EEG-0262 on 2026-08-04</x:v>
      </x:c>
      <x:c r="F118" s="19" t="str">
        <x:v>https://doi.org/10.5281/zenodo.2605204</x:v>
      </x:c>
      <x:c r="G118" s="19" t="str">
        <x:v>Visual P300 BCI (Brain Invaders; PC vs Virtual Reality comparison)</x:v>
      </x:c>
    </x:row>
    <x:row r="119" ht="52" customHeight="1">
      <x:c r="A119" s="19" t="str">
        <x:v>EEG-0109 AMIGOS</x:v>
      </x:c>
      <x:c r="B119" s="19" t="str">
        <x:v>EEG-0066 AMIGOS</x:v>
      </x:c>
      <x:c r="C119" s="19" t="str">
        <x:v>EXCLUDE_DUPLICATE</x:v>
      </x:c>
      <x:c r="D119" s="19" t="str">
        <x:v>AMIGOS official dataset and paper identity</x:v>
      </x:c>
      <x:c r="E119" s="19" t="str">
        <x:v>Confirmed same download unit; merged into EEG-0066 on 2026-08-04</x:v>
      </x:c>
      <x:c r="F119" s="19" t="str">
        <x:v>https://www.eecs.qmul.ac.uk/mmv/datasets/amigos/</x:v>
      </x:c>
      <x:c r="G119" s="19" t="str">
        <x:v>EEG-based emotion recognition; binary valence and arousal classification. Used as an augmentation benchmark and as the dataset for adversarial-attack robustness experiments (FGSM, PGD, DeepFool) on emotional arousal</x:v>
      </x:c>
    </x:row>
    <x:row r="120" ht="52" customHeight="1">
      <x:c r="A120" s="19" t="str">
        <x:v>EEG-0118 DEAP</x:v>
      </x:c>
      <x:c r="B120" s="19" t="str">
        <x:v>EEG-0076 DEAP</x:v>
      </x:c>
      <x:c r="C120" s="19" t="str">
        <x:v>EXCLUDE_DUPLICATE</x:v>
      </x:c>
      <x:c r="D120" s="19" t="str">
        <x:v>DEAP official QMUL dataset; arousal is a task/label view, not a separate download unit</x:v>
      </x:c>
      <x:c r="E120" s="19" t="str">
        <x:v>Confirmed same download unit; merged into EEG-0076 on 2026-08-04</x:v>
      </x:c>
      <x:c r="F120" s="19" t="str">
        <x:v>https://www.eecs.qmul.ac.uk/mmv/datasets/deap/</x:v>
      </x:c>
      <x:c r="G120" s="19" t="str">
        <x:v>Emotion: valence / arousal / dominance / liking</x:v>
      </x:c>
    </x:row>
    <x:row r="121" ht="52" customHeight="1">
      <x:c r="A121" s="19" t="str">
        <x:v>EEG-0119 DEAP-arousal</x:v>
      </x:c>
      <x:c r="B121" s="19" t="str">
        <x:v>EEG-0076 DEAP</x:v>
      </x:c>
      <x:c r="C121" s="19" t="str">
        <x:v>EXCLUDE_DUPLICATE</x:v>
      </x:c>
      <x:c r="D121" s="19" t="str">
        <x:v>DEAP official QMUL dataset; arousal is a task/label view, not a separate download unit</x:v>
      </x:c>
      <x:c r="E121" s="19" t="str">
        <x:v>Confirmed same download unit; merged into EEG-0076 on 2026-08-04</x:v>
      </x:c>
      <x:c r="F121" s="19" t="str">
        <x:v>https://www.eecs.qmul.ac.uk/mmv/datasets/deap/</x:v>
      </x:c>
      <x:c r="G121" s="19" t="str">
        <x:v>High/low arousal classification (2 classes)</x:v>
      </x:c>
    </x:row>
    <x:row r="122" ht="52" customHeight="1">
      <x:c r="A122" s="19" t="str">
        <x:v>EEG-0445 SSVEP Benchmark (Wang 2016)</x:v>
      </x:c>
      <x:c r="B122" s="19" t="str">
        <x:v>EEG-0069 Tsinghua SSVEP Benchmark (Wang 2016)</x:v>
      </x:c>
      <x:c r="C122" s="19" t="str">
        <x:v>EXCLUDE_DUPLICATE</x:v>
      </x:c>
      <x:c r="D122" s="19" t="str">
        <x:v>Tsinghua SSVEP Benchmark / Wang 2016</x:v>
      </x:c>
      <x:c r="E122" s="19" t="str">
        <x:v>Confirmed same download unit; merged into EEG-0069 on 2026-08-04</x:v>
      </x:c>
      <x:c r="F122" s="19" t="str">
        <x:v>http://bci.med.tsinghua.edu.cn/download.html</x:v>
      </x:c>
      <x:c r="G122" s="19" t="str">
        <x:v>SSVEP 40-class target recognition (40 frequencies: 8-15.8 Hz, 0.2 Hz step)</x:v>
      </x:c>
    </x:row>
    <x:row r="123" ht="52" customHeight="1">
      <x:c r="A123" s="19" t="str">
        <x:v>EEG-0450 Tsinghua BETA SSVEP</x:v>
      </x:c>
      <x:c r="B123" s="19" t="str">
        <x:v>EEG-0420 BETA SSVEP Dataset</x:v>
      </x:c>
      <x:c r="C123" s="19" t="str">
        <x:v>EXCLUDE_DUPLICATE</x:v>
      </x:c>
      <x:c r="D123" s="19" t="str">
        <x:v>BETA SSVEP official dataset / Figshare 12264401</x:v>
      </x:c>
      <x:c r="E123" s="19" t="str">
        <x:v>Confirmed same download unit; merged into EEG-0420 on 2026-08-04</x:v>
      </x:c>
      <x:c r="F123" s="19" t="str">
        <x:v>http://bci.med.tsinghua.edu.cn/download.html</x:v>
      </x:c>
      <x:c r="G123" s="19" t="str">
        <x:v>SSVEP (40-target spelling)</x:v>
      </x:c>
    </x:row>
    <x:row r="124" ht="52" customHeight="1">
      <x:c r="A124" s="19" t="str">
        <x:v>EEG-0430 Dong2023 - SSVEP EEG Dataset</x:v>
      </x:c>
      <x:c r="B124" s="19" t="str">
        <x:v>EEG-0429 Dong2023</x:v>
      </x:c>
      <x:c r="C124" s="19" t="str">
        <x:v>EXCLUDE_DUPLICATE</x:v>
      </x:c>
      <x:c r="D124" s="19" t="str">
        <x:v>Dong2023 MOABB wrapper and Zenodo 18847318</x:v>
      </x:c>
      <x:c r="E124" s="19" t="str">
        <x:v>Confirmed same download unit; merged into EEG-0429 on 2026-08-04</x:v>
      </x:c>
      <x:c r="F124" s="19" t="str">
        <x:v>https://zenodo.org/records/18847318</x:v>
      </x:c>
      <x:c r="G124" s="19" t="str">
        <x:v>40-target SSVEP BCI speller / steady-state visual evoked potential brain-computer interface task</x:v>
      </x:c>
    </x:row>
    <x:row r="125" ht="52" customHeight="1">
      <x:c r="A125" s="19" t="str">
        <x:v>EEG-0437 Human SSVEPs 1–60 Hz Dataset</x:v>
      </x:c>
      <x:c r="B125" s="19" t="str">
        <x:v>EEG-0446 Human SSVEPs 1-60 Hz - Complete Collection</x:v>
      </x:c>
      <x:c r="C125" s="19" t="str">
        <x:v>EXCLUDE_DUPLICATE</x:v>
      </x:c>
      <x:c r="D125" s="19" t="str">
        <x:v>Figshare 23641017 is the early 15-subject partial release; collection 6752910 is the formal 30-subject complete release</x:v>
      </x:c>
      <x:c r="E125" s="19" t="str">
        <x:v>Confirmed same download unit; merged into EEG-0446 on 2026-08-04</x:v>
      </x:c>
      <x:c r="F125" s="19" t="str">
        <x:v>[Figshare 1–60 Hz SSVEP dataset](https://figshare.com/articles/dataset/An_open_dataset_for_human_SSVEPs_in_the_frequency_range_of_1-60_Hz/23641017)</x:v>
      </x:c>
      <x:c r="G125" s="19" t="str">
        <x:v>SSVEP frequency decoding；1–60 Hz wide-frequency response；frequency generalization</x:v>
      </x:c>
    </x:row>
    <x:row r="126" ht="52" customHeight="1">
      <x:c r="A126" s="19" t="str">
        <x:v>EEG-0198 Voice-User Interaction Emotion EEG Dataset</x:v>
      </x:c>
      <x:c r="B126" s="19" t="str">
        <x:v>EEG-0179 Emotion (Voice-UI)</x:v>
      </x:c>
      <x:c r="C126" s="19" t="str">
        <x:v>EXCLUDE_DUPLICATE</x:v>
      </x:c>
      <x:c r="D126" s="19" t="str">
        <x:v>Figshare collection 7207839; Voice-User Interaction Emotion EEG</x:v>
      </x:c>
      <x:c r="E126" s="19" t="str">
        <x:v>Confirmed same download unit; merged into EEG-0179 on 2026-08-04</x:v>
      </x:c>
      <x:c r="F126" s="19" t="str">
        <x:v>[Springer Nature Figshare VUI Emotion EEG](https://springernature.figshare.com/collections/EEG_Dataset_for_the_Recognition_of_Different_Emotions_Naturally_Induced_in_Voice-User_Interaction/7207839)</x:v>
      </x:c>
      <x:c r="G126" s="19" t="str">
        <x:v>emotion recognition during natural voice-user interaction</x:v>
      </x:c>
    </x:row>
    <x:row r="127" ht="52" customHeight="1">
      <x:c r="A127" s="19" t="str">
        <x:v>EEG-0294 Broderick (Reverse/Natural speech)</x:v>
      </x:c>
      <x:c r="B127" s="19" t="str">
        <x:v>EEG-0209 Broderick (Cocktail party)</x:v>
      </x:c>
      <x:c r="C127" s="19" t="str">
        <x:v>EXCLUDE_DUPLICATE</x:v>
      </x:c>
      <x:c r="D127" s="19" t="str">
        <x:v>Dryad DOI 10.5061/dryad.070jc</x:v>
      </x:c>
      <x:c r="E127" s="19" t="str">
        <x:v>Confirmed same download unit; merged into EEG-0209 on 2026-08-04</x:v>
      </x:c>
      <x:c r="F127" s="19" t="str">
        <x:v>https://doi.org/10.5061/dryad.070jc</x:v>
      </x:c>
      <x:c r="G127" s="19" t="str">
        <x:v>Natural vs time-reversed speech discrimination</x:v>
      </x:c>
    </x:row>
  </x:sheetData>
  <x:pageMargins left="0.7" right="0.7" top="0.75" bottom="0.75" header="0.3" footer="0.3"/>
  <x:tableParts count="1">
    <x:tablePart xmlns:r="http://schemas.openxmlformats.org/officeDocument/2006/relationships" r:id="R25bb94a827954b6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38" hidden="0" customWidth="1"/>
    <x:col min="3" max="3" width="14" hidden="0" customWidth="1"/>
    <x:col min="4" max="4" width="38" hidden="0" customWidth="1"/>
    <x:col min="5" max="5" width="48" hidden="0" customWidth="1"/>
    <x:col min="6" max="6" width="34" hidden="0" customWidth="1"/>
    <x:col min="7" max="7" width="32" hidden="0" customWidth="1"/>
    <x:col min="8" max="8" width="55" hidden="0" customWidth="1"/>
  </x:cols>
  <x:sheetData>
    <x:row r="1" ht="36" customHeight="1">
      <x:c r="A1" s="23" t="str">
        <x:v>Canonical ID</x:v>
      </x:c>
      <x:c r="B1" s="23" t="str">
        <x:v>Canonical dataset</x:v>
      </x:c>
      <x:c r="C1" s="23" t="str">
        <x:v>Removed ID</x:v>
      </x:c>
      <x:c r="D1" s="23" t="str">
        <x:v>Removed dataset</x:v>
      </x:c>
      <x:c r="E1" s="23" t="str">
        <x:v>Evidence key</x:v>
      </x:c>
      <x:c r="F1" s="23" t="str">
        <x:v>Evidence level</x:v>
      </x:c>
      <x:c r="G1" s="23" t="str">
        <x:v>Decision</x:v>
      </x:c>
      <x:c r="H1" s="23" t="str">
        <x:v>Notes</x:v>
      </x:c>
    </x:row>
    <x:row r="2" ht="48" customHeight="1">
      <x:c r="A2" s="19" t="str">
        <x:v>EEG-0005</x:v>
      </x:c>
      <x:c r="B2" s="19" t="str">
        <x:v>A dataset of neonatal EEG recordings with seizure annotations</x:v>
      </x:c>
      <x:c r="C2" s="19" t="str">
        <x:v>EEG-0029</x:v>
      </x:c>
      <x:c r="D2" s="19" t="str">
        <x:v>Neonatal EEG Seizure Dataset</x:v>
      </x:c>
      <x:c r="E2" s="19" t="str">
        <x:v>User-confirmed release relationship: EEG-0005 is the newer version of EEG-0029</x:v>
      </x:c>
      <x:c r="F2" s="19" t="str">
        <x:v>CONFIRMED_VERSION_SUCCESSOR</x:v>
      </x:c>
      <x:c r="G2" s="19" t="str">
        <x:v>MERGED_AS_SAME_DOWNLOAD_UNIT</x:v>
      </x:c>
      <x:c r="H2" s="19" t="str">
        <x:v>Original ID retained in this audit; aliases/tasks/sources merged into EEG-0005. No server files or completion markers were changed.</x:v>
      </x:c>
    </x:row>
    <x:row r="3" ht="48" customHeight="1">
      <x:c r="A3" s="19" t="str">
        <x:v>EEG-0008</x:v>
      </x:c>
      <x:c r="B3" s="19" t="str">
        <x:v>Bonn EEG Seizure Dataset</x:v>
      </x:c>
      <x:c r="C3" s="19" t="str">
        <x:v>EEG-0037</x:v>
      </x:c>
      <x:c r="D3" s="19" t="str">
        <x:v>University of Bonn EEG Database (Andrzejak et al. 2001)</x:v>
      </x:c>
      <x:c r="E3" s="19" t="str">
        <x:v>Official University of Bonn landing page and Andrzejak 2001 corpus identity</x:v>
      </x:c>
      <x:c r="F3" s="19" t="str">
        <x:v>CONFIRMED_OFFICIAL_ALIAS</x:v>
      </x:c>
      <x:c r="G3" s="19" t="str">
        <x:v>MERGED_AS_SAME_DOWNLOAD_UNIT</x:v>
      </x:c>
      <x:c r="H3" s="19" t="str">
        <x:v>Original ID retained in this audit; aliases/tasks/sources merged into EEG-0008. No server files or completion markers were changed.</x:v>
      </x:c>
    </x:row>
    <x:row r="4" ht="48" customHeight="1">
      <x:c r="A4" s="19" t="str">
        <x:v>EEG-0016</x:v>
      </x:c>
      <x:c r="B4" s="19" t="str">
        <x:v>vEpiSet (Interictal Epileptiform Discharge EEG Dataset)</x:v>
      </x:c>
      <x:c r="C4" s="19" t="str">
        <x:v>EEG-0019</x:v>
      </x:c>
      <x:c r="D4" s="19" t="str">
        <x:v>Lin (2025)</x:v>
      </x:c>
      <x:c r="E4" s="19" t="str">
        <x:v>Figshare article 28069568</x:v>
      </x:c>
      <x:c r="F4" s="19" t="str">
        <x:v>CONFIRMED_SAME_REPOSITORY_ID</x:v>
      </x:c>
      <x:c r="G4" s="19" t="str">
        <x:v>MERGED_AS_SAME_DOWNLOAD_UNIT</x:v>
      </x:c>
      <x:c r="H4" s="19" t="str">
        <x:v>Original ID retained in this audit; aliases/tasks/sources merged into EEG-0016. No server files or completion markers were changed.</x:v>
      </x:c>
    </x:row>
    <x:row r="5" ht="48" customHeight="1">
      <x:c r="A5" s="19" t="str">
        <x:v>EEG-0016</x:v>
      </x:c>
      <x:c r="B5" s="19" t="str">
        <x:v>vEpiSet (Interictal Epileptiform Discharge EEG Dataset)</x:v>
      </x:c>
      <x:c r="C5" s="19" t="str">
        <x:v>EEG-0038</x:v>
      </x:c>
      <x:c r="D5" s="19" t="str">
        <x:v>vEpiSet (IED)</x:v>
      </x:c>
      <x:c r="E5" s="19" t="str">
        <x:v>Figshare article 28069568</x:v>
      </x:c>
      <x:c r="F5" s="19" t="str">
        <x:v>CONFIRMED_SAME_REPOSITORY_ID</x:v>
      </x:c>
      <x:c r="G5" s="19" t="str">
        <x:v>MERGED_AS_SAME_DOWNLOAD_UNIT</x:v>
      </x:c>
      <x:c r="H5" s="19" t="str">
        <x:v>Original ID retained in this audit; aliases/tasks/sources merged into EEG-0016. No server files or completion markers were changed.</x:v>
      </x:c>
    </x:row>
    <x:row r="6" ht="48" customHeight="1">
      <x:c r="A6" s="19" t="str">
        <x:v>EEG-0045</x:v>
      </x:c>
      <x:c r="B6" s="19" t="str">
        <x:v>EEG p-adic quantum potential accurately identifies depression, schizophrenia and cognitive decline</x:v>
      </x:c>
      <x:c r="C6" s="19" t="str">
        <x:v>EEG-0046</x:v>
      </x:c>
      <x:c r="D6" s="19" t="str">
        <x:v>P-ADIC</x:v>
      </x:c>
      <x:c r="E6" s="19" t="str">
        <x:v>Project download-content audit: P-ADIC source duplication</x:v>
      </x:c>
      <x:c r="F6" s="19" t="str">
        <x:v>CONFIRMED_PROJECT_AUDIT</x:v>
      </x:c>
      <x:c r="G6" s="19" t="str">
        <x:v>MERGED_AS_SAME_DOWNLOAD_UNIT</x:v>
      </x:c>
      <x:c r="H6" s="19" t="str">
        <x:v>Original ID retained in this audit; aliases/tasks/sources merged into EEG-0045. No server files or completion markers were changed.</x:v>
      </x:c>
    </x:row>
    <x:row r="7" ht="48" customHeight="1">
      <x:c r="A7" s="19" t="str">
        <x:v>EEG-0048</x:v>
      </x:c>
      <x:c r="B7" s="19" t="str">
        <x:v>Adult ADHD EEG</x:v>
      </x:c>
      <x:c r="C7" s="19" t="str">
        <x:v>EEG-0049</x:v>
      </x:c>
      <x:c r="D7" s="19" t="str">
        <x:v>Adult ADHD Resting</x:v>
      </x:c>
      <x:c r="E7" s="19" t="str">
        <x:v>Mendeley dataset 6k4g25fhzg</x:v>
      </x:c>
      <x:c r="F7" s="19" t="str">
        <x:v>CONFIRMED_SAME_REPOSITORY_ID</x:v>
      </x:c>
      <x:c r="G7" s="19" t="str">
        <x:v>MERGED_AS_SAME_DOWNLOAD_UNIT</x:v>
      </x:c>
      <x:c r="H7" s="19" t="str">
        <x:v>Original ID retained in this audit; aliases/tasks/sources merged into EEG-0048. No server files or completion markers were changed.</x:v>
      </x:c>
    </x:row>
    <x:row r="8" ht="48" customHeight="1">
      <x:c r="A8" s="19" t="str">
        <x:v>EEG-0071</x:v>
      </x:c>
      <x:c r="B8" s="19" t="str">
        <x:v>BNCI 008-2014 (P300 speller, ALS)</x:v>
      </x:c>
      <x:c r="C8" s="19" t="str">
        <x:v>EEG-0072</x:v>
      </x:c>
      <x:c r="D8" s="19" t="str">
        <x:v>BNCI2014_008</x:v>
      </x:c>
      <x:c r="E8" s="19" t="str">
        <x:v>BNCI 008-2014 / MOABB BNCI2014_008</x:v>
      </x:c>
      <x:c r="F8" s="19" t="str">
        <x:v>CONFIRMED_OFFICIAL_ALIAS</x:v>
      </x:c>
      <x:c r="G8" s="19" t="str">
        <x:v>MERGED_AS_SAME_DOWNLOAD_UNIT</x:v>
      </x:c>
      <x:c r="H8" s="19" t="str">
        <x:v>Original ID retained in this audit; aliases/tasks/sources merged into EEG-0071. No server files or completion markers were changed.</x:v>
      </x:c>
    </x:row>
    <x:row r="9" ht="48" customHeight="1">
      <x:c r="A9" s="19" t="str">
        <x:v>EEG-0073</x:v>
      </x:c>
      <x:c r="B9" s="19" t="str">
        <x:v>BNCI2015_013 (Error-Related Potentials)</x:v>
      </x:c>
      <x:c r="C9" s="19" t="str">
        <x:v>EEG-0088</x:v>
      </x:c>
      <x:c r="D9" s="19" t="str">
        <x:v>Monitoring ErrP</x:v>
      </x:c>
      <x:c r="E9" s="19" t="str">
        <x:v>BNCI 013-2015 / MOABB BNCI2015_013</x:v>
      </x:c>
      <x:c r="F9" s="19" t="str">
        <x:v>CONFIRMED_OFFICIAL_ALIAS</x:v>
      </x:c>
      <x:c r="G9" s="19" t="str">
        <x:v>MERGED_AS_SAME_DOWNLOAD_UNIT</x:v>
      </x:c>
      <x:c r="H9" s="19" t="str">
        <x:v>Original ID retained in this audit; aliases/tasks/sources merged into EEG-0073. No server files or completion markers were changed.</x:v>
      </x:c>
    </x:row>
    <x:row r="10" ht="48" customHeight="1">
      <x:c r="A10" s="19" t="str">
        <x:v>EEG-0098</x:v>
      </x:c>
      <x:c r="B10" s="19" t="str">
        <x:v>Tinnitus Acoustic Therapy EEG Database</x:v>
      </x:c>
      <x:c r="C10" s="19" t="str">
        <x:v>EEG-0099</x:v>
      </x:c>
      <x:c r="D10" s="19" t="str">
        <x:v>Tinnitus-EEG</x:v>
      </x:c>
      <x:c r="E10" s="19" t="str">
        <x:v>Mendeley dataset kj443jc4yc</x:v>
      </x:c>
      <x:c r="F10" s="19" t="str">
        <x:v>CONFIRMED_SAME_REPOSITORY_ID</x:v>
      </x:c>
      <x:c r="G10" s="19" t="str">
        <x:v>MERGED_AS_SAME_DOWNLOAD_UNIT</x:v>
      </x:c>
      <x:c r="H10" s="19" t="str">
        <x:v>Original ID retained in this audit; aliases/tasks/sources merged into EEG-0098. No server files or completion markers were changed.</x:v>
      </x:c>
    </x:row>
    <x:row r="11" ht="48" customHeight="1">
      <x:c r="A11" s="19" t="str">
        <x:v>EEG-0098</x:v>
      </x:c>
      <x:c r="B11" s="19" t="str">
        <x:v>Tinnitus Acoustic Therapy EEG Database</x:v>
      </x:c>
      <x:c r="C11" s="19" t="str">
        <x:v>EEG-0315</x:v>
      </x:c>
      <x:c r="D11" s="19" t="str">
        <x:v>Cuevas-Romero (2022)</x:v>
      </x:c>
      <x:c r="E11" s="19" t="str">
        <x:v>Mendeley dataset kj443jc4yc</x:v>
      </x:c>
      <x:c r="F11" s="19" t="str">
        <x:v>CONFIRMED_SAME_REPOSITORY_ID</x:v>
      </x:c>
      <x:c r="G11" s="19" t="str">
        <x:v>MERGED_AS_SAME_DOWNLOAD_UNIT</x:v>
      </x:c>
      <x:c r="H11" s="19" t="str">
        <x:v>Original ID retained in this audit; aliases/tasks/sources merged into EEG-0098. No server files or completion markers were changed.</x:v>
      </x:c>
    </x:row>
    <x:row r="12" ht="48" customHeight="1">
      <x:c r="A12" s="19" t="str">
        <x:v>EEG-0129</x:v>
      </x:c>
      <x:c r="B12" s="19" t="str">
        <x:v>MAHNOB-HCI</x:v>
      </x:c>
      <x:c r="C12" s="19" t="str">
        <x:v>EEG-0184</x:v>
      </x:c>
      <x:c r="D12" s="19" t="str">
        <x:v>MAHNOB-HCI: A Multimodal Database for Affect Recognition and Implicit Tagging</x:v>
      </x:c>
      <x:c r="E12" s="19" t="str">
        <x:v>MAHNOB-HCI official database identity</x:v>
      </x:c>
      <x:c r="F12" s="19" t="str">
        <x:v>CONFIRMED_OFFICIAL_ALIAS</x:v>
      </x:c>
      <x:c r="G12" s="19" t="str">
        <x:v>MERGED_AS_SAME_DOWNLOAD_UNIT</x:v>
      </x:c>
      <x:c r="H12" s="19" t="str">
        <x:v>Original ID retained in this audit; aliases/tasks/sources merged into EEG-0129. No server files or completion markers were changed.</x:v>
      </x:c>
    </x:row>
    <x:row r="13" ht="48" customHeight="1">
      <x:c r="A13" s="19" t="str">
        <x:v>EEG-0162</x:v>
      </x:c>
      <x:c r="B13" s="19" t="str">
        <x:v>MPDB (driving)</x:v>
      </x:c>
      <x:c r="C13" s="19" t="str">
        <x:v>EEG-0168</x:v>
      </x:c>
      <x:c r="D13" s="19" t="str">
        <x:v>Tao (2024)</x:v>
      </x:c>
      <x:c r="E13" s="19" t="str">
        <x:v>MPDB paper DOI 10.1038/s41597-024-03222-2 and Figshare 22193119</x:v>
      </x:c>
      <x:c r="F13" s="19" t="str">
        <x:v>CONFIRMED_PAPER_REPOSITORY_CROSSWALK</x:v>
      </x:c>
      <x:c r="G13" s="19" t="str">
        <x:v>MERGED_AS_SAME_DOWNLOAD_UNIT</x:v>
      </x:c>
      <x:c r="H13" s="19" t="str">
        <x:v>Original ID retained in this audit; aliases/tasks/sources merged into EEG-0162. No server files or completion markers were changed.</x:v>
      </x:c>
    </x:row>
    <x:row r="14" ht="48" customHeight="1">
      <x:c r="A14" s="19" t="str">
        <x:v>EEG-0330</x:v>
      </x:c>
      <x:c r="B14" s="19" t="str">
        <x:v>EEGET-RSOD</x:v>
      </x:c>
      <x:c r="C14" s="19" t="str">
        <x:v>EEG-0546</x:v>
      </x:c>
      <x:c r="D14" s="19" t="str">
        <x:v>He (2025)</x:v>
      </x:c>
      <x:c r="E14" s="19" t="str">
        <x:v>Figshare article 26943565</x:v>
      </x:c>
      <x:c r="F14" s="19" t="str">
        <x:v>CONFIRMED_SAME_REPOSITORY_ID</x:v>
      </x:c>
      <x:c r="G14" s="19" t="str">
        <x:v>MERGED_AS_SAME_DOWNLOAD_UNIT</x:v>
      </x:c>
      <x:c r="H14" s="19" t="str">
        <x:v>Original ID retained in this audit; aliases/tasks/sources merged into EEG-0330. No server files or completion markers were changed.</x:v>
      </x:c>
    </x:row>
    <x:row r="15" ht="48" customHeight="1">
      <x:c r="A15" s="19" t="str">
        <x:v>EEG-0346</x:v>
      </x:c>
      <x:c r="B15" s="19" t="str">
        <x:v>NATVIEW (EEG-fMRI)</x:v>
      </x:c>
      <x:c r="C15" s="19" t="str">
        <x:v>EEG-0347</x:v>
      </x:c>
      <x:c r="D15" s="19" t="str">
        <x:v>Telesford (2023)</x:v>
      </x:c>
      <x:c r="E15" s="19" t="str">
        <x:v>NATVIEW/NITRC official project identity</x:v>
      </x:c>
      <x:c r="F15" s="19" t="str">
        <x:v>CONFIRMED_OFFICIAL_ALIAS</x:v>
      </x:c>
      <x:c r="G15" s="19" t="str">
        <x:v>MERGED_AS_SAME_DOWNLOAD_UNIT</x:v>
      </x:c>
      <x:c r="H15" s="19" t="str">
        <x:v>Original ID retained in this audit; aliases/tasks/sources merged into EEG-0346. No server files or completion markers were changed.</x:v>
      </x:c>
    </x:row>
    <x:row r="16" ht="48" customHeight="1">
      <x:c r="A16" s="19" t="str">
        <x:v>EEG-0399</x:v>
      </x:c>
      <x:c r="B16" s="19" t="str">
        <x:v>MI-Joints (EEG-fNIRS)</x:v>
      </x:c>
      <x:c r="C16" s="19" t="str">
        <x:v>EEG-0417</x:v>
      </x:c>
      <x:c r="D16" s="19" t="str">
        <x:v>Yi (2025)</x:v>
      </x:c>
      <x:c r="E16" s="19" t="str">
        <x:v>Figshare article 24123303</x:v>
      </x:c>
      <x:c r="F16" s="19" t="str">
        <x:v>CONFIRMED_SAME_REPOSITORY_ID</x:v>
      </x:c>
      <x:c r="G16" s="19" t="str">
        <x:v>MERGED_AS_SAME_DOWNLOAD_UNIT</x:v>
      </x:c>
      <x:c r="H16" s="19" t="str">
        <x:v>Original ID retained in this audit; aliases/tasks/sources merged into EEG-0399. No server files or completion markers were changed.</x:v>
      </x:c>
    </x:row>
    <x:row r="17" ht="48" customHeight="1">
      <x:c r="A17" s="19" t="str">
        <x:v>EEG-0363</x:v>
      </x:c>
      <x:c r="B17" s="19" t="str">
        <x:v>BNCI 002-2014 (Two-class MI)</x:v>
      </x:c>
      <x:c r="C17" s="19" t="str">
        <x:v>EEG-0367</x:v>
      </x:c>
      <x:c r="D17" s="19" t="str">
        <x:v>BNCI2014002</x:v>
      </x:c>
      <x:c r="E17" s="19" t="str">
        <x:v>BNCI 002-2014 / BNCI2014002</x:v>
      </x:c>
      <x:c r="F17" s="19" t="str">
        <x:v>CONFIRMED_OFFICIAL_ALIAS</x:v>
      </x:c>
      <x:c r="G17" s="19" t="str">
        <x:v>MERGED_AS_SAME_DOWNLOAD_UNIT</x:v>
      </x:c>
      <x:c r="H17" s="19" t="str">
        <x:v>Original ID retained in this audit; aliases/tasks/sources merged into EEG-0363. No server files or completion markers were changed.</x:v>
      </x:c>
    </x:row>
    <x:row r="18" ht="48" customHeight="1">
      <x:c r="A18" s="19" t="str">
        <x:v>EEG-0471</x:v>
      </x:c>
      <x:c r="B18" s="19" t="str">
        <x:v>BNCI 009-2014 (Covert and overt ERP)</x:v>
      </x:c>
      <x:c r="C18" s="19" t="str">
        <x:v>EEG-0476</x:v>
      </x:c>
      <x:c r="D18" s="19" t="str">
        <x:v>BNCI2014_009</x:v>
      </x:c>
      <x:c r="E18" s="19" t="str">
        <x:v>BNCI 009-2014 / BNCI2014_009</x:v>
      </x:c>
      <x:c r="F18" s="19" t="str">
        <x:v>CONFIRMED_OFFICIAL_ALIAS</x:v>
      </x:c>
      <x:c r="G18" s="19" t="str">
        <x:v>MERGED_AS_SAME_DOWNLOAD_UNIT</x:v>
      </x:c>
      <x:c r="H18" s="19" t="str">
        <x:v>Original ID retained in this audit; aliases/tasks/sources merged into EEG-0471. No server files or completion markers were changed.</x:v>
      </x:c>
    </x:row>
    <x:row r="19" ht="48" customHeight="1">
      <x:c r="A19" s="19" t="str">
        <x:v>EEG-0360</x:v>
      </x:c>
      <x:c r="B19" s="19" t="str">
        <x:v>BNCI 001-2015 (Autocalibration</x:v>
      </x:c>
      <x:c r="C19" s="19" t="str">
        <x:v>EEG-0368</x:v>
      </x:c>
      <x:c r="D19" s="19" t="str">
        <x:v>BNCI2015001</x:v>
      </x:c>
      <x:c r="E19" s="19" t="str">
        <x:v>BNCI 001-2015 / BNCI2015001</x:v>
      </x:c>
      <x:c r="F19" s="19" t="str">
        <x:v>CONFIRMED_OFFICIAL_ALIAS</x:v>
      </x:c>
      <x:c r="G19" s="19" t="str">
        <x:v>MERGED_AS_SAME_DOWNLOAD_UNIT</x:v>
      </x:c>
      <x:c r="H19" s="19" t="str">
        <x:v>Original ID retained in this audit; aliases/tasks/sources merged into EEG-0360. No server files or completion markers were changed.</x:v>
      </x:c>
    </x:row>
    <x:row r="20" ht="48" customHeight="1">
      <x:c r="A20" s="19" t="str">
        <x:v>EEG-0468</x:v>
      </x:c>
      <x:c r="B20" s="19" t="str">
        <x:v>BNCI 003-2015 (Visual P300 speller)</x:v>
      </x:c>
      <x:c r="C20" s="19" t="str">
        <x:v>EEG-0477</x:v>
      </x:c>
      <x:c r="D20" s="19" t="str">
        <x:v>BNCI2015_003</x:v>
      </x:c>
      <x:c r="E20" s="19" t="str">
        <x:v>BNCI 003-2015 / BNCI2015_003</x:v>
      </x:c>
      <x:c r="F20" s="19" t="str">
        <x:v>CONFIRMED_OFFICIAL_ALIAS</x:v>
      </x:c>
      <x:c r="G20" s="19" t="str">
        <x:v>MERGED_AS_SAME_DOWNLOAD_UNIT</x:v>
      </x:c>
      <x:c r="H20" s="19" t="str">
        <x:v>Original ID retained in this audit; aliases/tasks/sources merged into EEG-0468. No server files or completion markers were changed.</x:v>
      </x:c>
    </x:row>
    <x:row r="21" ht="48" customHeight="1">
      <x:c r="A21" s="19" t="str">
        <x:v>EEG-0208</x:v>
      </x:c>
      <x:c r="B21" s="19" t="str">
        <x:v>BNCI 004-2015 (Individual imagery)</x:v>
      </x:c>
      <x:c r="C21" s="19" t="str">
        <x:v>EEG-0365</x:v>
      </x:c>
      <x:c r="D21" s="19" t="str">
        <x:v>BNCI 004-2015 (Individual imagery)</x:v>
      </x:c>
      <x:c r="E21" s="19" t="str">
        <x:v>BNCI 004-2015 / BNCI2015_004</x:v>
      </x:c>
      <x:c r="F21" s="19" t="str">
        <x:v>CONFIRMED_OFFICIAL_ALIAS</x:v>
      </x:c>
      <x:c r="G21" s="19" t="str">
        <x:v>MERGED_AS_SAME_DOWNLOAD_UNIT</x:v>
      </x:c>
      <x:c r="H21" s="19" t="str">
        <x:v>Original ID retained in this audit; aliases/tasks/sources merged into EEG-0208. No server files or completion markers were changed.</x:v>
      </x:c>
    </x:row>
    <x:row r="22" ht="48" customHeight="1">
      <x:c r="A22" s="19" t="str">
        <x:v>EEG-0154</x:v>
      </x:c>
      <x:c r="B22" s="19" t="str">
        <x:v>BNCI 002-2016 (Emergency braking during simulated driving)</x:v>
      </x:c>
      <x:c r="C22" s="19" t="str">
        <x:v>EEG-0155</x:v>
      </x:c>
      <x:c r="D22" s="19" t="str">
        <x:v>BNCI2016_002 (Emergency Braking driving)</x:v>
      </x:c>
      <x:c r="E22" s="19" t="str">
        <x:v>BNCI 002-2016 / BNCI2016_002</x:v>
      </x:c>
      <x:c r="F22" s="19" t="str">
        <x:v>CONFIRMED_OFFICIAL_ALIAS</x:v>
      </x:c>
      <x:c r="G22" s="19" t="str">
        <x:v>MERGED_AS_SAME_DOWNLOAD_UNIT</x:v>
      </x:c>
      <x:c r="H22" s="19" t="str">
        <x:v>Original ID retained in this audit; aliases/tasks/sources merged into EEG-0154. No server files or completion markers were changed.</x:v>
      </x:c>
    </x:row>
    <x:row r="23" ht="48" customHeight="1">
      <x:c r="A23" s="19" t="str">
        <x:v>EEG-0369</x:v>
      </x:c>
      <x:c r="B23" s="19" t="str">
        <x:v>BNCI 001-2019 (Attempted arm movement)</x:v>
      </x:c>
      <x:c r="C23" s="19" t="str">
        <x:v>EEG-0496</x:v>
      </x:c>
      <x:c r="D23" s="19" t="str">
        <x:v>BNCI 001-2019 (Attempted arm</x:v>
      </x:c>
      <x:c r="E23" s="19" t="str">
        <x:v>BNCI 001-2019 / BNCI2019_001</x:v>
      </x:c>
      <x:c r="F23" s="19" t="str">
        <x:v>CONFIRMED_OFFICIAL_ALIAS</x:v>
      </x:c>
      <x:c r="G23" s="19" t="str">
        <x:v>MERGED_AS_SAME_DOWNLOAD_UNIT</x:v>
      </x:c>
      <x:c r="H23" s="19" t="str">
        <x:v>Original ID retained in this audit; aliases/tasks/sources merged into EEG-0369. No server files or completion markers were changed.</x:v>
      </x:c>
    </x:row>
    <x:row r="24" ht="48" customHeight="1">
      <x:c r="A24" s="19" t="str">
        <x:v>EEG-0362</x:v>
      </x:c>
      <x:c r="B24" s="19" t="str">
        <x:v>BNCI 001-2020 (Reach &amp; grasp, gel</x:v>
      </x:c>
      <x:c r="C24" s="19" t="str">
        <x:v>EEG-0370</x:v>
      </x:c>
      <x:c r="D24" s="19" t="str">
        <x:v>BNCI2020_001</x:v>
      </x:c>
      <x:c r="E24" s="19" t="str">
        <x:v>BNCI 001-2020 / BNCI2020_001</x:v>
      </x:c>
      <x:c r="F24" s="19" t="str">
        <x:v>CONFIRMED_OFFICIAL_ALIAS</x:v>
      </x:c>
      <x:c r="G24" s="19" t="str">
        <x:v>MERGED_AS_SAME_DOWNLOAD_UNIT</x:v>
      </x:c>
      <x:c r="H24" s="19" t="str">
        <x:v>Original ID retained in this audit; aliases/tasks/sources merged into EEG-0362. No server files or completion markers were changed.</x:v>
      </x:c>
    </x:row>
    <x:row r="25" ht="48" customHeight="1">
      <x:c r="A25" s="19" t="str">
        <x:v>EEG-0371</x:v>
      </x:c>
      <x:c r="B25" s="19" t="str">
        <x:v>BNCI2022_001 (Difficulty level)</x:v>
      </x:c>
      <x:c r="C25" s="19" t="str">
        <x:v>EEG-0526</x:v>
      </x:c>
      <x:c r="D25" s="19" t="str">
        <x:v>BNCI 001-2022 (EEG correlates of difficulty level)</x:v>
      </x:c>
      <x:c r="E25" s="19" t="str">
        <x:v>BNCI 001-2022 / BNCI2022_001</x:v>
      </x:c>
      <x:c r="F25" s="19" t="str">
        <x:v>CONFIRMED_OFFICIAL_ALIAS</x:v>
      </x:c>
      <x:c r="G25" s="19" t="str">
        <x:v>MERGED_AS_SAME_DOWNLOAD_UNIT</x:v>
      </x:c>
      <x:c r="H25" s="19" t="str">
        <x:v>Original ID retained in this audit; aliases/tasks/sources merged into EEG-0371. No server files or completion markers were changed.</x:v>
      </x:c>
    </x:row>
    <x:row r="26" ht="48" customHeight="1">
      <x:c r="A26" s="19" t="str">
        <x:v>EEG-0372</x:v>
      </x:c>
      <x:c r="B26" s="19" t="str">
        <x:v>BNCI2024_001 (Handwritten characters)</x:v>
      </x:c>
      <x:c r="C26" s="19" t="str">
        <x:v>EEG-0527</x:v>
      </x:c>
      <x:c r="D26" s="19" t="str">
        <x:v>BNCI 001-2024 (Handwritten character classification through continuous kinematic decoding)</x:v>
      </x:c>
      <x:c r="E26" s="19" t="str">
        <x:v>BNCI 001-2024 / BNCI2024_001</x:v>
      </x:c>
      <x:c r="F26" s="19" t="str">
        <x:v>CONFIRMED_OFFICIAL_ALIAS</x:v>
      </x:c>
      <x:c r="G26" s="19" t="str">
        <x:v>MERGED_AS_SAME_DOWNLOAD_UNIT</x:v>
      </x:c>
      <x:c r="H26" s="19" t="str">
        <x:v>Original ID retained in this audit; aliases/tasks/sources merged into EEG-0372. No server files or completion markers were changed.</x:v>
      </x:c>
    </x:row>
    <x:row r="27" ht="48" customHeight="1">
      <x:c r="A27" s="19" t="str">
        <x:v>EEG-0373</x:v>
      </x:c>
      <x:c r="B27" s="19" t="str">
        <x:v>BNCI2025_001 (Motor Kinematics Reaching)</x:v>
      </x:c>
      <x:c r="C27" s="19" t="str">
        <x:v>EEG-0528</x:v>
      </x:c>
      <x:c r="D27" s="19" t="str">
        <x:v>BNCI 001-2025 (Simultaneous encoding of speed, distance, and direction in discrete reaching)</x:v>
      </x:c>
      <x:c r="E27" s="19" t="str">
        <x:v>BNCI 001-2025 / BNCI2025_001</x:v>
      </x:c>
      <x:c r="F27" s="19" t="str">
        <x:v>CONFIRMED_OFFICIAL_ALIAS</x:v>
      </x:c>
      <x:c r="G27" s="19" t="str">
        <x:v>MERGED_AS_SAME_DOWNLOAD_UNIT</x:v>
      </x:c>
      <x:c r="H27" s="19" t="str">
        <x:v>Original ID retained in this audit; aliases/tasks/sources merged into EEG-0373. No server files or completion markers were changed.</x:v>
      </x:c>
    </x:row>
    <x:row r="28" ht="48" customHeight="1">
      <x:c r="A28" s="19" t="str">
        <x:v>EEG-0374</x:v>
      </x:c>
      <x:c r="B28" s="19" t="str">
        <x:v>BNCI2025_002 (Continuous 2D Trajectory)</x:v>
      </x:c>
      <x:c r="C28" s="19" t="str">
        <x:v>EEG-0529</x:v>
      </x:c>
      <x:c r="D28" s="19" t="str">
        <x:v>BNCI 002-2025 (Continuous 2D trajectory decoding from attempted movement)</x:v>
      </x:c>
      <x:c r="E28" s="19" t="str">
        <x:v>BNCI 002-2025 / BNCI2025_002</x:v>
      </x:c>
      <x:c r="F28" s="19" t="str">
        <x:v>CONFIRMED_OFFICIAL_ALIAS</x:v>
      </x:c>
      <x:c r="G28" s="19" t="str">
        <x:v>MERGED_AS_SAME_DOWNLOAD_UNIT</x:v>
      </x:c>
      <x:c r="H28" s="19" t="str">
        <x:v>Original ID retained in this audit; aliases/tasks/sources merged into EEG-0374. No server files or completion markers were changed.</x:v>
      </x:c>
    </x:row>
    <x:row r="29" ht="48" customHeight="1">
      <x:c r="A29" s="19" t="str">
        <x:v>EEG-0189</x:v>
      </x:c>
      <x:c r="B29" s="19" t="str">
        <x:v>SAM 40</x:v>
      </x:c>
      <x:c r="C29" s="19" t="str">
        <x:v>EEG-0233</x:v>
      </x:c>
      <x:c r="D29" s="19" t="str">
        <x:v>Ghosh (2019)</x:v>
      </x:c>
      <x:c r="E29" s="19" t="str">
        <x:v>Figshare article 14562090</x:v>
      </x:c>
      <x:c r="F29" s="19" t="str">
        <x:v>CONFIRMED_SAME_REPOSITORY_ID</x:v>
      </x:c>
      <x:c r="G29" s="19" t="str">
        <x:v>MERGED_AS_SAME_DOWNLOAD_UNIT</x:v>
      </x:c>
      <x:c r="H29" s="19" t="str">
        <x:v>Original ID retained in this audit; aliases/tasks/sources merged into EEG-0189. No server files or completion markers were changed.</x:v>
      </x:c>
    </x:row>
    <x:row r="30" ht="48" customHeight="1">
      <x:c r="A30" s="19" t="str">
        <x:v>EEG-0212</x:v>
      </x:c>
      <x:c r="B30" s="19" t="str">
        <x:v>Chen (2024)</x:v>
      </x:c>
      <x:c r="C30" s="19" t="str">
        <x:v>EEG-0218</x:v>
      </x:c>
      <x:c r="D30" s="19" t="str">
        <x:v>Deception-Game</x:v>
      </x:c>
      <x:c r="E30" s="19" t="str">
        <x:v>Figshare article 24760827</x:v>
      </x:c>
      <x:c r="F30" s="19" t="str">
        <x:v>CONFIRMED_SAME_REPOSITORY_ID</x:v>
      </x:c>
      <x:c r="G30" s="19" t="str">
        <x:v>MERGED_AS_SAME_DOWNLOAD_UNIT</x:v>
      </x:c>
      <x:c r="H30" s="19" t="str">
        <x:v>Original ID retained in this audit; aliases/tasks/sources merged into EEG-0212. No server files or completion markers were changed.</x:v>
      </x:c>
    </x:row>
    <x:row r="31" ht="48" customHeight="1">
      <x:c r="A31" s="19" t="str">
        <x:v>EEG-0085</x:v>
      </x:c>
      <x:c r="B31" s="19" t="str">
        <x:v>Lower-Limb-MI (stroke)</x:v>
      </x:c>
      <x:c r="C31" s="19" t="str">
        <x:v>EEG-0396</x:v>
      </x:c>
      <x:c r="D31" s="19" t="str">
        <x:v>Liu (2019)</x:v>
      </x:c>
      <x:c r="E31" s="19" t="str">
        <x:v>Figshare article 27130299</x:v>
      </x:c>
      <x:c r="F31" s="19" t="str">
        <x:v>CONFIRMED_SAME_REPOSITORY_ID</x:v>
      </x:c>
      <x:c r="G31" s="19" t="str">
        <x:v>MERGED_AS_SAME_DOWNLOAD_UNIT</x:v>
      </x:c>
      <x:c r="H31" s="19" t="str">
        <x:v>Original ID retained in this audit; aliases/tasks/sources merged into EEG-0085. No server files or completion markers were changed.</x:v>
      </x:c>
    </x:row>
    <x:row r="32" ht="48" customHeight="1">
      <x:c r="A32" s="19" t="str">
        <x:v>EEG-0167</x:v>
      </x:c>
      <x:c r="B32" s="19" t="str">
        <x:v>SPIS</x:v>
      </x:c>
      <x:c r="C32" s="19" t="str">
        <x:v>EEG-0250</x:v>
      </x:c>
      <x:c r="D32" s="19" t="str">
        <x:v>SPIS Resting State Dataset</x:v>
      </x:c>
      <x:c r="E32" s="19" t="str">
        <x:v>GitHub repository mastaneht/SPIS-Resting-State-Dataset</x:v>
      </x:c>
      <x:c r="F32" s="19" t="str">
        <x:v>CONFIRMED_SAME_REPOSITORY_ID</x:v>
      </x:c>
      <x:c r="G32" s="19" t="str">
        <x:v>MERGED_AS_SAME_DOWNLOAD_UNIT</x:v>
      </x:c>
      <x:c r="H32" s="19" t="str">
        <x:v>Original ID retained in this audit; aliases/tasks/sources merged into EEG-0167. No server files or completion markers were changed.</x:v>
      </x:c>
    </x:row>
    <x:row r="33" ht="48" customHeight="1">
      <x:c r="A33" s="19" t="str">
        <x:v>EEG-0180</x:v>
      </x:c>
      <x:c r="B33" s="19" t="str">
        <x:v>eNTERFACE 2006 (Emobrain) Dataset</x:v>
      </x:c>
      <x:c r="C33" s="19" t="str">
        <x:v>EEG-0177</x:v>
      </x:c>
      <x:c r="D33" s="19" t="str">
        <x:v>Emobrain</x:v>
      </x:c>
      <x:c r="E33" s="19" t="str">
        <x:v>User-confirmed catalog identity; retain the five-subject eNTERFACE 2006 release as canonical</x:v>
      </x:c>
      <x:c r="F33" s="19" t="str">
        <x:v>CONFIRMED_USER_REVIEW</x:v>
      </x:c>
      <x:c r="G33" s="19" t="str">
        <x:v>MERGED_AS_SAME_DOWNLOAD_UNIT</x:v>
      </x:c>
      <x:c r="H33" s="19" t="str">
        <x:v>Original ID retained in this audit; aliases/tasks/sources merged into EEG-0180. No server files or completion markers were changed.</x:v>
      </x:c>
    </x:row>
    <x:row r="34" ht="48" customHeight="1">
      <x:c r="A34" s="19" t="str">
        <x:v>EEG-0519</x:v>
      </x:c>
      <x:c r="B34" s="19" t="str">
        <x:v>Cuban Human Brain Mapping Project (CHBMP)</x:v>
      </x:c>
      <x:c r="C34" s="19" t="str">
        <x:v>EEG-0147</x:v>
      </x:c>
      <x:c r="D34" s="19" t="str">
        <x:v>Valdes-Sosa (2021)</x:v>
      </x:c>
      <x:c r="E34" s="19" t="str">
        <x:v>CHBMP / Synapse syn22324937 / LORIS; DOI 10.1038/s41597-021-00829-7</x:v>
      </x:c>
      <x:c r="F34" s="19" t="str">
        <x:v>CONFIRMED_OFFICIAL_ALIAS</x:v>
      </x:c>
      <x:c r="G34" s="19" t="str">
        <x:v>MERGED_AS_SAME_DOWNLOAD_UNIT</x:v>
      </x:c>
      <x:c r="H34" s="19" t="str">
        <x:v>Original ID retained in this audit; aliases/tasks/sources merged into EEG-0519. No server files or completion markers were changed.</x:v>
      </x:c>
    </x:row>
    <x:row r="35" ht="48" customHeight="1">
      <x:c r="A35" s="19" t="str">
        <x:v>EEG-0519</x:v>
      </x:c>
      <x:c r="B35" s="19" t="str">
        <x:v>Cuban Human Brain Mapping Project (CHBMP)</x:v>
      </x:c>
      <x:c r="C35" s="19" t="str">
        <x:v>EEG-0498</x:v>
      </x:c>
      <x:c r="D35" s="19" t="str">
        <x:v>CHBMP</x:v>
      </x:c>
      <x:c r="E35" s="19" t="str">
        <x:v>CHBMP / Synapse syn22324937 / LORIS; DOI 10.1038/s41597-021-00829-7</x:v>
      </x:c>
      <x:c r="F35" s="19" t="str">
        <x:v>CONFIRMED_OFFICIAL_ALIAS</x:v>
      </x:c>
      <x:c r="G35" s="19" t="str">
        <x:v>MERGED_AS_SAME_DOWNLOAD_UNIT</x:v>
      </x:c>
      <x:c r="H35" s="19" t="str">
        <x:v>Original ID retained in this audit; aliases/tasks/sources merged into EEG-0519. No server files or completion markers were changed.</x:v>
      </x:c>
    </x:row>
    <x:row r="36" ht="48" customHeight="1">
      <x:c r="A36" s="19" t="str">
        <x:v>EEG-0357</x:v>
      </x:c>
      <x:c r="B36" s="19" t="str">
        <x:v>Beamforming in Noninvasive Brain–Computer Interfaces Dataset</x:v>
      </x:c>
      <x:c r="C36" s="19" t="str">
        <x:v>EEG-0406</x:v>
      </x:c>
      <x:c r="D36" s="19" t="str">
        <x:v>Munich Motor Imagery Dataset (Grosse-Wentrup 2009)</x:v>
      </x:c>
      <x:c r="E36" s="19" t="str">
        <x:v>Zenodo record 1217449</x:v>
      </x:c>
      <x:c r="F36" s="19" t="str">
        <x:v>CONFIRMED_SAME_REPOSITORY_ID</x:v>
      </x:c>
      <x:c r="G36" s="19" t="str">
        <x:v>MERGED_AS_SAME_DOWNLOAD_UNIT</x:v>
      </x:c>
      <x:c r="H36" s="19" t="str">
        <x:v>Original ID retained in this audit; aliases/tasks/sources merged into EEG-0357. No server files or completion markers were changed.</x:v>
      </x:c>
    </x:row>
    <x:row r="37" ht="48" customHeight="1">
      <x:c r="A37" s="19" t="str">
        <x:v>EEG-0262</x:v>
      </x:c>
      <x:c r="B37" s="19" t="str">
        <x:v>Cattan2019 VR P300 (Zenodo)</x:v>
      </x:c>
      <x:c r="C37" s="19" t="str">
        <x:v>EEG-0491</x:v>
      </x:c>
      <x:c r="D37" s="19" t="str">
        <x:v>VR.EEG.2018-GIPSA (Brain Invaders VR 2018)</x:v>
      </x:c>
      <x:c r="E37" s="19" t="str">
        <x:v>Zenodo record 2605204</x:v>
      </x:c>
      <x:c r="F37" s="19" t="str">
        <x:v>CONFIRMED_SAME_REPOSITORY_ID</x:v>
      </x:c>
      <x:c r="G37" s="19" t="str">
        <x:v>MERGED_AS_SAME_DOWNLOAD_UNIT</x:v>
      </x:c>
      <x:c r="H37" s="19" t="str">
        <x:v>Original ID retained in this audit; aliases/tasks/sources merged into EEG-0262. No server files or completion markers were changed.</x:v>
      </x:c>
    </x:row>
    <x:row r="38" ht="48" customHeight="1">
      <x:c r="A38" s="19" t="str">
        <x:v>EEG-0066</x:v>
      </x:c>
      <x:c r="B38" s="19" t="str">
        <x:v>AMIGOS</x:v>
      </x:c>
      <x:c r="C38" s="19" t="str">
        <x:v>EEG-0109</x:v>
      </x:c>
      <x:c r="D38" s="19" t="str">
        <x:v>AMIGOS</x:v>
      </x:c>
      <x:c r="E38" s="19" t="str">
        <x:v>AMIGOS official dataset and paper identity</x:v>
      </x:c>
      <x:c r="F38" s="19" t="str">
        <x:v>CONFIRMED_OFFICIAL_ALIAS</x:v>
      </x:c>
      <x:c r="G38" s="19" t="str">
        <x:v>MERGED_AS_SAME_DOWNLOAD_UNIT</x:v>
      </x:c>
      <x:c r="H38" s="19" t="str">
        <x:v>Original ID retained in this audit; aliases/tasks/sources merged into EEG-0066. No server files or completion markers were changed.</x:v>
      </x:c>
    </x:row>
    <x:row r="39" ht="48" customHeight="1">
      <x:c r="A39" s="19" t="str">
        <x:v>EEG-0076</x:v>
      </x:c>
      <x:c r="B39" s="19" t="str">
        <x:v>DEAP</x:v>
      </x:c>
      <x:c r="C39" s="19" t="str">
        <x:v>EEG-0118</x:v>
      </x:c>
      <x:c r="D39" s="19" t="str">
        <x:v>DEAP</x:v>
      </x:c>
      <x:c r="E39" s="19" t="str">
        <x:v>DEAP official QMUL dataset; arousal is a task/label view, not a separate download unit</x:v>
      </x:c>
      <x:c r="F39" s="19" t="str">
        <x:v>CONFIRMED_OFFICIAL_ALIAS</x:v>
      </x:c>
      <x:c r="G39" s="19" t="str">
        <x:v>MERGED_AS_SAME_DOWNLOAD_UNIT</x:v>
      </x:c>
      <x:c r="H39" s="19" t="str">
        <x:v>Original ID retained in this audit; aliases/tasks/sources merged into EEG-0076. No server files or completion markers were changed.</x:v>
      </x:c>
    </x:row>
    <x:row r="40" ht="48" customHeight="1">
      <x:c r="A40" s="19" t="str">
        <x:v>EEG-0076</x:v>
      </x:c>
      <x:c r="B40" s="19" t="str">
        <x:v>DEAP</x:v>
      </x:c>
      <x:c r="C40" s="19" t="str">
        <x:v>EEG-0119</x:v>
      </x:c>
      <x:c r="D40" s="19" t="str">
        <x:v>DEAP-arousal</x:v>
      </x:c>
      <x:c r="E40" s="19" t="str">
        <x:v>DEAP official QMUL dataset; arousal is a task/label view, not a separate download unit</x:v>
      </x:c>
      <x:c r="F40" s="19" t="str">
        <x:v>CONFIRMED_OFFICIAL_ALIAS</x:v>
      </x:c>
      <x:c r="G40" s="19" t="str">
        <x:v>MERGED_AS_SAME_DOWNLOAD_UNIT</x:v>
      </x:c>
      <x:c r="H40" s="19" t="str">
        <x:v>Original ID retained in this audit; aliases/tasks/sources merged into EEG-0076. No server files or completion markers were changed.</x:v>
      </x:c>
    </x:row>
    <x:row r="41" ht="48" customHeight="1">
      <x:c r="A41" s="19" t="str">
        <x:v>EEG-0069</x:v>
      </x:c>
      <x:c r="B41" s="19" t="str">
        <x:v>Tsinghua SSVEP Benchmark (Wang 2016)</x:v>
      </x:c>
      <x:c r="C41" s="19" t="str">
        <x:v>EEG-0445</x:v>
      </x:c>
      <x:c r="D41" s="19" t="str">
        <x:v>SSVEP Benchmark (Wang 2016)</x:v>
      </x:c>
      <x:c r="E41" s="19" t="str">
        <x:v>Tsinghua SSVEP Benchmark / Wang 2016</x:v>
      </x:c>
      <x:c r="F41" s="19" t="str">
        <x:v>CONFIRMED_OFFICIAL_ALIAS</x:v>
      </x:c>
      <x:c r="G41" s="19" t="str">
        <x:v>MERGED_AS_SAME_DOWNLOAD_UNIT</x:v>
      </x:c>
      <x:c r="H41" s="19" t="str">
        <x:v>Original ID retained in this audit; aliases/tasks/sources merged into EEG-0069. No server files or completion markers were changed.</x:v>
      </x:c>
    </x:row>
    <x:row r="42" ht="48" customHeight="1">
      <x:c r="A42" s="19" t="str">
        <x:v>EEG-0420</x:v>
      </x:c>
      <x:c r="B42" s="19" t="str">
        <x:v>BETA SSVEP Dataset</x:v>
      </x:c>
      <x:c r="C42" s="19" t="str">
        <x:v>EEG-0450</x:v>
      </x:c>
      <x:c r="D42" s="19" t="str">
        <x:v>Tsinghua BETA SSVEP</x:v>
      </x:c>
      <x:c r="E42" s="19" t="str">
        <x:v>BETA SSVEP official dataset / Figshare 12264401</x:v>
      </x:c>
      <x:c r="F42" s="19" t="str">
        <x:v>CONFIRMED_OFFICIAL_ALIAS</x:v>
      </x:c>
      <x:c r="G42" s="19" t="str">
        <x:v>MERGED_AS_SAME_DOWNLOAD_UNIT</x:v>
      </x:c>
      <x:c r="H42" s="19" t="str">
        <x:v>Original ID retained in this audit; aliases/tasks/sources merged into EEG-0420. No server files or completion markers were changed.</x:v>
      </x:c>
    </x:row>
    <x:row r="43" ht="48" customHeight="1">
      <x:c r="A43" s="19" t="str">
        <x:v>EEG-0429</x:v>
      </x:c>
      <x:c r="B43" s="19" t="str">
        <x:v>Dong2023</x:v>
      </x:c>
      <x:c r="C43" s="19" t="str">
        <x:v>EEG-0430</x:v>
      </x:c>
      <x:c r="D43" s="19" t="str">
        <x:v>Dong2023 - SSVEP EEG Dataset</x:v>
      </x:c>
      <x:c r="E43" s="19" t="str">
        <x:v>Dong2023 MOABB wrapper and Zenodo 18847318</x:v>
      </x:c>
      <x:c r="F43" s="19" t="str">
        <x:v>CONFIRMED_PAPER_REPOSITORY_CROSSWALK</x:v>
      </x:c>
      <x:c r="G43" s="19" t="str">
        <x:v>MERGED_AS_SAME_DOWNLOAD_UNIT</x:v>
      </x:c>
      <x:c r="H43" s="19" t="str">
        <x:v>Original ID retained in this audit; aliases/tasks/sources merged into EEG-0429. No server files or completion markers were changed.</x:v>
      </x:c>
    </x:row>
    <x:row r="44" ht="48" customHeight="1">
      <x:c r="A44" s="19" t="str">
        <x:v>EEG-0446</x:v>
      </x:c>
      <x:c r="B44" s="19" t="str">
        <x:v>Human SSVEPs 1-60 Hz - Complete Collection</x:v>
      </x:c>
      <x:c r="C44" s="19" t="str">
        <x:v>EEG-0437</x:v>
      </x:c>
      <x:c r="D44" s="19" t="str">
        <x:v>Human SSVEPs 1–60 Hz Dataset</x:v>
      </x:c>
      <x:c r="E44" s="19" t="str">
        <x:v>Figshare 23641017 is the early 15-subject partial release; collection 6752910 is the formal 30-subject complete release</x:v>
      </x:c>
      <x:c r="F44" s="19" t="str">
        <x:v>CONFIRMED_VERSION_SUCCESSOR</x:v>
      </x:c>
      <x:c r="G44" s="19" t="str">
        <x:v>MERGED_AS_SAME_DOWNLOAD_UNIT</x:v>
      </x:c>
      <x:c r="H44" s="19" t="str">
        <x:v>Original ID retained in this audit; aliases/tasks/sources merged into EEG-0446. No server files or completion markers were changed.</x:v>
      </x:c>
    </x:row>
    <x:row r="45" ht="48" customHeight="1">
      <x:c r="A45" s="19" t="str">
        <x:v>EEG-0179</x:v>
      </x:c>
      <x:c r="B45" s="19" t="str">
        <x:v>Emotion (Voice-UI)</x:v>
      </x:c>
      <x:c r="C45" s="19" t="str">
        <x:v>EEG-0198</x:v>
      </x:c>
      <x:c r="D45" s="19" t="str">
        <x:v>Voice-User Interaction Emotion EEG Dataset</x:v>
      </x:c>
      <x:c r="E45" s="19" t="str">
        <x:v>Figshare collection 7207839; Voice-User Interaction Emotion EEG</x:v>
      </x:c>
      <x:c r="F45" s="19" t="str">
        <x:v>CONFIRMED_SAME_REPOSITORY_ID</x:v>
      </x:c>
      <x:c r="G45" s="19" t="str">
        <x:v>MERGED_AS_SAME_DOWNLOAD_UNIT</x:v>
      </x:c>
      <x:c r="H45" s="19" t="str">
        <x:v>Original ID retained in this audit; aliases/tasks/sources merged into EEG-0179. No server files or completion markers were changed.</x:v>
      </x:c>
    </x:row>
    <x:row r="46" ht="48" customHeight="1">
      <x:c r="A46" s="19" t="str">
        <x:v>EEG-0209</x:v>
      </x:c>
      <x:c r="B46" s="19" t="str">
        <x:v>Broderick (Cocktail party)</x:v>
      </x:c>
      <x:c r="C46" s="19" t="str">
        <x:v>EEG-0294</x:v>
      </x:c>
      <x:c r="D46" s="19" t="str">
        <x:v>Broderick (Reverse/Natural speech)</x:v>
      </x:c>
      <x:c r="E46" s="19" t="str">
        <x:v>Dryad DOI 10.5061/dryad.070jc</x:v>
      </x:c>
      <x:c r="F46" s="19" t="str">
        <x:v>CONFIRMED_SAME_REPOSITORY_ID</x:v>
      </x:c>
      <x:c r="G46" s="19" t="str">
        <x:v>MERGED_AS_SAME_DOWNLOAD_UNIT</x:v>
      </x:c>
      <x:c r="H46" s="19" t="str">
        <x:v>Original ID retained in this audit; aliases/tasks/sources merged into EEG-0209. No server files or completion markers were changed.</x:v>
      </x:c>
    </x:row>
  </x:sheetData>
  <x:pageMargins left="0.7" right="0.7" top="0.75" bottom="0.75" header="0.3" footer="0.3"/>
  <x:tableParts count="1">
    <x:tablePart xmlns:r="http://schemas.openxmlformats.org/officeDocument/2006/relationships" r:id="Ra3e06932ccc64b6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42" hidden="0" customWidth="1"/>
    <x:col min="4" max="4" width="52" hidden="0" customWidth="1"/>
    <x:col min="5" max="5" width="48" hidden="0" customWidth="1"/>
    <x:col min="6" max="6" width="46" hidden="0" customWidth="1"/>
  </x:cols>
  <x:sheetData>
    <x:row r="1" ht="36" customHeight="1">
      <x:c r="A1" s="23" t="str">
        <x:v>Review group</x:v>
      </x:c>
      <x:c r="B1" s="23" t="str">
        <x:v>List IDs</x:v>
      </x:c>
      <x:c r="C1" s="23" t="str">
        <x:v>Decision</x:v>
      </x:c>
      <x:c r="D1" s="23" t="str">
        <x:v>Canonical/result</x:v>
      </x:c>
      <x:c r="E1" s="23" t="str">
        <x:v>Evidence</x:v>
      </x:c>
      <x:c r="F1" s="23" t="str">
        <x:v>Notes</x:v>
      </x:c>
    </x:row>
    <x:row r="2" ht="58" customHeight="1">
      <x:c r="A2" s="24" t="str">
        <x:v>CAND-01</x:v>
      </x:c>
      <x:c r="B2" s="24" t="str">
        <x:v>EEG-0005 / EEG-0029</x:v>
      </x:c>
      <x:c r="C2" s="24" t="str">
        <x:v>MERGED</x:v>
      </x:c>
      <x:c r="D2" s="24" t="str">
        <x:v>Keep EEG-0005; remove EEG-0029</x:v>
      </x:c>
      <x:c r="E2" s="24" t="str">
        <x:v>EEG-0005 is the newer release</x:v>
      </x:c>
      <x:c r="F2" s="24" t="str">
        <x:v>Old ID retained in duplicate evidence</x:v>
      </x:c>
    </x:row>
    <x:row r="3" ht="58" customHeight="1">
      <x:c r="A3" s="24" t="str">
        <x:v>CAND-02</x:v>
      </x:c>
      <x:c r="B3" s="24" t="str">
        <x:v>EEG-0177 / EEG-0180</x:v>
      </x:c>
      <x:c r="C3" s="24" t="str">
        <x:v>MERGED</x:v>
      </x:c>
      <x:c r="D3" s="24" t="str">
        <x:v>Keep EEG-0180; remove EEG-0177</x:v>
      </x:c>
      <x:c r="E3" s="24" t="str">
        <x:v>User-confirmed catalog identity</x:v>
      </x:c>
      <x:c r="F3" s="24" t="str">
        <x:v>EEG-0180 metadata corrected to 5 subjects, 54 EEG channels and the documented sampling-rate exception</x:v>
      </x:c>
    </x:row>
    <x:row r="4" ht="58" customHeight="1">
      <x:c r="A4" s="24" t="str">
        <x:v>CAND-03</x:v>
      </x:c>
      <x:c r="B4" s="24" t="str">
        <x:v>EEG-0165 / EEG-0166</x:v>
      </x:c>
      <x:c r="C4" s="24" t="str">
        <x:v>DISTINCT</x:v>
      </x:c>
      <x:c r="D4" s="24" t="str">
        <x:v>Keep both</x:v>
      </x:c>
      <x:c r="E4" s="24" t="str">
        <x:v>Shared paper DOI but different named tasks and landing pages</x:v>
      </x:c>
      <x:c r="F4" s="24" t="str">
        <x:v>Not duplicates</x:v>
      </x:c>
    </x:row>
    <x:row r="5" ht="58" customHeight="1">
      <x:c r="A5" s="24" t="str">
        <x:v>CAND-04</x:v>
      </x:c>
      <x:c r="B5" s="24" t="str">
        <x:v>EEG-0169 / EEG-0170 / EEG-0171</x:v>
      </x:c>
      <x:c r="C5" s="24" t="str">
        <x:v>DISTINCT</x:v>
      </x:c>
      <x:c r="D5" s="24" t="str">
        <x:v>Keep all three</x:v>
      </x:c>
      <x:c r="E5" s="24" t="str">
        <x:v>Distinct OpenNeuro accessions ds002722/ds002723/ds002724</x:v>
      </x:c>
      <x:c r="F5" s="24" t="str">
        <x:v>Not duplicates</x:v>
      </x:c>
    </x:row>
    <x:row r="6" ht="58" customHeight="1">
      <x:c r="A6" s="24" t="str">
        <x:v>CAND-05</x:v>
      </x:c>
      <x:c r="B6" s="24" t="str">
        <x:v>EEG-0224 / EEG-0225</x:v>
      </x:c>
      <x:c r="C6" s="24" t="str">
        <x:v>DISTINCT</x:v>
      </x:c>
      <x:c r="D6" s="24" t="str">
        <x:v>Keep both</x:v>
      </x:c>
      <x:c r="E6" s="24" t="str">
        <x:v>Distinct OpenNeuro accessions ds004816/ds004817</x:v>
      </x:c>
      <x:c r="F6" s="24" t="str">
        <x:v>Not duplicates</x:v>
      </x:c>
    </x:row>
    <x:row r="7" ht="58" customHeight="1">
      <x:c r="A7" s="24" t="str">
        <x:v>CAND-06</x:v>
      </x:c>
      <x:c r="B7" s="24" t="str">
        <x:v>EEG-0245 / EEG-0246</x:v>
      </x:c>
      <x:c r="C7" s="24" t="str">
        <x:v>DISTINCT</x:v>
      </x:c>
      <x:c r="D7" s="24" t="str">
        <x:v>Keep both</x:v>
      </x:c>
      <x:c r="E7" s="24" t="str">
        <x:v>Different sample sizes and study components</x:v>
      </x:c>
      <x:c r="F7" s="24" t="str">
        <x:v>Not duplicates</x:v>
      </x:c>
    </x:row>
    <x:row r="8" ht="58" customHeight="1">
      <x:c r="A8" s="24" t="str">
        <x:v>CAND-07</x:v>
      </x:c>
      <x:c r="B8" s="24" t="str">
        <x:v>EEG-0437 / EEG-0446</x:v>
      </x:c>
      <x:c r="C8" s="24" t="str">
        <x:v>MERGED</x:v>
      </x:c>
      <x:c r="D8" s="24" t="str">
        <x:v>Keep EEG-0446; remove EEG-0437</x:v>
      </x:c>
      <x:c r="E8" s="24" t="str">
        <x:v>EEG-0437 is the early 15-subject partial release; EEG-0446 is the formal 30-subject complete collection</x:v>
      </x:c>
      <x:c r="F8" s="24" t="str">
        <x:v>Old ID retained in duplicate evidence</x:v>
      </x:c>
    </x:row>
  </x:sheetData>
  <x:pageMargins left="0.7" right="0.7" top="0.75" bottom="0.75" header="0.3" footer="0.3"/>
  <x:tableParts count="1">
    <x:tablePart xmlns:r="http://schemas.openxmlformats.org/officeDocument/2006/relationships" r:id="R6a23ae4ba7944d0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20" hidden="0" customWidth="1"/>
    <x:col min="4" max="4" width="42" hidden="0" customWidth="1"/>
    <x:col min="5" max="5" width="22" hidden="0" customWidth="1"/>
    <x:col min="6" max="6" width="42" hidden="0" customWidth="1"/>
    <x:col min="7" max="7" width="34" hidden="0" customWidth="1"/>
    <x:col min="8" max="8" width="42" hidden="0" customWidth="1"/>
    <x:col min="9" max="9" width="24" hidden="0" customWidth="1"/>
    <x:col min="10" max="10" width="42" hidden="0" customWidth="1"/>
    <x:col min="11" max="11" width="48" hidden="0" customWidth="1"/>
  </x:cols>
  <x:sheetData>
    <x:row r="1" ht="36" customHeight="1">
      <x:c r="A1" s="23" t="str">
        <x:v>List ID</x:v>
      </x:c>
      <x:c r="B1" s="23" t="str">
        <x:v>Corpus</x:v>
      </x:c>
      <x:c r="C1" s="23" t="str">
        <x:v>Current official version</x:v>
      </x:c>
      <x:c r="D1" s="23" t="str">
        <x:v>Official rsync path</x:v>
      </x:c>
      <x:c r="E1" s="23" t="str">
        <x:v>Relationship to TUEG</x:v>
      </x:c>
      <x:c r="F1" s="23" t="str">
        <x:v>Subjects/records</x:v>
      </x:c>
      <x:c r="G1" s="23" t="str">
        <x:v>Duration/size</x:v>
      </x:c>
      <x:c r="H1" s="23" t="str">
        <x:v>Task/annotation</x:v>
      </x:c>
      <x:c r="I1" s="23" t="str">
        <x:v>Download status</x:v>
      </x:c>
      <x:c r="J1" s="23" t="str">
        <x:v>Counting rule</x:v>
      </x:c>
      <x:c r="K1" s="23" t="str">
        <x:v>Official landing page</x:v>
      </x:c>
    </x:row>
    <x:row r="2" ht="62" customHeight="1">
      <x:c r="A2" s="24" t="str">
        <x:v>EEG-0582</x:v>
      </x:c>
      <x:c r="B2" s="24" t="str">
        <x:v>TUEG</x:v>
      </x:c>
      <x:c r="C2" s="24" t="str">
        <x:v>v2.0.2</x:v>
      </x:c>
      <x:c r="D2" s="24" t="str">
        <x:v>data/tuh_eeg/tuh_eeg/v2.0.2</x:v>
      </x:c>
      <x:c r="E2" s="24" t="str">
        <x:v>Parent corpus</x:v>
      </x:c>
      <x:c r="F2" s="24" t="str">
        <x:v>14,987 patients; 26,846 recordings; 69,672 EDF (v2.0.1 audit)</x:v>
      </x:c>
      <x:c r="G2" s="24" t="str">
        <x:v>27,077.3 h; about 1,643 GB (v2.0.1 audit)</x:v>
      </x:c>
      <x:c r="H2" s="24" t="str">
        <x:v>Broad clinical EEG archive</x:v>
      </x:c>
      <x:c r="I2" s="24" t="str">
        <x:v>APPLICATION_REQUIRED</x:v>
      </x:c>
      <x:c r="J2" s="24" t="str">
        <x:v>Use as the union; do not add subset totals</x:v>
      </x:c>
      <x:c r="K2" s="24" t="str">
        <x:v>https://isip.piconepress.com/projects/nedc/html/tuh_eeg/</x:v>
      </x:c>
    </x:row>
    <x:row r="3" ht="62" customHeight="1">
      <x:c r="A3" s="19" t="str">
        <x:v>EEG-0107</x:v>
      </x:c>
      <x:c r="B3" s="19" t="str">
        <x:v>TUAB</x:v>
      </x:c>
      <x:c r="C3" s="19" t="str">
        <x:v>v3.0.1</x:v>
      </x:c>
      <x:c r="D3" s="19" t="str">
        <x:v>data/tuh_eeg/tuh_eeg_abnormal/v3.0.1</x:v>
      </x:c>
      <x:c r="E3" s="19" t="str">
        <x:v>Subset of TUEG</x:v>
      </x:c>
      <x:c r="F3" s="19" t="str">
        <x:v>2,383 subjects; 2,993 sessions (catalog scope)</x:v>
      </x:c>
      <x:c r="G3" s="19" t="str">
        <x:v>See downloaded-content audit</x:v>
      </x:c>
      <x:c r="H3" s="19" t="str">
        <x:v>Normal vs abnormal</x:v>
      </x:c>
      <x:c r="I3" s="19" t="str">
        <x:v>APPLICATION_REQUIRED</x:v>
      </x:c>
      <x:c r="J3" s="19" t="str">
        <x:v>Report separately; overlaps TUEG</x:v>
      </x:c>
      <x:c r="K3" s="19" t="str">
        <x:v>https://isip.piconepress.com/projects/nedc/html/tuh_eeg/</x:v>
      </x:c>
    </x:row>
    <x:row r="4" ht="62" customHeight="1">
      <x:c r="A4" s="19" t="str">
        <x:v>EEG-0004</x:v>
      </x:c>
      <x:c r="B4" s="19" t="str">
        <x:v>TUAR</x:v>
      </x:c>
      <x:c r="C4" s="19" t="str">
        <x:v>v3.0.1</x:v>
      </x:c>
      <x:c r="D4" s="19" t="str">
        <x:v>data/tuh_eeg/tuh_eeg_artifact/v3.0.1</x:v>
      </x:c>
      <x:c r="E4" s="19" t="str">
        <x:v>Subset of TUEG</x:v>
      </x:c>
      <x:c r="F4" s="19" t="str">
        <x:v>213 subjects; about 310 sessions</x:v>
      </x:c>
      <x:c r="G4" s="19" t="str">
        <x:v>See downloaded-content audit</x:v>
      </x:c>
      <x:c r="H4" s="19" t="str">
        <x:v>Five artifact classes</x:v>
      </x:c>
      <x:c r="I4" s="19" t="str">
        <x:v>APPLICATION_REQUIRED</x:v>
      </x:c>
      <x:c r="J4" s="19" t="str">
        <x:v>Report separately; overlaps TUEG</x:v>
      </x:c>
      <x:c r="K4" s="19" t="str">
        <x:v>https://isip.piconepress.com/projects/nedc/html/tuh_eeg/</x:v>
      </x:c>
    </x:row>
    <x:row r="5" ht="62" customHeight="1">
      <x:c r="A5" s="19" t="str">
        <x:v>EEG-0033</x:v>
      </x:c>
      <x:c r="B5" s="19" t="str">
        <x:v>TUEP</x:v>
      </x:c>
      <x:c r="C5" s="19" t="str">
        <x:v>v3.1.0</x:v>
      </x:c>
      <x:c r="D5" s="19" t="str">
        <x:v>data/tuh_eeg/tuh_eeg_epilepsy/v3.1.0</x:v>
      </x:c>
      <x:c r="E5" s="19" t="str">
        <x:v>Subset of TUEG</x:v>
      </x:c>
      <x:c r="F5" s="19" t="str">
        <x:v>200 subjects</x:v>
      </x:c>
      <x:c r="G5" s="19" t="str">
        <x:v>See downloaded-content audit</x:v>
      </x:c>
      <x:c r="H5" s="19" t="str">
        <x:v>Epilepsy vs non-epilepsy; seizure/clinical metadata</x:v>
      </x:c>
      <x:c r="I5" s="19" t="str">
        <x:v>APPLICATION_REQUIRED</x:v>
      </x:c>
      <x:c r="J5" s="19" t="str">
        <x:v>Report separately; overlaps TUEG</x:v>
      </x:c>
      <x:c r="K5" s="19" t="str">
        <x:v>https://isip.piconepress.com/projects/nedc/html/tuh_eeg/</x:v>
      </x:c>
    </x:row>
    <x:row r="6" ht="62" customHeight="1">
      <x:c r="A6" s="19" t="str">
        <x:v>EEG-0034</x:v>
      </x:c>
      <x:c r="B6" s="19" t="str">
        <x:v>TUEV</x:v>
      </x:c>
      <x:c r="C6" s="19" t="str">
        <x:v>v2.0.1</x:v>
      </x:c>
      <x:c r="D6" s="19" t="str">
        <x:v>data/tuh_eeg/tuh_eeg_events/v2.0.1</x:v>
      </x:c>
      <x:c r="E6" s="19" t="str">
        <x:v>Subset of TUEG</x:v>
      </x:c>
      <x:c r="F6" s="19" t="str">
        <x:v>370 subjects; 518 recordings</x:v>
      </x:c>
      <x:c r="G6" s="19" t="str">
        <x:v>See downloaded-content audit</x:v>
      </x:c>
      <x:c r="H6" s="19" t="str">
        <x:v>Six EEG event classes</x:v>
      </x:c>
      <x:c r="I6" s="19" t="str">
        <x:v>APPLICATION_REQUIRED</x:v>
      </x:c>
      <x:c r="J6" s="19" t="str">
        <x:v>Report separately; overlaps TUEG</x:v>
      </x:c>
      <x:c r="K6" s="19" t="str">
        <x:v>https://isip.piconepress.com/projects/nedc/html/tuh_eeg/</x:v>
      </x:c>
    </x:row>
    <x:row r="7" ht="62" customHeight="1">
      <x:c r="A7" s="19" t="str">
        <x:v>EEG-0036</x:v>
      </x:c>
      <x:c r="B7" s="19" t="str">
        <x:v>TUSZ</x:v>
      </x:c>
      <x:c r="C7" s="19" t="str">
        <x:v>v2.0.6</x:v>
      </x:c>
      <x:c r="D7" s="19" t="str">
        <x:v>data/tuh_eeg/tuh_eeg_seizure/v2.0.6</x:v>
      </x:c>
      <x:c r="E7" s="19" t="str">
        <x:v>Subset of TUEG</x:v>
      </x:c>
      <x:c r="F7" s="19" t="str">
        <x:v>675 subjects; 822 sessions (catalog scope)</x:v>
      </x:c>
      <x:c r="G7" s="19" t="str">
        <x:v>See downloaded-content audit</x:v>
      </x:c>
      <x:c r="H7" s="19" t="str">
        <x:v>Seizure start/stop/channel/type annotations</x:v>
      </x:c>
      <x:c r="I7" s="19" t="str">
        <x:v>APPLICATION_REQUIRED</x:v>
      </x:c>
      <x:c r="J7" s="19" t="str">
        <x:v>Report separately; overlaps TUEG</x:v>
      </x:c>
      <x:c r="K7" s="19" t="str">
        <x:v>https://isip.piconepress.com/projects/nedc/html/tuh_eeg/</x:v>
      </x:c>
    </x:row>
    <x:row r="8" ht="62" customHeight="1">
      <x:c r="A8" s="19" t="str">
        <x:v>EEG-0035</x:v>
      </x:c>
      <x:c r="B8" s="19" t="str">
        <x:v>TUSL</x:v>
      </x:c>
      <x:c r="C8" s="19" t="str">
        <x:v>v2.0.1</x:v>
      </x:c>
      <x:c r="D8" s="19" t="str">
        <x:v>data/tuh_eeg/tuh_eeg_slowing/v2.0.1</x:v>
      </x:c>
      <x:c r="E8" s="19" t="str">
        <x:v>Subset of TUEG</x:v>
      </x:c>
      <x:c r="F8" s="19" t="str">
        <x:v>38 subjects; 112 files</x:v>
      </x:c>
      <x:c r="G8" s="19" t="str">
        <x:v>See downloaded-content audit</x:v>
      </x:c>
      <x:c r="H8" s="19" t="str">
        <x:v>Slowing event annotations</x:v>
      </x:c>
      <x:c r="I8" s="19" t="str">
        <x:v>APPLICATION_REQUIRED</x:v>
      </x:c>
      <x:c r="J8" s="19" t="str">
        <x:v>Report separately; overlaps TUEG</x:v>
      </x:c>
      <x:c r="K8" s="19" t="str">
        <x:v>https://isip.piconepress.com/projects/nedc/html/tuh_eeg/</x:v>
      </x:c>
    </x:row>
  </x:sheetData>
  <x:pageMargins left="0.7" right="0.7" top="0.75" bottom="0.75" header="0.3" footer="0.3"/>
  <x:tableParts count="1">
    <x:tablePart xmlns:r="http://schemas.openxmlformats.org/officeDocument/2006/relationships" r:id="Rdcbb0ee9e86f4cc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38" hidden="0" customWidth="1"/>
    <x:col min="3" max="3" width="38" hidden="0" customWidth="1"/>
    <x:col min="4" max="4" width="48" hidden="0" customWidth="1"/>
    <x:col min="5" max="5" width="24" hidden="0" customWidth="1"/>
    <x:col min="6" max="6" width="58" hidden="0" customWidth="1"/>
  </x:cols>
  <x:sheetData>
    <x:row r="1" ht="36" customHeight="1">
      <x:c r="A1" s="23" t="str">
        <x:v>Level</x:v>
      </x:c>
      <x:c r="B1" s="23" t="str">
        <x:v>Directory name</x:v>
      </x:c>
      <x:c r="C1" s="23" t="str">
        <x:v>Paper name</x:v>
      </x:c>
      <x:c r="D1" s="23" t="str">
        <x:v>Parent directory</x:v>
      </x:c>
      <x:c r="E1" s="23" t="str">
        <x:v>Unique download units</x:v>
      </x:c>
      <x:c r="F1" s="23" t="str">
        <x:v>Purpose</x:v>
      </x:c>
    </x:row>
    <x:row r="2" ht="34" customHeight="1">
      <x:c r="A2" s="19" t="n">
        <x:v>1</x:v>
      </x:c>
      <x:c r="B2" s="19" t="str">
        <x:v>01_Signal_Reliability</x:v>
      </x:c>
      <x:c r="C2" s="19" t="str">
        <x:v>Signal Reliability</x:v>
      </x:c>
      <x:c r="D2" s="19" t="str">
        <x:v>datasets/</x:v>
      </x:c>
      <x:c r="E2" s="25" t="n">
        <x:f>COUNTIF('最终唯一下载清单'!$B$2:$B$538,B2)</x:f>
        <x:v>4</x:v>
      </x:c>
      <x:c r="F2" s="19" t="str">
        <x:v>伪迹敏感性、信号恢复与跨会话一致性</x:v>
      </x:c>
    </x:row>
    <x:row r="3" ht="34" customHeight="1">
      <x:c r="A3" s="19" t="n">
        <x:v>2</x:v>
      </x:c>
      <x:c r="B3" s="19" t="str">
        <x:v>Artifact_Identification</x:v>
      </x:c>
      <x:c r="C3" s="19" t="str">
        <x:v>Artifact Identification</x:v>
      </x:c>
      <x:c r="D3" s="19" t="str">
        <x:v>datasets/01_Signal_Reliability/</x:v>
      </x:c>
      <x:c r="E3" s="25" t="n">
        <x:f>COUNTIFS('最终唯一下载清单'!$B$2:$B$538,"01_Signal_Reliability",'最终唯一下载清单'!$C$2:$C$538,B3)</x:f>
        <x:v>4</x:v>
      </x:c>
      <x:c r="F3" s="19" t="str">
        <x:v>按主要任务归档</x:v>
      </x:c>
    </x:row>
    <x:row r="4" ht="34" customHeight="1">
      <x:c r="A4" s="19" t="n">
        <x:v>1</x:v>
      </x:c>
      <x:c r="B4" s="19" t="str">
        <x:v>02_Biometrics_and_Disease</x:v>
      </x:c>
      <x:c r="C4" s="19" t="str">
        <x:v>Biometrics and Disease</x:v>
      </x:c>
      <x:c r="D4" s="19" t="str">
        <x:v>datasets/</x:v>
      </x:c>
      <x:c r="E4" s="25" t="n">
        <x:f>COUNTIF('最终唯一下载清单'!$B$2:$B$538,B4)</x:f>
        <x:v>0</x:v>
      </x:c>
      <x:c r="F4" s="19" t="str">
        <x:v>个体稳定特征、生物识别与疾病表型</x:v>
      </x:c>
    </x:row>
    <x:row r="5" ht="34" customHeight="1">
      <x:c r="A5" s="19" t="n">
        <x:v>2</x:v>
      </x:c>
      <x:c r="B5" s="19" t="str">
        <x:v>Biometrics_and_Traits</x:v>
      </x:c>
      <x:c r="C5" s="19" t="str">
        <x:v>Biometrics and Traits</x:v>
      </x:c>
      <x:c r="D5" s="19" t="str">
        <x:v>datasets/02_Biometrics_and_Disease/</x:v>
      </x:c>
      <x:c r="E5" s="25" t="n">
        <x:f>COUNTIFS('最终唯一下载清单'!$B$2:$B$538,"02_Biometrics_and_Disease",'最终唯一下载清单'!$C$2:$C$538,B5)</x:f>
        <x:v>0</x:v>
      </x:c>
      <x:c r="F5" s="19" t="str">
        <x:v>按主要任务归档</x:v>
      </x:c>
    </x:row>
    <x:row r="6" ht="34" customHeight="1">
      <x:c r="A6" s="19" t="n">
        <x:v>2</x:v>
      </x:c>
      <x:c r="B6" s="19" t="str">
        <x:v>Clinical_Abnormalities</x:v>
      </x:c>
      <x:c r="C6" s="19" t="str">
        <x:v>Clinical Abnormalities</x:v>
      </x:c>
      <x:c r="D6" s="19" t="str">
        <x:v>datasets/02_Biometrics_and_Disease/</x:v>
      </x:c>
      <x:c r="E6" s="25" t="n">
        <x:f>COUNTIFS('最终唯一下载清单'!$B$2:$B$538,"02_Biometrics_and_Disease",'最终唯一下载清单'!$C$2:$C$538,B6)</x:f>
        <x:v>0</x:v>
      </x:c>
      <x:c r="F6" s="19" t="str">
        <x:v>按主要任务归档</x:v>
      </x:c>
    </x:row>
    <x:row r="7" ht="34" customHeight="1">
      <x:c r="A7" s="19" t="n">
        <x:v>2</x:v>
      </x:c>
      <x:c r="B7" s="19" t="str">
        <x:v>Development_and_Lifespan</x:v>
      </x:c>
      <x:c r="C7" s="19" t="str">
        <x:v>Development and Lifespan</x:v>
      </x:c>
      <x:c r="D7" s="19" t="str">
        <x:v>datasets/02_Biometrics_and_Disease/</x:v>
      </x:c>
      <x:c r="E7" s="25" t="n">
        <x:f>COUNTIFS('最终唯一下载清单'!$B$2:$B$538,"02_Biometrics_and_Disease",'最终唯一下载清单'!$C$2:$C$538,B7)</x:f>
        <x:v>0</x:v>
      </x:c>
      <x:c r="F7" s="19" t="str">
        <x:v>按主要任务归档</x:v>
      </x:c>
    </x:row>
    <x:row r="8" ht="34" customHeight="1">
      <x:c r="A8" s="19" t="n">
        <x:v>2</x:v>
      </x:c>
      <x:c r="B8" s="19" t="str">
        <x:v>Epilepsy_and_Abnormalities</x:v>
      </x:c>
      <x:c r="C8" s="19" t="str">
        <x:v>Epilepsy and Abnormalities</x:v>
      </x:c>
      <x:c r="D8" s="19" t="str">
        <x:v>datasets/02_Biometrics_and_Disease/</x:v>
      </x:c>
      <x:c r="E8" s="25" t="n">
        <x:f>COUNTIFS('最终唯一下载清单'!$B$2:$B$538,"02_Biometrics_and_Disease",'最终唯一下载清单'!$C$2:$C$538,B8)</x:f>
        <x:v>0</x:v>
      </x:c>
      <x:c r="F8" s="19" t="str">
        <x:v>按主要任务归档</x:v>
      </x:c>
    </x:row>
    <x:row r="9" ht="34" customHeight="1">
      <x:c r="A9" s="19" t="n">
        <x:v>2</x:v>
      </x:c>
      <x:c r="B9" s="19" t="str">
        <x:v>Mental_and_Developmental_Disorders</x:v>
      </x:c>
      <x:c r="C9" s="19" t="str">
        <x:v>Mental and Developmental Disorders</x:v>
      </x:c>
      <x:c r="D9" s="19" t="str">
        <x:v>datasets/02_Biometrics_and_Disease/</x:v>
      </x:c>
      <x:c r="E9" s="25" t="n">
        <x:f>COUNTIFS('最终唯一下载清单'!$B$2:$B$538,"02_Biometrics_and_Disease",'最终唯一下载清单'!$C$2:$C$538,B9)</x:f>
        <x:v>0</x:v>
      </x:c>
      <x:c r="F9" s="19" t="str">
        <x:v>按主要任务归档</x:v>
      </x:c>
    </x:row>
    <x:row r="10" ht="34" customHeight="1">
      <x:c r="A10" s="19" t="n">
        <x:v>2</x:v>
      </x:c>
      <x:c r="B10" s="19" t="str">
        <x:v>Neurodegenerative_Disorders</x:v>
      </x:c>
      <x:c r="C10" s="19" t="str">
        <x:v>Neurodegenerative Disorders</x:v>
      </x:c>
      <x:c r="D10" s="19" t="str">
        <x:v>datasets/02_Biometrics_and_Disease/</x:v>
      </x:c>
      <x:c r="E10" s="25" t="n">
        <x:f>COUNTIFS('最终唯一下载清单'!$B$2:$B$538,"02_Biometrics_and_Disease",'最终唯一下载清单'!$C$2:$C$538,B10)</x:f>
        <x:v>0</x:v>
      </x:c>
      <x:c r="F10" s="19" t="str">
        <x:v>按主要任务归档</x:v>
      </x:c>
    </x:row>
    <x:row r="11" ht="34" customHeight="1">
      <x:c r="A11" s="19" t="n">
        <x:v>2</x:v>
      </x:c>
      <x:c r="B11" s="19" t="str">
        <x:v>Neurological_Disorders</x:v>
      </x:c>
      <x:c r="C11" s="19" t="str">
        <x:v>Neurological Disorders</x:v>
      </x:c>
      <x:c r="D11" s="19" t="str">
        <x:v>datasets/02_Biometrics_and_Disease/</x:v>
      </x:c>
      <x:c r="E11" s="25" t="n">
        <x:f>COUNTIFS('最终唯一下载清单'!$B$2:$B$538,"02_Biometrics_and_Disease",'最终唯一下载清单'!$C$2:$C$538,B11)</x:f>
        <x:v>0</x:v>
      </x:c>
      <x:c r="F11" s="19" t="str">
        <x:v>按主要任务归档</x:v>
      </x:c>
    </x:row>
    <x:row r="12" ht="34" customHeight="1">
      <x:c r="A12" s="19" t="n">
        <x:v>1</x:v>
      </x:c>
      <x:c r="B12" s="19" t="str">
        <x:v>03_Consciousness_and_State</x:v>
      </x:c>
      <x:c r="C12" s="19" t="str">
        <x:v>Consciousness and State</x:v>
      </x:c>
      <x:c r="D12" s="19" t="str">
        <x:v>datasets/</x:v>
      </x:c>
      <x:c r="E12" s="25" t="n">
        <x:f>COUNTIF('最终唯一下载清单'!$B$2:$B$538,B12)</x:f>
        <x:v>61</x:v>
      </x:c>
      <x:c r="F12" s="19" t="str">
        <x:v>意识水平、睡眠与全局脑状态</x:v>
      </x:c>
    </x:row>
    <x:row r="13" ht="34" customHeight="1">
      <x:c r="A13" s="19" t="n">
        <x:v>2</x:v>
      </x:c>
      <x:c r="B13" s="19" t="str">
        <x:v>Consciousness_Level</x:v>
      </x:c>
      <x:c r="C13" s="19" t="str">
        <x:v>Consciousness Level</x:v>
      </x:c>
      <x:c r="D13" s="19" t="str">
        <x:v>datasets/03_Consciousness_and_State/</x:v>
      </x:c>
      <x:c r="E13" s="25" t="n">
        <x:f>COUNTIFS('最终唯一下载清单'!$B$2:$B$538,"03_Consciousness_and_State",'最终唯一下载清单'!$C$2:$C$538,B13)</x:f>
        <x:v>2</x:v>
      </x:c>
      <x:c r="F13" s="19" t="str">
        <x:v>按主要任务归档</x:v>
      </x:c>
    </x:row>
    <x:row r="14" ht="34" customHeight="1">
      <x:c r="A14" s="19" t="n">
        <x:v>2</x:v>
      </x:c>
      <x:c r="B14" s="19" t="str">
        <x:v>Resting_State</x:v>
      </x:c>
      <x:c r="C14" s="19" t="str">
        <x:v>Resting State</x:v>
      </x:c>
      <x:c r="D14" s="19" t="str">
        <x:v>datasets/03_Consciousness_and_State/</x:v>
      </x:c>
      <x:c r="E14" s="25" t="n">
        <x:f>COUNTIFS('最终唯一下载清单'!$B$2:$B$538,"03_Consciousness_and_State",'最终唯一下载清单'!$C$2:$C$538,B14)</x:f>
        <x:v>27</x:v>
      </x:c>
      <x:c r="F14" s="19" t="str">
        <x:v>按主要任务归档</x:v>
      </x:c>
    </x:row>
    <x:row r="15" ht="34" customHeight="1">
      <x:c r="A15" s="19" t="n">
        <x:v>2</x:v>
      </x:c>
      <x:c r="B15" s="19" t="str">
        <x:v>Sleep_Staging</x:v>
      </x:c>
      <x:c r="C15" s="19" t="str">
        <x:v>Sleep Staging</x:v>
      </x:c>
      <x:c r="D15" s="19" t="str">
        <x:v>datasets/03_Consciousness_and_State/</x:v>
      </x:c>
      <x:c r="E15" s="25" t="n">
        <x:f>COUNTIFS('最终唯一下载清单'!$B$2:$B$538,"03_Consciousness_and_State",'最终唯一下载清单'!$C$2:$C$538,B15)</x:f>
        <x:v>32</x:v>
      </x:c>
      <x:c r="F15" s="19" t="str">
        <x:v>按主要任务归档</x:v>
      </x:c>
    </x:row>
    <x:row r="16" ht="34" customHeight="1">
      <x:c r="A16" s="19" t="n">
        <x:v>1</x:v>
      </x:c>
      <x:c r="B16" s="19" t="str">
        <x:v>04_Cognition_and_Emotion</x:v>
      </x:c>
      <x:c r="C16" s="19" t="str">
        <x:v>Cognition and Emotion</x:v>
      </x:c>
      <x:c r="D16" s="19" t="str">
        <x:v>datasets/</x:v>
      </x:c>
      <x:c r="E16" s="25" t="n">
        <x:f>COUNTIF('最终唯一下载清单'!$B$2:$B$538,B16)</x:f>
        <x:v>138</x:v>
      </x:c>
      <x:c r="F16" s="19" t="str">
        <x:v>认知负荷、任务状态、ERP与情绪</x:v>
      </x:c>
    </x:row>
    <x:row r="17" ht="34" customHeight="1">
      <x:c r="A17" s="19" t="n">
        <x:v>2</x:v>
      </x:c>
      <x:c r="B17" s="19" t="str">
        <x:v>Cognitive_Task_Recognition</x:v>
      </x:c>
      <x:c r="C17" s="19" t="str">
        <x:v>Cognitive Task Recognition</x:v>
      </x:c>
      <x:c r="D17" s="19" t="str">
        <x:v>datasets/04_Cognition_and_Emotion/</x:v>
      </x:c>
      <x:c r="E17" s="25" t="n">
        <x:f>COUNTIFS('最终唯一下载清单'!$B$2:$B$538,"04_Cognition_and_Emotion",'最终唯一下载清单'!$C$2:$C$538,B17)</x:f>
        <x:v>41</x:v>
      </x:c>
      <x:c r="F17" s="19" t="str">
        <x:v>按主要任务归档</x:v>
      </x:c>
    </x:row>
    <x:row r="18" ht="34" customHeight="1">
      <x:c r="A18" s="19" t="n">
        <x:v>2</x:v>
      </x:c>
      <x:c r="B18" s="19" t="str">
        <x:v>ERP_and_Event_Detection</x:v>
      </x:c>
      <x:c r="C18" s="19" t="str">
        <x:v>ERP and Event Detection</x:v>
      </x:c>
      <x:c r="D18" s="19" t="str">
        <x:v>datasets/04_Cognition_and_Emotion/</x:v>
      </x:c>
      <x:c r="E18" s="25" t="n">
        <x:f>COUNTIFS('最终唯一下载清单'!$B$2:$B$538,"04_Cognition_and_Emotion",'最终唯一下载清单'!$C$2:$C$538,B18)</x:f>
        <x:v>32</x:v>
      </x:c>
      <x:c r="F18" s="19" t="str">
        <x:v>按主要任务归档</x:v>
      </x:c>
    </x:row>
    <x:row r="19" ht="34" customHeight="1">
      <x:c r="A19" s="19" t="n">
        <x:v>2</x:v>
      </x:c>
      <x:c r="B19" s="19" t="str">
        <x:v>Emotion_Recognition</x:v>
      </x:c>
      <x:c r="C19" s="19" t="str">
        <x:v>Emotion Recognition</x:v>
      </x:c>
      <x:c r="D19" s="19" t="str">
        <x:v>datasets/04_Cognition_and_Emotion/</x:v>
      </x:c>
      <x:c r="E19" s="25" t="n">
        <x:f>COUNTIFS('最终唯一下载清单'!$B$2:$B$538,"04_Cognition_and_Emotion",'最终唯一下载清单'!$C$2:$C$538,B19)</x:f>
        <x:v>29</x:v>
      </x:c>
      <x:c r="F19" s="19" t="str">
        <x:v>按主要任务归档</x:v>
      </x:c>
    </x:row>
    <x:row r="20" ht="34" customHeight="1">
      <x:c r="A20" s="19" t="n">
        <x:v>2</x:v>
      </x:c>
      <x:c r="B20" s="19" t="str">
        <x:v>Mental_State_Recognition</x:v>
      </x:c>
      <x:c r="C20" s="19" t="str">
        <x:v>Mental State Recognition</x:v>
      </x:c>
      <x:c r="D20" s="19" t="str">
        <x:v>datasets/04_Cognition_and_Emotion/</x:v>
      </x:c>
      <x:c r="E20" s="25" t="n">
        <x:f>COUNTIFS('最终唯一下载清单'!$B$2:$B$538,"04_Cognition_and_Emotion",'最终唯一下载清单'!$C$2:$C$538,B20)</x:f>
        <x:v>3</x:v>
      </x:c>
      <x:c r="F20" s="19" t="str">
        <x:v>按主要任务归档</x:v>
      </x:c>
    </x:row>
    <x:row r="21" ht="34" customHeight="1">
      <x:c r="A21" s="19" t="n">
        <x:v>2</x:v>
      </x:c>
      <x:c r="B21" s="19" t="str">
        <x:v>Vigilance_Detection</x:v>
      </x:c>
      <x:c r="C21" s="19" t="str">
        <x:v>Vigilance Detection</x:v>
      </x:c>
      <x:c r="D21" s="19" t="str">
        <x:v>datasets/04_Cognition_and_Emotion/</x:v>
      </x:c>
      <x:c r="E21" s="25" t="n">
        <x:f>COUNTIFS('最终唯一下载清单'!$B$2:$B$538,"04_Cognition_and_Emotion",'最终唯一下载清单'!$C$2:$C$538,B21)</x:f>
        <x:v>16</x:v>
      </x:c>
      <x:c r="F21" s="19" t="str">
        <x:v>按主要任务归档</x:v>
      </x:c>
    </x:row>
    <x:row r="22" ht="34" customHeight="1">
      <x:c r="A22" s="19" t="n">
        <x:v>2</x:v>
      </x:c>
      <x:c r="B22" s="19" t="str">
        <x:v>Workload_Detection</x:v>
      </x:c>
      <x:c r="C22" s="19" t="str">
        <x:v>Workload Detection</x:v>
      </x:c>
      <x:c r="D22" s="19" t="str">
        <x:v>datasets/04_Cognition_and_Emotion/</x:v>
      </x:c>
      <x:c r="E22" s="25" t="n">
        <x:f>COUNTIFS('最终唯一下载清单'!$B$2:$B$538,"04_Cognition_and_Emotion",'最终唯一下载清单'!$C$2:$C$538,B22)</x:f>
        <x:v>8</x:v>
      </x:c>
      <x:c r="F22" s="19" t="str">
        <x:v>按主要任务归档</x:v>
      </x:c>
    </x:row>
    <x:row r="23" ht="34" customHeight="1">
      <x:c r="A23" s="19" t="n">
        <x:v>1</x:v>
      </x:c>
      <x:c r="B23" s="19" t="str">
        <x:v>05_Naturalistic_Stimulus_Decoding</x:v>
      </x:c>
      <x:c r="C23" s="19" t="str">
        <x:v>Naturalistic Stimulus Decoding</x:v>
      </x:c>
      <x:c r="D23" s="19" t="str">
        <x:v>datasets/</x:v>
      </x:c>
      <x:c r="E23" s="25" t="n">
        <x:f>COUNTIF('最终唯一下载清单'!$B$2:$B$538,B23)</x:f>
        <x:v>53</x:v>
      </x:c>
      <x:c r="F23" s="19" t="str">
        <x:v>自然语言、听觉、阅读与视觉刺激解码</x:v>
      </x:c>
    </x:row>
    <x:row r="24" ht="34" customHeight="1">
      <x:c r="A24" s="19" t="n">
        <x:v>2</x:v>
      </x:c>
      <x:c r="B24" s="19" t="str">
        <x:v>Imagined_Speech</x:v>
      </x:c>
      <x:c r="C24" s="19" t="str">
        <x:v>Imagined Speech</x:v>
      </x:c>
      <x:c r="D24" s="19" t="str">
        <x:v>datasets/05_Naturalistic_Stimulus_Decoding/</x:v>
      </x:c>
      <x:c r="E24" s="25" t="n">
        <x:f>COUNTIFS('最终唯一下载清单'!$B$2:$B$538,"05_Naturalistic_Stimulus_Decoding",'最终唯一下载清单'!$C$2:$C$538,B24)</x:f>
        <x:v>4</x:v>
      </x:c>
      <x:c r="F24" s="19" t="str">
        <x:v>按主要任务归档</x:v>
      </x:c>
    </x:row>
    <x:row r="25" ht="34" customHeight="1">
      <x:c r="A25" s="19" t="n">
        <x:v>2</x:v>
      </x:c>
      <x:c r="B25" s="19" t="str">
        <x:v>Language_and_Reading</x:v>
      </x:c>
      <x:c r="C25" s="19" t="str">
        <x:v>Language and Reading</x:v>
      </x:c>
      <x:c r="D25" s="19" t="str">
        <x:v>datasets/05_Naturalistic_Stimulus_Decoding/</x:v>
      </x:c>
      <x:c r="E25" s="25" t="n">
        <x:f>COUNTIFS('最终唯一下载清单'!$B$2:$B$538,"05_Naturalistic_Stimulus_Decoding",'最终唯一下载清单'!$C$2:$C$538,B25)</x:f>
        <x:v>20</x:v>
      </x:c>
      <x:c r="F25" s="19" t="str">
        <x:v>按主要任务归档</x:v>
      </x:c>
    </x:row>
    <x:row r="26" ht="34" customHeight="1">
      <x:c r="A26" s="19" t="n">
        <x:v>2</x:v>
      </x:c>
      <x:c r="B26" s="19" t="str">
        <x:v>Listening_and_Auditory_Attention</x:v>
      </x:c>
      <x:c r="C26" s="19" t="str">
        <x:v>Listening and Auditory Attention</x:v>
      </x:c>
      <x:c r="D26" s="19" t="str">
        <x:v>datasets/05_Naturalistic_Stimulus_Decoding/</x:v>
      </x:c>
      <x:c r="E26" s="25" t="n">
        <x:f>COUNTIFS('最终唯一下载清单'!$B$2:$B$538,"05_Naturalistic_Stimulus_Decoding",'最终唯一下载清单'!$C$2:$C$538,B26)</x:f>
        <x:v>8</x:v>
      </x:c>
      <x:c r="F26" s="19" t="str">
        <x:v>按主要任务归档</x:v>
      </x:c>
    </x:row>
    <x:row r="27" ht="34" customHeight="1">
      <x:c r="A27" s="19" t="n">
        <x:v>2</x:v>
      </x:c>
      <x:c r="B27" s="19" t="str">
        <x:v>Multisensory_Perception</x:v>
      </x:c>
      <x:c r="C27" s="19" t="str">
        <x:v>Multisensory Perception</x:v>
      </x:c>
      <x:c r="D27" s="19" t="str">
        <x:v>datasets/05_Naturalistic_Stimulus_Decoding/</x:v>
      </x:c>
      <x:c r="E27" s="25" t="n">
        <x:f>COUNTIFS('最终唯一下载清单'!$B$2:$B$538,"05_Naturalistic_Stimulus_Decoding",'最终唯一下载清单'!$C$2:$C$538,B27)</x:f>
        <x:v>2</x:v>
      </x:c>
      <x:c r="F27" s="19" t="str">
        <x:v>按主要任务归档</x:v>
      </x:c>
    </x:row>
    <x:row r="28" ht="34" customHeight="1">
      <x:c r="A28" s="19" t="n">
        <x:v>2</x:v>
      </x:c>
      <x:c r="B28" s="19" t="str">
        <x:v>Visual_Perception</x:v>
      </x:c>
      <x:c r="C28" s="19" t="str">
        <x:v>Visual Perception</x:v>
      </x:c>
      <x:c r="D28" s="19" t="str">
        <x:v>datasets/05_Naturalistic_Stimulus_Decoding/</x:v>
      </x:c>
      <x:c r="E28" s="25" t="n">
        <x:f>COUNTIFS('最终唯一下载清单'!$B$2:$B$538,"05_Naturalistic_Stimulus_Decoding",'最终唯一下载清单'!$C$2:$C$538,B28)</x:f>
        <x:v>19</x:v>
      </x:c>
      <x:c r="F28" s="19" t="str">
        <x:v>按主要任务归档</x:v>
      </x:c>
    </x:row>
    <x:row r="29" ht="34" customHeight="1">
      <x:c r="A29" s="19" t="n">
        <x:v>1</x:v>
      </x:c>
      <x:c r="B29" s="19" t="str">
        <x:v>06_Motor_and_Interaction</x:v>
      </x:c>
      <x:c r="C29" s="19" t="str">
        <x:v>Motor and Interaction</x:v>
      </x:c>
      <x:c r="D29" s="19" t="str">
        <x:v>datasets/</x:v>
      </x:c>
      <x:c r="E29" s="25" t="n">
        <x:f>COUNTIF('最终唯一下载清单'!$B$2:$B$538,B29)</x:f>
        <x:v>132</x:v>
      </x:c>
      <x:c r="F29" s="19" t="str">
        <x:v>运动意图、诱发式BCI与交互控制</x:v>
      </x:c>
    </x:row>
    <x:row r="30" ht="34" customHeight="1">
      <x:c r="A30" s="19" t="n">
        <x:v>2</x:v>
      </x:c>
      <x:c r="B30" s="19" t="str">
        <x:v>Error_Feedback</x:v>
      </x:c>
      <x:c r="C30" s="19" t="str">
        <x:v>Error Feedback</x:v>
      </x:c>
      <x:c r="D30" s="19" t="str">
        <x:v>datasets/06_Motor_and_Interaction/</x:v>
      </x:c>
      <x:c r="E30" s="25" t="n">
        <x:f>COUNTIFS('最终唯一下载清单'!$B$2:$B$538,"06_Motor_and_Interaction",'最终唯一下载清单'!$C$2:$C$538,B30)</x:f>
        <x:v>1</x:v>
      </x:c>
      <x:c r="F30" s="19" t="str">
        <x:v>按主要任务归档</x:v>
      </x:c>
    </x:row>
    <x:row r="31" ht="34" customHeight="1">
      <x:c r="A31" s="19" t="n">
        <x:v>2</x:v>
      </x:c>
      <x:c r="B31" s="19" t="str">
        <x:v>Interaction_and_Control</x:v>
      </x:c>
      <x:c r="C31" s="19" t="str">
        <x:v>Interaction and Control</x:v>
      </x:c>
      <x:c r="D31" s="19" t="str">
        <x:v>datasets/06_Motor_and_Interaction/</x:v>
      </x:c>
      <x:c r="E31" s="25" t="n">
        <x:f>COUNTIFS('最终唯一下载清单'!$B$2:$B$538,"06_Motor_and_Interaction",'最终唯一下载清单'!$C$2:$C$538,B31)</x:f>
        <x:v>35</x:v>
      </x:c>
      <x:c r="F31" s="19" t="str">
        <x:v>按主要任务归档</x:v>
      </x:c>
    </x:row>
    <x:row r="32" ht="34" customHeight="1">
      <x:c r="A32" s="19" t="n">
        <x:v>2</x:v>
      </x:c>
      <x:c r="B32" s="19" t="str">
        <x:v>Motor_Imagery_and_Execution</x:v>
      </x:c>
      <x:c r="C32" s="19" t="str">
        <x:v>Motor Imagery and Execution</x:v>
      </x:c>
      <x:c r="D32" s="19" t="str">
        <x:v>datasets/06_Motor_and_Interaction/</x:v>
      </x:c>
      <x:c r="E32" s="25" t="n">
        <x:f>COUNTIFS('最终唯一下载清单'!$B$2:$B$538,"06_Motor_and_Interaction",'最终唯一下载清单'!$C$2:$C$538,B32)</x:f>
        <x:v>63</x:v>
      </x:c>
      <x:c r="F32" s="19" t="str">
        <x:v>按主要任务归档</x:v>
      </x:c>
    </x:row>
    <x:row r="33" ht="34" customHeight="1">
      <x:c r="A33" s="19" t="n">
        <x:v>2</x:v>
      </x:c>
      <x:c r="B33" s="19" t="str">
        <x:v>SSVEP_and_Evoked_BCI</x:v>
      </x:c>
      <x:c r="C33" s="19" t="str">
        <x:v>SSVEP and Evoked BCI</x:v>
      </x:c>
      <x:c r="D33" s="19" t="str">
        <x:v>datasets/06_Motor_and_Interaction/</x:v>
      </x:c>
      <x:c r="E33" s="25" t="n">
        <x:f>COUNTIFS('最终唯一下载清单'!$B$2:$B$538,"06_Motor_and_Interaction",'最终唯一下载清单'!$C$2:$C$538,B33)</x:f>
        <x:v>29</x:v>
      </x:c>
      <x:c r="F33" s="19" t="str">
        <x:v>按主要任务归档</x:v>
      </x:c>
    </x:row>
    <x:row r="34" ht="34" customHeight="1">
      <x:c r="A34" s="19" t="n">
        <x:v>1</x:v>
      </x:c>
      <x:c r="B34" s="19" t="str">
        <x:v>07_General-purpose_and_Multi-paradigm</x:v>
      </x:c>
      <x:c r="C34" s="19" t="str">
        <x:v>General-purpose and Multi-paradigm</x:v>
      </x:c>
      <x:c r="D34" s="19" t="str">
        <x:v>datasets/</x:v>
      </x:c>
      <x:c r="E34" s="25" t="n">
        <x:f>COUNTIF('最终唯一下载清单'!$B$2:$B$538,B34)</x:f>
        <x:v>38</x:v>
      </x:c>
      <x:c r="F34" s="19" t="str">
        <x:v>多任务、多范式及通用预训练语料</x:v>
      </x:c>
    </x:row>
    <x:row r="35" ht="34" customHeight="1">
      <x:c r="A35" s="19" t="n">
        <x:v>2</x:v>
      </x:c>
      <x:c r="B35" s="19" t="str">
        <x:v>Multi-task_EEG</x:v>
      </x:c>
      <x:c r="C35" s="19" t="str">
        <x:v>Multi-task EEG</x:v>
      </x:c>
      <x:c r="D35" s="19" t="str">
        <x:v>datasets/07_General-purpose_and_Multi-paradigm/</x:v>
      </x:c>
      <x:c r="E35" s="25" t="n">
        <x:f>COUNTIFS('最终唯一下载清单'!$B$2:$B$538,"07_General-purpose_and_Multi-paradigm",'最终唯一下载清单'!$C$2:$C$538,B35)</x:f>
        <x:v>38</x:v>
      </x:c>
      <x:c r="F35" s="19" t="str">
        <x:v>按主要任务归档</x:v>
      </x:c>
    </x:row>
    <x:row r="36" ht="34" customHeight="1">
      <x:c r="A36" s="19" t="str"/>
      <x:c r="B36" s="19" t="str">
        <x:v>TOTAL</x:v>
      </x:c>
      <x:c r="C36" s="19" t="str">
        <x:v>Revised unique download units</x:v>
      </x:c>
      <x:c r="D36" s="19" t="str">
        <x:v>datasets/</x:v>
      </x:c>
      <x:c r="E36" s="25" t="n">
        <x:f>COUNTA('最终唯一下载清单'!$A$2:$A$538)</x:f>
        <x:v>537</x:v>
      </x:c>
      <x:c r="F36" s="19" t="str">
        <x:v>Must equal the number of rows in the revised final catalog</x:v>
      </x:c>
    </x:row>
  </x:sheetData>
  <x:pageMargins left="0.7" right="0.7" top="0.75" bottom="0.75" header="0.3" footer="0.3"/>
  <x:tableParts count="1">
    <x:tablePart xmlns:r="http://schemas.openxmlformats.org/officeDocument/2006/relationships" r:id="Rd41a05794046440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34" hidden="0" customWidth="1"/>
    <x:col min="4" max="4" width="68" hidden="0" customWidth="1"/>
    <x:col min="5" max="5" width="66" hidden="0" customWidth="1"/>
    <x:col min="6" max="6" width="38" hidden="0" customWidth="1"/>
  </x:cols>
  <x:sheetData>
    <x:row r="1" ht="36" customHeight="1">
      <x:c r="A1" s="23" t="str">
        <x:v>Date</x:v>
      </x:c>
      <x:c r="B1" s="23" t="str">
        <x:v>Change type</x:v>
      </x:c>
      <x:c r="C1" s="23" t="str">
        <x:v>Scope</x:v>
      </x:c>
      <x:c r="D1" s="23" t="str">
        <x:v>Details</x:v>
      </x:c>
      <x:c r="E1" s="23" t="str">
        <x:v>Evidence/source</x:v>
      </x:c>
      <x:c r="F1" s="23" t="str">
        <x:v>Server impact</x:v>
      </x:c>
    </x:row>
    <x:row r="2" ht="54" customHeight="1">
      <x:c r="A2" s="19" t="str">
        <x:v>2026-08-04</x:v>
      </x:c>
      <x:c r="B2" s="19" t="str">
        <x:v>SOURCE</x:v>
      </x:c>
      <x:c r="C2" s="19" t="str">
        <x:v>Desktop original</x:v>
      </x:c>
      <x:c r="D2" s="19" t="str">
        <x:v>Original desktop workbook contained 569 final-list rows</x:v>
      </x:c>
      <x:c r="E2" s="19" t="str">
        <x:v>C:/Users/tangzhice/Desktop/SBU_remote_intern/EEG-dataset-final.xlsx</x:v>
      </x:c>
      <x:c r="F2" s="19" t="str">
        <x:v>None</x:v>
      </x:c>
    </x:row>
    <x:row r="3" ht="54" customHeight="1">
      <x:c r="A3" s="19" t="str">
        <x:v>2026-08-04</x:v>
      </x:c>
      <x:c r="B3" s="19" t="str">
        <x:v>SOURCE</x:v>
      </x:c>
      <x:c r="C3" s="19" t="str">
        <x:v>Read-only server reference</x:v>
      </x:c>
      <x:c r="D3" s="19" t="str">
        <x:v>Server workbook contained 581 rows and supplied EEG-0570 through EEG-0581</x:v>
      </x:c>
      <x:c r="E3" s="19" t="str">
        <x:v>/gpfs/projects/ChenyuYouGroup/EEG-dataset-collection/EEG-dataset-final.xlsx</x:v>
      </x:c>
      <x:c r="F3" s="19" t="str">
        <x:v>Read-only copy only</x:v>
      </x:c>
    </x:row>
    <x:row r="4" ht="54" customHeight="1">
      <x:c r="A4" s="19" t="str">
        <x:v>2026-08-04</x:v>
      </x:c>
      <x:c r="B4" s="19" t="str">
        <x:v>ADD</x:v>
      </x:c>
      <x:c r="C4" s="19" t="str">
        <x:v>EEG-0582</x:v>
      </x:c>
      <x:c r="D4" s="19" t="str">
        <x:v>Restored TUEG as an independent download unit; removed its old parent-only exclusion</x:v>
      </x:c>
      <x:c r="E4" s="19" t="str">
        <x:v>TUH/NEDC official downloads page and user-provided v2.0.1 corpus audit</x:v>
      </x:c>
      <x:c r="F4" s="19" t="str">
        <x:v>None</x:v>
      </x:c>
    </x:row>
    <x:row r="5" ht="54" customHeight="1">
      <x:c r="A5" s="19" t="str">
        <x:v>2026-08-04</x:v>
      </x:c>
      <x:c r="B5" s="19" t="str">
        <x:v>UPDATE</x:v>
      </x:c>
      <x:c r="C5" s="19" t="str">
        <x:v>EEG-0004/0033/0034/0035/0036/0107</x:v>
      </x:c>
      <x:c r="D5" s="19" t="str">
        <x:v>Added current official TUH subset versions and explicit overlap rules</x:v>
      </x:c>
      <x:c r="E5" s="19" t="str">
        <x:v>TUH/NEDC official downloads page</x:v>
      </x:c>
      <x:c r="F5" s="19" t="str">
        <x:v>None</x:v>
      </x:c>
    </x:row>
    <x:row r="6" ht="54" customHeight="1">
      <x:c r="A6" s="19" t="str">
        <x:v>2026-08-04</x:v>
      </x:c>
      <x:c r="B6" s="19" t="str">
        <x:v>DEDUP</x:v>
      </x:c>
      <x:c r="C6" s="19" t="str">
        <x:v>45 rows</x:v>
      </x:c>
      <x:c r="D6" s="19" t="str">
        <x:v>Removed confirmed duplicate rows from the final list and preserved all ID mappings</x:v>
      </x:c>
      <x:c r="E6" s="19" t="str">
        <x:v>See '重复合并证据'</x:v>
      </x:c>
      <x:c r="F6" s="19" t="str">
        <x:v>No files, manifests or completion markers changed</x:v>
      </x:c>
    </x:row>
    <x:row r="7" ht="54" customHeight="1">
      <x:c r="A7" s="19" t="str">
        <x:v>2026-08-04</x:v>
      </x:c>
      <x:c r="B7" s="19" t="str">
        <x:v>REVIEW</x:v>
      </x:c>
      <x:c r="C7" s="19" t="str">
        <x:v>7 reviewed groups</x:v>
      </x:c>
      <x:c r="D7" s="19" t="str">
        <x:v>Applied three user-confirmed merges and marked all remaining reviewed groups as distinct</x:v>
      </x:c>
      <x:c r="E7" s="19" t="str">
        <x:v>See '人工复核结论'</x:v>
      </x:c>
      <x:c r="F7" s="19" t="str">
        <x:v>None</x:v>
      </x:c>
    </x:row>
    <x:row r="8" ht="54" customHeight="1">
      <x:c r="A8" s="19" t="str">
        <x:v>2026-08-04</x:v>
      </x:c>
      <x:c r="B8" s="19" t="str">
        <x:v>CLASSIFY</x:v>
      </x:c>
      <x:c r="C8" s="19" t="str">
        <x:v>AMIGOS/DEAP/SSVEP/BNCI/CHBMP</x:v>
      </x:c>
      <x:c r="D8" s="19" t="str">
        <x:v>Corrected several obvious category placements while preserving canonical IDs</x:v>
      </x:c>
      <x:c r="E8" s="19" t="str">
        <x:v>Stable repository IDs, official dataset names and project audit</x:v>
      </x:c>
      <x:c r="F8" s="19" t="str">
        <x:v>None</x:v>
      </x:c>
    </x:row>
    <x:row r="9" ht="54" customHeight="1">
      <x:c r="A9" s="19" t="str">
        <x:v>2026-08-04</x:v>
      </x:c>
      <x:c r="B9" s="19" t="str">
        <x:v>BOUNDARY</x:v>
      </x:c>
      <x:c r="C9" s="19" t="str">
        <x:v>All sheets</x:v>
      </x:c>
      <x:c r="D9" s="19" t="str">
        <x:v>This workbook is a local revision and has not been synchronized back to SeaWulf</x:v>
      </x:c>
      <x:c r="E9" s="19" t="str">
        <x:v>C:/Users/tangzhice/Desktop/SBU_remote_intern/outputs/eeg-catalog-rebuild-20260804/EEG-dataset-final-revised-20260804-v2.xlsx</x:v>
      </x:c>
      <x:c r="F9" s="19" t="str">
        <x:v>None</x:v>
      </x:c>
    </x:row>
  </x:sheetData>
  <x:pageMargins left="0.7" right="0.7" top="0.75" bottom="0.75" header="0.3" footer="0.3"/>
  <x:tableParts count="1">
    <x:tablePart xmlns:r="http://schemas.openxmlformats.org/officeDocument/2006/relationships" r:id="R55dff6ed6f6a4e8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4" hidden="0" customWidth="1"/>
    <x:col min="2" max="2" width="46" hidden="0" customWidth="1"/>
    <x:col min="3" max="3" width="42" hidden="0" customWidth="1"/>
    <x:col min="4" max="4" width="72" hidden="0" customWidth="1"/>
  </x:cols>
  <x:sheetData>
    <x:row r="1" ht="36" customHeight="1">
      <x:c r="A1" s="23" t="str">
        <x:v>规范名称</x:v>
      </x:c>
      <x:c r="B1" s="23" t="str">
        <x:v>原始条目名称</x:v>
      </x:c>
      <x:c r="C1" s="23" t="str">
        <x:v>稳定标识</x:v>
      </x:c>
      <x:c r="D1" s="23" t="str">
        <x:v>合并依据</x:v>
      </x:c>
    </x:row>
    <x:row r="2" ht="42" customHeight="1">
      <x:c r="A2" s="19" t="str">
        <x:v>BCI Competition IV 2b (BNCI 004-2014)</x:v>
      </x:c>
      <x:c r="B2" s="19" t="str">
        <x:v>BCI Competition IV 2b (BNCI 004-2014)</x:v>
      </x:c>
      <x:c r="C2" s="19" t="str">
        <x:v>BNCI:004-2014,BNCI 004-2014</x:v>
      </x:c>
      <x:c r="D2" s="19" t="str">
        <x:v>同一稳定访问号/仓库记录，或经名称、任务、受试者和论文交叉核验为同一原始数据下载单元</x:v>
      </x:c>
    </x:row>
    <x:row r="3" ht="42" customHeight="1">
      <x:c r="A3" s="19" t="str">
        <x:v>BCI Competition IV 2b (BNCI 004-2014)</x:v>
      </x:c>
      <x:c r="B3" s="19" t="str">
        <x:v>BCI Competition IV Data set 2b</x:v>
      </x:c>
      <x:c r="C3" s="19" t="str">
        <x:v>BNCI:004-2014,BNCI 004-2014</x:v>
      </x:c>
      <x:c r="D3" s="19" t="str">
        <x:v>同一稳定访问号/仓库记录，或经名称、任务、受试者和论文交叉核验为同一原始数据下载单元</x:v>
      </x:c>
    </x:row>
    <x:row r="4" ht="42" customHeight="1">
      <x:c r="A4" s="19" t="str">
        <x:v>BCI Competition IV 2b (BNCI 004-2014)</x:v>
      </x:c>
      <x:c r="B4" s="19" t="str">
        <x:v>BCIC-IV-2b</x:v>
      </x:c>
      <x:c r="C4" s="19" t="str">
        <x:v>BNCI:004-2014,BNCI 004-2014</x:v>
      </x:c>
      <x:c r="D4" s="19" t="str">
        <x:v>同一稳定访问号/仓库记录，或经名称、任务、受试者和论文交叉核验为同一原始数据下载单元</x:v>
      </x:c>
    </x:row>
    <x:row r="5" ht="42" customHeight="1">
      <x:c r="A5" s="19" t="str">
        <x:v>BCI Competition IV 2b (BNCI 004-2014)</x:v>
      </x:c>
      <x:c r="B5" s="19" t="str">
        <x:v>BNCI 004-2014 (Two class motor imagery)</x:v>
      </x:c>
      <x:c r="C5" s="19" t="str">
        <x:v>BNCI:004-2014,BNCI 004-2014</x:v>
      </x:c>
      <x:c r="D5" s="19" t="str">
        <x:v>同一稳定访问号/仓库记录，或经名称、任务、受试者和论文交叉核验为同一原始数据下载单元</x:v>
      </x:c>
    </x:row>
    <x:row r="6" ht="42" customHeight="1">
      <x:c r="A6" s="19" t="str">
        <x:v>BCI Competition IV-1</x:v>
      </x:c>
      <x:c r="B6" s="19" t="str">
        <x:v>BCI Competition IV Data set 1</x:v>
      </x:c>
      <x:c r="C6" s="19"/>
      <x:c r="D6" s="19" t="str">
        <x:v>同一稳定访问号/仓库记录，或经名称、任务、受试者和论文交叉核验为同一原始数据下载单元</x:v>
      </x:c>
    </x:row>
    <x:row r="7" ht="42" customHeight="1">
      <x:c r="A7" s="19" t="str">
        <x:v>BCI Competition IV-1</x:v>
      </x:c>
      <x:c r="B7" s="19" t="str">
        <x:v>BCI Competition IV-1</x:v>
      </x:c>
      <x:c r="C7" s="19"/>
      <x:c r="D7" s="19" t="str">
        <x:v>同一稳定访问号/仓库记录，或经名称、任务、受试者和论文交叉核验为同一原始数据下载单元</x:v>
      </x:c>
    </x:row>
    <x:row r="8" ht="42" customHeight="1">
      <x:c r="A8" s="19" t="str">
        <x:v>BCI-speech (BCIC2020-3)</x:v>
      </x:c>
      <x:c r="B8" s="19" t="str">
        <x:v>BCI-speech (BCIC2020-3)</x:v>
      </x:c>
      <x:c r="C8" s="19"/>
      <x:c r="D8" s="19" t="str">
        <x:v>同一稳定访问号/仓库记录，或经名称、任务、受试者和论文交叉核验为同一原始数据下载单元</x:v>
      </x:c>
    </x:row>
    <x:row r="9" ht="42" customHeight="1">
      <x:c r="A9" s="19" t="str">
        <x:v>BCI-speech (BCIC2020-3)</x:v>
      </x:c>
      <x:c r="B9" s="19" t="str">
        <x:v>BCIC2020-3 (BCI Competition 2020 Track 3)</x:v>
      </x:c>
      <x:c r="C9" s="19"/>
      <x:c r="D9" s="19" t="str">
        <x:v>同一稳定访问号/仓库记录，或经名称、任务、受试者和论文交叉核验为同一原始数据下载单元</x:v>
      </x:c>
    </x:row>
    <x:row r="10" ht="42" customHeight="1">
      <x:c r="A10" s="19" t="str">
        <x:v>BCIC-IV-2a</x:v>
      </x:c>
      <x:c r="B10" s="19" t="str">
        <x:v>BCI Competition IV Data set 2a</x:v>
      </x:c>
      <x:c r="C10" s="19" t="str">
        <x:v>BNCI:001-2014,BNCI 001-2014</x:v>
      </x:c>
      <x:c r="D10" s="19" t="str">
        <x:v>同一稳定访问号/仓库记录，或经名称、任务、受试者和论文交叉核验为同一原始数据下载单元</x:v>
      </x:c>
    </x:row>
    <x:row r="11" ht="42" customHeight="1">
      <x:c r="A11" s="19" t="str">
        <x:v>BCIC-IV-2a</x:v>
      </x:c>
      <x:c r="B11" s="19" t="str">
        <x:v>BCI Competition IV-2a</x:v>
      </x:c>
      <x:c r="C11" s="19" t="str">
        <x:v>BNCI:001-2014,BNCI 001-2014</x:v>
      </x:c>
      <x:c r="D11" s="19" t="str">
        <x:v>同一稳定访问号/仓库记录，或经名称、任务、受试者和论文交叉核验为同一原始数据下载单元</x:v>
      </x:c>
    </x:row>
    <x:row r="12" ht="42" customHeight="1">
      <x:c r="A12" s="19" t="str">
        <x:v>BCIC-IV-2a</x:v>
      </x:c>
      <x:c r="B12" s="19" t="str">
        <x:v>BCI-IV-2a</x:v>
      </x:c>
      <x:c r="C12" s="19" t="str">
        <x:v>BNCI:001-2014,BNCI 001-2014</x:v>
      </x:c>
      <x:c r="D12" s="19" t="str">
        <x:v>同一稳定访问号/仓库记录，或经名称、任务、受试者和论文交叉核验为同一原始数据下载单元</x:v>
      </x:c>
    </x:row>
    <x:row r="13" ht="42" customHeight="1">
      <x:c r="A13" s="19" t="str">
        <x:v>BCIC-IV-2a</x:v>
      </x:c>
      <x:c r="B13" s="19" t="str">
        <x:v>BCIC-IV-2a</x:v>
      </x:c>
      <x:c r="C13" s="19" t="str">
        <x:v>BNCI:001-2014,BNCI 001-2014</x:v>
      </x:c>
      <x:c r="D13" s="19" t="str">
        <x:v>同一稳定访问号/仓库记录，或经名称、任务、受试者和论文交叉核验为同一原始数据下载单元</x:v>
      </x:c>
    </x:row>
    <x:row r="14" ht="42" customHeight="1">
      <x:c r="A14" s="19" t="str">
        <x:v>BCIC-IV-2a</x:v>
      </x:c>
      <x:c r="B14" s="19" t="str">
        <x:v>BNCI 001-2014 (Four class motor imagery)</x:v>
      </x:c>
      <x:c r="C14" s="19" t="str">
        <x:v>BNCI:001-2014,BNCI 001-2014</x:v>
      </x:c>
      <x:c r="D14" s="19" t="str">
        <x:v>同一稳定访问号/仓库记录，或经名称、任务、受试者和论文交叉核验为同一原始数据下载单元</x:v>
      </x:c>
    </x:row>
    <x:row r="15" ht="42" customHeight="1">
      <x:c r="A15" s="19" t="str">
        <x:v>BETA SSVEP Dataset</x:v>
      </x:c>
      <x:c r="B15" s="19" t="str">
        <x:v>BETA (SSVEP)</x:v>
      </x:c>
      <x:c r="C15" s="19" t="str">
        <x:v>Figshare:12264401</x:v>
      </x:c>
      <x:c r="D15" s="19" t="str">
        <x:v>同一稳定访问号/仓库记录，或经名称、任务、受试者和论文交叉核验为同一原始数据下载单元</x:v>
      </x:c>
    </x:row>
    <x:row r="16" ht="42" customHeight="1">
      <x:c r="A16" s="19" t="str">
        <x:v>BETA SSVEP Dataset</x:v>
      </x:c>
      <x:c r="B16" s="19" t="str">
        <x:v>BETA SSVEP Dataset</x:v>
      </x:c>
      <x:c r="C16" s="19" t="str">
        <x:v>Figshare:12264401</x:v>
      </x:c>
      <x:c r="D16" s="19" t="str">
        <x:v>同一稳定访问号/仓库记录，或经名称、任务、受试者和论文交叉核验为同一原始数据下载单元</x:v>
      </x:c>
    </x:row>
    <x:row r="17" ht="42" customHeight="1">
      <x:c r="A17" s="19" t="str">
        <x:v>BNCI 006-2015 (Music BCI)</x:v>
      </x:c>
      <x:c r="B17" s="19" t="str">
        <x:v>BNCI 006-2015 (Music BCI)</x:v>
      </x:c>
      <x:c r="C17" s="19" t="str">
        <x:v>BNCI:BNCI 006-2015</x:v>
      </x:c>
      <x:c r="D17" s="19" t="str">
        <x:v>同一稳定访问号/仓库记录，或经名称、任务、受试者和论文交叉核验为同一原始数据下载单元</x:v>
      </x:c>
    </x:row>
    <x:row r="18" ht="42" customHeight="1">
      <x:c r="A18" s="19" t="str">
        <x:v>BNCI 006-2015 (Music BCI)</x:v>
      </x:c>
      <x:c r="B18" s="19" t="str">
        <x:v>BNCI2015_006 (Music BCI)</x:v>
      </x:c>
      <x:c r="C18" s="19" t="str">
        <x:v>BNCI:BNCI 006-2015</x:v>
      </x:c>
      <x:c r="D18" s="19" t="str">
        <x:v>同一稳定访问号/仓库记录，或经名称、任务、受试者和论文交叉核验为同一原始数据下载单元</x:v>
      </x:c>
    </x:row>
    <x:row r="19" ht="42" customHeight="1">
      <x:c r="A19" s="19" t="str">
        <x:v>BNCI 007-2015 (Motion VEP Speller)</x:v>
      </x:c>
      <x:c r="B19" s="19" t="str">
        <x:v>BNCI 007-2015 (Motion VEP Speller)</x:v>
      </x:c>
      <x:c r="C19" s="19" t="str">
        <x:v>BNCI:BNCI 007-2015</x:v>
      </x:c>
      <x:c r="D19" s="19" t="str">
        <x:v>同一稳定访问号/仓库记录，或经名称、任务、受试者和论文交叉核验为同一原始数据下载单元</x:v>
      </x:c>
    </x:row>
    <x:row r="20" ht="42" customHeight="1">
      <x:c r="A20" s="19" t="str">
        <x:v>BNCI 007-2015 (Motion VEP Speller)</x:v>
      </x:c>
      <x:c r="B20" s="19" t="str">
        <x:v>BNCI2015_007 (mVEP Speller)</x:v>
      </x:c>
      <x:c r="C20" s="19" t="str">
        <x:v>BNCI:BNCI 007-2015</x:v>
      </x:c>
      <x:c r="D20" s="19" t="str">
        <x:v>同一稳定访问号/仓库记录，或经名称、任务、受试者和论文交叉核验为同一原始数据下载单元</x:v>
      </x:c>
    </x:row>
    <x:row r="21" ht="42" customHeight="1">
      <x:c r="A21" s="19" t="str">
        <x:v>BNCI 008-2015 (Center Speller)</x:v>
      </x:c>
      <x:c r="B21" s="19" t="str">
        <x:v>BNCI 008-2015 (Center Speller)</x:v>
      </x:c>
      <x:c r="C21" s="19" t="str">
        <x:v>BNCI:BNCI 008-2015</x:v>
      </x:c>
      <x:c r="D21" s="19" t="str">
        <x:v>同一稳定访问号/仓库记录，或经名称、任务、受试者和论文交叉核验为同一原始数据下载单元</x:v>
      </x:c>
    </x:row>
    <x:row r="22" ht="42" customHeight="1">
      <x:c r="A22" s="19" t="str">
        <x:v>BNCI 008-2015 (Center Speller)</x:v>
      </x:c>
      <x:c r="B22" s="19" t="str">
        <x:v>BNCI2015_008 (Center Speller)</x:v>
      </x:c>
      <x:c r="C22" s="19" t="str">
        <x:v>BNCI:BNCI 008-2015</x:v>
      </x:c>
      <x:c r="D22" s="19" t="str">
        <x:v>同一稳定访问号/仓库记录，或经名称、任务、受试者和论文交叉核验为同一原始数据下载单元</x:v>
      </x:c>
    </x:row>
    <x:row r="23" ht="42" customHeight="1">
      <x:c r="A23" s="19" t="str">
        <x:v>BNCI 009-2015 (AMUSE auditory speller)</x:v>
      </x:c>
      <x:c r="B23" s="19" t="str">
        <x:v>BNCI 009-2015 (AMUSE auditory speller)</x:v>
      </x:c>
      <x:c r="C23" s="19" t="str">
        <x:v>BNCI:BNCI 009-2015</x:v>
      </x:c>
      <x:c r="D23" s="19" t="str">
        <x:v>同一稳定访问号/仓库记录，或经名称、任务、受试者和论文交叉核验为同一原始数据下载单元</x:v>
      </x:c>
    </x:row>
    <x:row r="24" ht="42" customHeight="1">
      <x:c r="A24" s="19" t="str">
        <x:v>BNCI 009-2015 (AMUSE auditory speller)</x:v>
      </x:c>
      <x:c r="B24" s="19" t="str">
        <x:v>BNCI2015_009 (AMUSE auditory ERP)</x:v>
      </x:c>
      <x:c r="C24" s="19" t="str">
        <x:v>BNCI:BNCI 009-2015</x:v>
      </x:c>
      <x:c r="D24" s="19" t="str">
        <x:v>同一稳定访问号/仓库记录，或经名称、任务、受试者和论文交叉核验为同一原始数据下载单元</x:v>
      </x:c>
    </x:row>
    <x:row r="25" ht="42" customHeight="1">
      <x:c r="A25" s="19" t="str">
        <x:v>BNCI 010-2015 (RSVP speller)</x:v>
      </x:c>
      <x:c r="B25" s="19" t="str">
        <x:v>BNCI 010-2015 (RSVP speller)</x:v>
      </x:c>
      <x:c r="C25" s="19" t="str">
        <x:v>BNCI:BNCI 010-2015</x:v>
      </x:c>
      <x:c r="D25" s="19" t="str">
        <x:v>同一稳定访问号/仓库记录，或经名称、任务、受试者和论文交叉核验为同一原始数据下载单元</x:v>
      </x:c>
    </x:row>
    <x:row r="26" ht="42" customHeight="1">
      <x:c r="A26" s="19" t="str">
        <x:v>BNCI 010-2015 (RSVP speller)</x:v>
      </x:c>
      <x:c r="B26" s="19" t="str">
        <x:v>BNCI2015_010 (RSVP speller)</x:v>
      </x:c>
      <x:c r="C26" s="19" t="str">
        <x:v>BNCI:BNCI 010-2015</x:v>
      </x:c>
      <x:c r="D26" s="19" t="str">
        <x:v>同一稳定访问号/仓库记录，或经名称、任务、受试者和论文交叉核验为同一原始数据下载单元</x:v>
      </x:c>
    </x:row>
    <x:row r="27" ht="42" customHeight="1">
      <x:c r="A27" s="19" t="str">
        <x:v>BNCI 012-2015 (PASS2D auditory ERP Speller)</x:v>
      </x:c>
      <x:c r="B27" s="19" t="str">
        <x:v>BNCI 012-2015 (PASS2D auditory ERP Speller)</x:v>
      </x:c>
      <x:c r="C27" s="19" t="str">
        <x:v>BNCI:BNCI 012-2015</x:v>
      </x:c>
      <x:c r="D27" s="19" t="str">
        <x:v>同一稳定访问号/仓库记录，或经名称、任务、受试者和论文交叉核验为同一原始数据下载单元</x:v>
      </x:c>
    </x:row>
    <x:row r="28" ht="42" customHeight="1">
      <x:c r="A28" s="19" t="str">
        <x:v>BNCI 012-2015 (PASS2D auditory ERP Speller)</x:v>
      </x:c>
      <x:c r="B28" s="19" t="str">
        <x:v>BNCI2015_012 (PASS2D auditory ERP)</x:v>
      </x:c>
      <x:c r="C28" s="19" t="str">
        <x:v>BNCI:BNCI 012-2015</x:v>
      </x:c>
      <x:c r="D28" s="19" t="str">
        <x:v>同一稳定访问号/仓库记录，或经名称、任务、受试者和论文交叉核验为同一原始数据下载单元</x:v>
      </x:c>
    </x:row>
    <x:row r="29" ht="42" customHeight="1">
      <x:c r="A29" s="19" t="str">
        <x:v>BOAS</x:v>
      </x:c>
      <x:c r="B29" s="19" t="str">
        <x:v>BOAS</x:v>
      </x:c>
      <x:c r="C29" s="19" t="str">
        <x:v>OpenNeuro:ds005555</x:v>
      </x:c>
      <x:c r="D29" s="19" t="str">
        <x:v>同一稳定访问号/仓库记录，或经名称、任务、受试者和论文交叉核验为同一原始数据下载单元</x:v>
      </x:c>
    </x:row>
    <x:row r="30" ht="42" customHeight="1">
      <x:c r="A30" s="19" t="str">
        <x:v>BOAS</x:v>
      </x:c>
      <x:c r="B30" s="19" t="str">
        <x:v>Bitbrain Open Access Sleep Dataset</x:v>
      </x:c>
      <x:c r="C30" s="19" t="str">
        <x:v>OpenNeuro:ds005555</x:v>
      </x:c>
      <x:c r="D30" s="19" t="str">
        <x:v>同一稳定访问号/仓库记录，或经名称、任务、受试者和论文交叉核验为同一原始数据下载单元</x:v>
      </x:c>
    </x:row>
    <x:row r="31" ht="42" customHeight="1">
      <x:c r="A31" s="19" t="str">
        <x:v>Benchmark-SSVEP</x:v>
      </x:c>
      <x:c r="B31" s="19" t="str">
        <x:v>Benchmark-SSVEP</x:v>
      </x:c>
      <x:c r="C31" s="19" t="str">
        <x:v>Zenodo:14865172</x:v>
      </x:c>
      <x:c r="D31" s="19" t="str">
        <x:v>同一稳定访问号/仓库记录，或经名称、任务、受试者和论文交叉核验为同一原始数据下载单元</x:v>
      </x:c>
    </x:row>
    <x:row r="32" ht="42" customHeight="1">
      <x:c r="A32" s="19" t="str">
        <x:v>Benchmark-SSVEP</x:v>
      </x:c>
      <x:c r="B32" s="19" t="str">
        <x:v>TSU (Tsinghua Benchmark SSVEP dataset)</x:v>
      </x:c>
      <x:c r="C32" s="19" t="str">
        <x:v>Zenodo:14865172</x:v>
      </x:c>
      <x:c r="D32" s="19" t="str">
        <x:v>同一稳定访问号/仓库记录，或经名称、任务、受试者和论文交叉核验为同一原始数据下载单元</x:v>
      </x:c>
    </x:row>
    <x:row r="33" ht="42" customHeight="1">
      <x:c r="A33" s="19" t="str">
        <x:v>Benchmark-SSVEP</x:v>
      </x:c>
      <x:c r="B33" s="19" t="str">
        <x:v>Tsinghua Benchmark SSVEP</x:v>
      </x:c>
      <x:c r="C33" s="19" t="str">
        <x:v>Zenodo:14865172</x:v>
      </x:c>
      <x:c r="D33" s="19" t="str">
        <x:v>同一稳定访问号/仓库记录，或经名称、任务、受试者和论文交叉核验为同一原始数据下载单元</x:v>
      </x:c>
    </x:row>
    <x:row r="34" ht="42" customHeight="1">
      <x:c r="A34" s="19" t="str">
        <x:v>Benchmark-SSVEP</x:v>
      </x:c>
      <x:c r="B34" s="19" t="str">
        <x:v>Tsinghua SSVEP Benchmark Dataset</x:v>
      </x:c>
      <x:c r="C34" s="19" t="str">
        <x:v>Zenodo:14865172</x:v>
      </x:c>
      <x:c r="D34" s="19" t="str">
        <x:v>同一稳定访问号/仓库记录，或经名称、任务、受试者和论文交叉核验为同一原始数据下载单元</x:v>
      </x:c>
    </x:row>
    <x:row r="35" ht="42" customHeight="1">
      <x:c r="A35" s="19" t="str">
        <x:v>Benchmark-SSVEP</x:v>
      </x:c>
      <x:c r="B35" s="19" t="str">
        <x:v>Wang2016 SSVEP</x:v>
      </x:c>
      <x:c r="C35" s="19" t="str">
        <x:v>Zenodo:14865172</x:v>
      </x:c>
      <x:c r="D35" s="19" t="str">
        <x:v>同一稳定访问号/仓库记录，或经名称、任务、受试者和论文交叉核验为同一原始数据下载单元</x:v>
      </x:c>
    </x:row>
    <x:row r="36" ht="42" customHeight="1">
      <x:c r="A36" s="19" t="str">
        <x:v>Cao (2019)</x:v>
      </x:c>
      <x:c r="B36" s="19" t="str">
        <x:v>Cao (2019)</x:v>
      </x:c>
      <x:c r="C36" s="19" t="str">
        <x:v>Figshare:6427334,Figshare:7666055 | DOI:10.6084/m9.figshare.6427334,10.6084/m9.figshare.6427334.v5,10.6084/m9.figshare.7666055.v3</x:v>
      </x:c>
      <x:c r="D36" s="19" t="str">
        <x:v>同一稳定访问号/仓库记录，或经名称、任务、受试者和论文交叉核验为同一原始数据下载单元</x:v>
      </x:c>
    </x:row>
    <x:row r="37" ht="42" customHeight="1">
      <x:c r="A37" s="19" t="str">
        <x:v>Cao (2019)</x:v>
      </x:c>
      <x:c r="B37" s="19" t="str">
        <x:v>Cao (2024)</x:v>
      </x:c>
      <x:c r="C37" s="19" t="str">
        <x:v>Figshare:6427334,Figshare:7666055 | DOI:10.6084/m9.figshare.6427334,10.6084/m9.figshare.6427334.v5,10.6084/m9.figshare.7666055.v3</x:v>
      </x:c>
      <x:c r="D37" s="19" t="str">
        <x:v>同一稳定访问号/仓库记录，或经名称、任务、受试者和论文交叉核验为同一原始数据下载单元</x:v>
      </x:c>
    </x:row>
    <x:row r="38" ht="42" customHeight="1">
      <x:c r="A38" s="19" t="str">
        <x:v>Cao (2019)</x:v>
      </x:c>
      <x:c r="B38" s="19" t="str">
        <x:v>Sustained-Attention Driving</x:v>
      </x:c>
      <x:c r="C38" s="19" t="str">
        <x:v>Figshare:6427334,Figshare:7666055 | DOI:10.6084/m9.figshare.6427334,10.6084/m9.figshare.6427334.v5,10.6084/m9.figshare.7666055.v3</x:v>
      </x:c>
      <x:c r="D38" s="19" t="str">
        <x:v>同一稳定访问号/仓库记录，或经名称、任务、受试者和论文交叉核验为同一原始数据下载单元</x:v>
      </x:c>
    </x:row>
    <x:row r="39" ht="42" customHeight="1">
      <x:c r="A39" s="19" t="str">
        <x:v>Chisco (Chinese Imagined Speech EEG Corpus)</x:v>
      </x:c>
      <x:c r="B39" s="19" t="str">
        <x:v>Chinese Imagined Speech Corpus</x:v>
      </x:c>
      <x:c r="C39" s="19" t="str">
        <x:v>OpenNeuro:ds005170,ds006317 | DOI:10.1038/s41597-024-04114-1</x:v>
      </x:c>
      <x:c r="D39" s="19" t="str">
        <x:v>同一稳定访问号/仓库记录，或经名称、任务、受试者和论文交叉核验为同一原始数据下载单元</x:v>
      </x:c>
    </x:row>
    <x:row r="40" ht="42" customHeight="1">
      <x:c r="A40" s="19" t="str">
        <x:v>Chisco (Chinese Imagined Speech EEG Corpus)</x:v>
      </x:c>
      <x:c r="B40" s="19" t="str">
        <x:v>Chisco</x:v>
      </x:c>
      <x:c r="C40" s="19" t="str">
        <x:v>OpenNeuro:ds005170,ds006317 | DOI:10.1038/s41597-024-04114-1</x:v>
      </x:c>
      <x:c r="D40" s="19" t="str">
        <x:v>同一稳定访问号/仓库记录，或经名称、任务、受试者和论文交叉核验为同一原始数据下载单元</x:v>
      </x:c>
    </x:row>
    <x:row r="41" ht="42" customHeight="1">
      <x:c r="A41" s="19" t="str">
        <x:v>Chisco (Chinese Imagined Speech EEG Corpus)</x:v>
      </x:c>
      <x:c r="B41" s="19" t="str">
        <x:v>Chisco</x:v>
      </x:c>
      <x:c r="C41" s="19" t="str">
        <x:v>OpenNeuro:ds005170,ds006317 | DOI:10.1038/s41597-024-04114-1</x:v>
      </x:c>
      <x:c r="D41" s="19" t="str">
        <x:v>同一稳定访问号/仓库记录，或经名称、任务、受试者和论文交叉核验为同一原始数据下载单元</x:v>
      </x:c>
    </x:row>
    <x:row r="42" ht="42" customHeight="1">
      <x:c r="A42" s="19" t="str">
        <x:v>Chisco (Chinese Imagined Speech EEG Corpus)</x:v>
      </x:c>
      <x:c r="B42" s="19" t="str">
        <x:v>Chisco (Chinese Imagined Speech EEG Corpus)</x:v>
      </x:c>
      <x:c r="C42" s="19" t="str">
        <x:v>OpenNeuro:ds005170,ds006317 | DOI:10.1038/s41597-024-04114-1</x:v>
      </x:c>
      <x:c r="D42" s="19" t="str">
        <x:v>同一稳定访问号/仓库记录，或经名称、任务、受试者和论文交叉核验为同一原始数据下载单元</x:v>
      </x:c>
    </x:row>
    <x:row r="43" ht="42" customHeight="1">
      <x:c r="A43" s="19" t="str">
        <x:v>DREAMS-SUB (DREAMS Subjects Database)</x:v>
      </x:c>
      <x:c r="B43" s="19" t="str">
        <x:v>DREAMS Sleep Databases</x:v>
      </x:c>
      <x:c r="C43" s="19" t="str">
        <x:v>Zenodo:2650142 | DOI:10.5281/zenodo.2650142</x:v>
      </x:c>
      <x:c r="D43" s="19" t="str">
        <x:v>同一稳定访问号/仓库记录，或经名称、任务、受试者和论文交叉核验为同一原始数据下载单元</x:v>
      </x:c>
    </x:row>
    <x:row r="44" ht="42" customHeight="1">
      <x:c r="A44" s="19" t="str">
        <x:v>DREAMS-SUB (DREAMS Subjects Database)</x:v>
      </x:c>
      <x:c r="B44" s="19" t="str">
        <x:v>DREAMS-SUB (DREAMS Subjects Database)</x:v>
      </x:c>
      <x:c r="C44" s="19" t="str">
        <x:v>Zenodo:2650142 | DOI:10.5281/zenodo.2650142</x:v>
      </x:c>
      <x:c r="D44" s="19" t="str">
        <x:v>同一稳定访问号/仓库记录，或经名称、任务、受试者和论文交叉核验为同一原始数据下载单元</x:v>
      </x:c>
    </x:row>
    <x:row r="45" ht="42" customHeight="1">
      <x:c r="A45" s="19" t="str">
        <x:v>Digit-Span (pupillometry)</x:v>
      </x:c>
      <x:c r="B45" s="19" t="str">
        <x:v>Digit Span EEG + Pupillometry Dataset</x:v>
      </x:c>
      <x:c r="C45" s="19" t="str">
        <x:v>OpenNeuro:ds003838 | DOI:10.12751/g-node.1ecsf4</x:v>
      </x:c>
      <x:c r="D45" s="19" t="str">
        <x:v>同一稳定访问号/仓库记录，或经名称、任务、受试者和论文交叉核验为同一原始数据下载单元</x:v>
      </x:c>
    </x:row>
    <x:row r="46" ht="42" customHeight="1">
      <x:c r="A46" s="19" t="str">
        <x:v>Digit-Span (pupillometry)</x:v>
      </x:c>
      <x:c r="B46" s="19" t="str">
        <x:v>Digit-Span (pupillometry)</x:v>
      </x:c>
      <x:c r="C46" s="19" t="str">
        <x:v>OpenNeuro:ds003838 | DOI:10.12751/g-node.1ecsf4</x:v>
      </x:c>
      <x:c r="D46" s="19" t="str">
        <x:v>同一稳定访问号/仓库记录，或经名称、任务、受试者和论文交叉核验为同一原始数据下载单元</x:v>
      </x:c>
    </x:row>
    <x:row r="47" ht="42" customHeight="1">
      <x:c r="A47" s="19" t="str">
        <x:v>Dreem Open Datasets (DOD-H</x:v>
      </x:c>
      <x:c r="B47" s="19" t="str">
        <x:v>Dreem Open Datasets</x:v>
      </x:c>
      <x:c r="C47" s="19" t="str">
        <x:v>Zenodo:4498364</x:v>
      </x:c>
      <x:c r="D47" s="19" t="str">
        <x:v>同一稳定访问号/仓库记录，或经名称、任务、受试者和论文交叉核验为同一原始数据下载单元</x:v>
      </x:c>
    </x:row>
    <x:row r="48" ht="42" customHeight="1">
      <x:c r="A48" s="19" t="str">
        <x:v>Dreem Open Datasets (DOD-H</x:v>
      </x:c>
      <x:c r="B48" s="19" t="str">
        <x:v>Dreem Open Datasets (DOD-H</x:v>
      </x:c>
      <x:c r="C48" s="19" t="str">
        <x:v>Zenodo:4498364</x:v>
      </x:c>
      <x:c r="D48" s="19" t="str">
        <x:v>同一稳定访问号/仓库记录，或经名称、任务、受试者和论文交叉核验为同一原始数据下载单元</x:v>
      </x:c>
    </x:row>
    <x:row r="49" ht="42" customHeight="1">
      <x:c r="A49" s="19" t="str">
        <x:v>Dreem Open Datasets (DOD-H</x:v>
      </x:c>
      <x:c r="B49" s="19" t="str">
        <x:v>Dreem Open Datasets (DOD-H</x:v>
      </x:c>
      <x:c r="C49" s="19" t="str">
        <x:v>Zenodo:4498364</x:v>
      </x:c>
      <x:c r="D49" s="19" t="str">
        <x:v>同一稳定访问号/仓库记录，或经名称、任务、受试者和论文交叉核验为同一原始数据下载单元</x:v>
      </x:c>
    </x:row>
    <x:row r="50" ht="42" customHeight="1">
      <x:c r="A50" s="19" t="str">
        <x:v>Dreem Open Datasets (DOD-H</x:v>
      </x:c>
      <x:c r="B50" s="19" t="str">
        <x:v>Dreem Open Datasets (DOD-H</x:v>
      </x:c>
      <x:c r="C50" s="19" t="str">
        <x:v>Zenodo:4498364</x:v>
      </x:c>
      <x:c r="D50" s="19" t="str">
        <x:v>同一稳定访问号/仓库记录，或经名称、任务、受试者和论文交叉核验为同一原始数据下载单元</x:v>
      </x:c>
    </x:row>
    <x:row r="51" ht="42" customHeight="1">
      <x:c r="A51" s="19" t="str">
        <x:v>Dreyer-MI</x:v>
      </x:c>
      <x:c r="B51" s="19" t="str">
        <x:v>Dreyer-MI</x:v>
      </x:c>
      <x:c r="C51" s="19" t="str">
        <x:v>Zenodo:8089820 | DOI:10.5281/zenodo.8089820</x:v>
      </x:c>
      <x:c r="D51" s="19" t="str">
        <x:v>同一稳定访问号/仓库记录，或经名称、任务、受试者和论文交叉核验为同一原始数据下载单元</x:v>
      </x:c>
    </x:row>
    <x:row r="52" ht="42" customHeight="1">
      <x:c r="A52" s="19" t="str">
        <x:v>Dreyer-MI</x:v>
      </x:c>
      <x:c r="B52" s="19" t="str">
        <x:v>Large MI BCI User-Profile Database (Dreyer 2023)</x:v>
      </x:c>
      <x:c r="C52" s="19" t="str">
        <x:v>Zenodo:8089820 | DOI:10.5281/zenodo.8089820</x:v>
      </x:c>
      <x:c r="D52" s="19" t="str">
        <x:v>同一稳定访问号/仓库记录，或经名称、任务、受试者和论文交叉核验为同一原始数据下载单元</x:v>
      </x:c>
    </x:row>
    <x:row r="53" ht="42" customHeight="1">
      <x:c r="A53" s="19" t="str">
        <x:v>Dual-Frequency SSVEP</x:v>
      </x:c>
      <x:c r="B53" s="19" t="str">
        <x:v>Dual-Freq-SSVEP</x:v>
      </x:c>
      <x:c r="C53" s="19" t="str">
        <x:v>DOI:10.5524/102563</x:v>
      </x:c>
      <x:c r="D53" s="19" t="str">
        <x:v>同一稳定访问号/仓库记录，或经名称、任务、受试者和论文交叉核验为同一原始数据下载单元</x:v>
      </x:c>
    </x:row>
    <x:row r="54" ht="42" customHeight="1">
      <x:c r="A54" s="19" t="str">
        <x:v>Dual-Frequency SSVEP</x:v>
      </x:c>
      <x:c r="B54" s="19" t="str">
        <x:v>Dual-Frequency SSVEP</x:v>
      </x:c>
      <x:c r="C54" s="19" t="str">
        <x:v>DOI:10.5524/102563</x:v>
      </x:c>
      <x:c r="D54" s="19" t="str">
        <x:v>同一稳定访问号/仓库记录，或经名称、任务、受试者和论文交叉核验为同一原始数据下载单元</x:v>
      </x:c>
    </x:row>
    <x:row r="55" ht="42" customHeight="1">
      <x:c r="A55" s="19" t="str">
        <x:v>EEG Data for ADHD</x:v>
      </x:c>
      <x:c r="B55" s="19" t="str">
        <x:v>ADHD-AliMotie</x:v>
      </x:c>
      <x:c r="C55" s="19" t="str">
        <x:v>DOI:10.21227/rzfh-zn36</x:v>
      </x:c>
      <x:c r="D55" s="19" t="str">
        <x:v>同一稳定访问号/仓库记录，或经名称、任务、受试者和论文交叉核验为同一原始数据下载单元</x:v>
      </x:c>
    </x:row>
    <x:row r="56" ht="42" customHeight="1">
      <x:c r="A56" s="19" t="str">
        <x:v>EEG Data for ADHD</x:v>
      </x:c>
      <x:c r="B56" s="19" t="str">
        <x:v>EEG Data for ADHD</x:v>
      </x:c>
      <x:c r="C56" s="19" t="str">
        <x:v>DOI:10.21227/rzfh-zn36</x:v>
      </x:c>
      <x:c r="D56" s="19" t="str">
        <x:v>同一稳定访问号/仓库记录，或经名称、任务、受试者和论文交叉核验为同一原始数据下载单元</x:v>
      </x:c>
    </x:row>
    <x:row r="57" ht="42" customHeight="1">
      <x:c r="A57" s="19" t="str">
        <x:v>EEG-SVRec</x:v>
      </x:c>
      <x:c r="B57" s="19" t="str">
        <x:v>EEG-SVRec</x:v>
      </x:c>
      <x:c r="C57" s="19"/>
      <x:c r="D57" s="19" t="str">
        <x:v>同一稳定访问号/仓库记录，或经名称、任务、受试者和论文交叉核验为同一原始数据下载单元</x:v>
      </x:c>
    </x:row>
    <x:row r="58" ht="42" customHeight="1">
      <x:c r="A58" s="19" t="str">
        <x:v>EEG-SVRec</x:v>
      </x:c>
      <x:c r="B58" s="19" t="str">
        <x:v>EEG-SvRec</x:v>
      </x:c>
      <x:c r="C58" s="19"/>
      <x:c r="D58" s="19" t="str">
        <x:v>同一稳定访问号/仓库记录，或经名称、任务、受试者和论文交叉核验为同一原始数据下载单元</x:v>
      </x:c>
    </x:row>
    <x:row r="59" ht="42" customHeight="1">
      <x:c r="A59" s="19" t="str">
        <x:v>EEG-SVRec</x:v>
      </x:c>
      <x:c r="B59" s="19" t="str">
        <x:v>EEG-SvRec</x:v>
      </x:c>
      <x:c r="C59" s="19"/>
      <x:c r="D59" s="19" t="str">
        <x:v>同一稳定访问号/仓库记录，或经名称、任务、受试者和论文交叉核验为同一原始数据下载单元</x:v>
      </x:c>
    </x:row>
    <x:row r="60" ht="42" customHeight="1">
      <x:c r="A60" s="19" t="str">
        <x:v>EEG: 3-Stim Auditory Oddball and Rest in Parkinson’s</x:v>
      </x:c>
      <x:c r="B60" s="19" t="str">
        <x:v>EEG: 3-Stim Auditory Oddball and Rest in Parkinson’s</x:v>
      </x:c>
      <x:c r="C60" s="19" t="str">
        <x:v>OpenNeuro:ds003490 | DOI:10.1016/j.clinph.2017.11.023</x:v>
      </x:c>
      <x:c r="D60" s="19" t="str">
        <x:v>同一稳定访问号/仓库记录，或经名称、任务、受试者和论文交叉核验为同一原始数据下载单元</x:v>
      </x:c>
    </x:row>
    <x:row r="61" ht="42" customHeight="1">
      <x:c r="A61" s="19" t="str">
        <x:v>EEG: 3-Stim Auditory Oddball and Rest in Parkinson’s</x:v>
      </x:c>
      <x:c r="B61" s="19" t="str">
        <x:v>Parkinson's EEG (3-Stim Auditory Oddball + Rest, OpenNeuro ds003490)</x:v>
      </x:c>
      <x:c r="C61" s="19" t="str">
        <x:v>OpenNeuro:ds003490 | DOI:10.1016/j.clinph.2017.11.023</x:v>
      </x:c>
      <x:c r="D61" s="19" t="str">
        <x:v>同一稳定访问号/仓库记录，或经名称、任务、受试者和论文交叉核验为同一原始数据下载单元</x:v>
      </x:c>
    </x:row>
    <x:row r="62" ht="42" customHeight="1">
      <x:c r="A62" s="19" t="str">
        <x:v>Gu (2024)</x:v>
      </x:c>
      <x:c r="B62" s="19" t="str">
        <x:v>Gu (2024)</x:v>
      </x:c>
      <x:c r="C62" s="19" t="str">
        <x:v>DOI:10.6084/m9.figshare.c.6752910.v1</x:v>
      </x:c>
      <x:c r="D62" s="19" t="str">
        <x:v>同一稳定访问号/仓库记录，或经名称、任务、受试者和论文交叉核验为同一原始数据下载单元</x:v>
      </x:c>
    </x:row>
    <x:row r="63" ht="42" customHeight="1">
      <x:c r="A63" s="19" t="str">
        <x:v>Gu (2024)</x:v>
      </x:c>
      <x:c r="B63" s="19" t="str">
        <x:v>Gu2024</x:v>
      </x:c>
      <x:c r="C63" s="19" t="str">
        <x:v>DOI:10.6084/m9.figshare.c.6752910.v1</x:v>
      </x:c>
      <x:c r="D63" s="19" t="str">
        <x:v>同一稳定访问号/仓库记录，或经名称、任务、受试者和论文交叉核验为同一原始数据下载单元</x:v>
      </x:c>
    </x:row>
    <x:row r="64" ht="42" customHeight="1">
      <x:c r="A64" s="19" t="str">
        <x:v>Inner-Speech (Thinking-Out-Loud)</x:v>
      </x:c>
      <x:c r="B64" s="19" t="str">
        <x:v>Inner-Speech (Thinking-Out-Loud)</x:v>
      </x:c>
      <x:c r="C64" s="19" t="str">
        <x:v>OpenNeuro:ds003626</x:v>
      </x:c>
      <x:c r="D64" s="19" t="str">
        <x:v>同一稳定访问号/仓库记录，或经名称、任务、受试者和论文交叉核验为同一原始数据下载单元</x:v>
      </x:c>
    </x:row>
    <x:row r="65" ht="42" customHeight="1">
      <x:c r="A65" s="19" t="str">
        <x:v>Inner-Speech (Thinking-Out-Loud)</x:v>
      </x:c>
      <x:c r="B65" s="19" t="str">
        <x:v>Thinking Out Loud (Inner Speech EEG-based BCI dataset)</x:v>
      </x:c>
      <x:c r="C65" s="19" t="str">
        <x:v>OpenNeuro:ds003626</x:v>
      </x:c>
      <x:c r="D65" s="19" t="str">
        <x:v>同一稳定访问号/仓库记录，或经名称、任务、受试者和论文交叉核验为同一原始数据下载单元</x:v>
      </x:c>
    </x:row>
    <x:row r="66" ht="42" customHeight="1">
      <x:c r="A66" s="19" t="str">
        <x:v>Inner-Speech (Thinking-Out-Loud)</x:v>
      </x:c>
      <x:c r="B66" s="19" t="str">
        <x:v>Thinking Out Loud Inner Speech dataset (Nieto et al., 2022)</x:v>
      </x:c>
      <x:c r="C66" s="19" t="str">
        <x:v>OpenNeuro:ds003626</x:v>
      </x:c>
      <x:c r="D66" s="19" t="str">
        <x:v>同一稳定访问号/仓库记录，或经名称、任务、受试者和论文交叉核验为同一原始数据下载单元</x:v>
      </x:c>
    </x:row>
    <x:row r="67" ht="42" customHeight="1">
      <x:c r="A67" s="19" t="str">
        <x:v>KU Leuven Auditory Attention Decoding (AAD) EEG Dataset</x:v>
      </x:c>
      <x:c r="B67" s="19" t="str">
        <x:v>KU Leuven Auditory Attention Decoding (AAD) EEG Dataset</x:v>
      </x:c>
      <x:c r="C67" s="19" t="str">
        <x:v>Zenodo:4004271</x:v>
      </x:c>
      <x:c r="D67" s="19" t="str">
        <x:v>同一稳定访问号/仓库记录，或经名称、任务、受试者和论文交叉核验为同一原始数据下载单元</x:v>
      </x:c>
    </x:row>
    <x:row r="68" ht="42" customHeight="1">
      <x:c r="A68" s="19" t="str">
        <x:v>KU Leuven Auditory Attention Decoding (AAD) EEG Dataset</x:v>
      </x:c>
      <x:c r="B68" s="19" t="str">
        <x:v>KUL (KU Leuven auditory attention detection dataset)</x:v>
      </x:c>
      <x:c r="C68" s="19" t="str">
        <x:v>Zenodo:4004271</x:v>
      </x:c>
      <x:c r="D68" s="19" t="str">
        <x:v>同一稳定访问号/仓库记录，或经名称、任务、受试者和论文交叉核验为同一原始数据下载单元</x:v>
      </x:c>
    </x:row>
    <x:row r="69" ht="42" customHeight="1">
      <x:c r="A69" s="19" t="str">
        <x:v>KaggleERN (Inria BCI Challenge - Error-Related Negativity)</x:v>
      </x:c>
      <x:c r="B69" s="19" t="str">
        <x:v>Inria BCI Challenge</x:v>
      </x:c>
      <x:c r="C69" s="19"/>
      <x:c r="D69" s="19" t="str">
        <x:v>同一稳定访问号/仓库记录，或经名称、任务、受试者和论文交叉核验为同一原始数据下载单元</x:v>
      </x:c>
    </x:row>
    <x:row r="70" ht="42" customHeight="1">
      <x:c r="A70" s="19" t="str">
        <x:v>KaggleERN (Inria BCI Challenge - Error-Related Negativity)</x:v>
      </x:c>
      <x:c r="B70" s="19" t="str">
        <x:v>KaggleERN (Inria BCI Challenge - Error-Related Negativity)</x:v>
      </x:c>
      <x:c r="C70" s="19"/>
      <x:c r="D70" s="19" t="str">
        <x:v>同一稳定访问号/仓库记录，或经名称、任务、受试者和论文交叉核验为同一原始数据下载单元</x:v>
      </x:c>
    </x:row>
    <x:row r="71" ht="42" customHeight="1">
      <x:c r="A71" s="19" t="str">
        <x:v>KaggleERN (Inria BCI Challenge - Error-Related Negativity)</x:v>
      </x:c>
      <x:c r="B71" s="19" t="str">
        <x:v>Perrin2012</x:v>
      </x:c>
      <x:c r="C71" s="19"/>
      <x:c r="D71" s="19" t="str">
        <x:v>同一稳定访问号/仓库记录，或经名称、任务、受试者和论文交叉核验为同一原始数据下载单元</x:v>
      </x:c>
    </x:row>
    <x:row r="72" ht="42" customHeight="1">
      <x:c r="A72" s="19" t="str">
        <x:v>Kaya-MI</x:v>
      </x:c>
      <x:c r="B72" s="19" t="str">
        <x:v>Kaya (2017)</x:v>
      </x:c>
      <x:c r="C72" s="19" t="str">
        <x:v>Figshare:3917698 | DOI:10.6084/m9.figshare.c.3917698.v1</x:v>
      </x:c>
      <x:c r="D72" s="19" t="str">
        <x:v>同一稳定访问号/仓库记录，或经名称、任务、受试者和论文交叉核验为同一原始数据下载单元</x:v>
      </x:c>
    </x:row>
    <x:row r="73" ht="42" customHeight="1">
      <x:c r="A73" s="19" t="str">
        <x:v>Kaya-MI</x:v>
      </x:c>
      <x:c r="B73" s="19" t="str">
        <x:v>Kaya-MI</x:v>
      </x:c>
      <x:c r="C73" s="19" t="str">
        <x:v>Figshare:3917698 | DOI:10.6084/m9.figshare.c.3917698.v1</x:v>
      </x:c>
      <x:c r="D73" s="19" t="str">
        <x:v>同一稳定访问号/仓库记录，或经名称、任务、受试者和论文交叉核验为同一原始数据下载单元</x:v>
      </x:c>
    </x:row>
    <x:row r="74" ht="42" customHeight="1">
      <x:c r="A74" s="19" t="str">
        <x:v>LPPHK</x:v>
      </x:c>
      <x:c r="B74" s="19" t="str">
        <x:v>LPPHK</x:v>
      </x:c>
      <x:c r="C74" s="19" t="str">
        <x:v>OpenNeuro:ds004718</x:v>
      </x:c>
      <x:c r="D74" s="19" t="str">
        <x:v>同一稳定访问号/仓库记录，或经名称、任务、受试者和论文交叉核验为同一原始数据下载单元</x:v>
      </x:c>
    </x:row>
    <x:row r="75" ht="42" customHeight="1">
      <x:c r="A75" s="19" t="str">
        <x:v>LPPHK</x:v>
      </x:c>
      <x:c r="B75" s="19" t="str">
        <x:v>LePetitPrince (Le Petit Prince Hong Kong, LPPHK)</x:v>
      </x:c>
      <x:c r="C75" s="19" t="str">
        <x:v>OpenNeuro:ds004718</x:v>
      </x:c>
      <x:c r="D75" s="19" t="str">
        <x:v>同一稳定访问号/仓库记录，或经名称、任务、受试者和论文交叉核验为同一原始数据下载单元</x:v>
      </x:c>
    </x:row>
    <x:row r="76" ht="42" customHeight="1">
      <x:c r="A76" s="19" t="str">
        <x:v>Lin (2025)</x:v>
      </x:c>
      <x:c r="B76" s="19" t="str">
        <x:v>Lin (2025)</x:v>
      </x:c>
      <x:c r="C76" s="19" t="str">
        <x:v>Figshare:28069568 | DOI:10.6084/m9.figshare.28069568</x:v>
      </x:c>
      <x:c r="D76" s="19" t="str">
        <x:v>同一稳定访问号/仓库记录，或经名称、任务、受试者和论文交叉核验为同一原始数据下载单元</x:v>
      </x:c>
    </x:row>
    <x:row r="77" ht="42" customHeight="1">
      <x:c r="A77" s="19" t="str">
        <x:v>Lin (2025)</x:v>
      </x:c>
      <x:c r="B77" s="19" t="str">
        <x:v>Lin2025</x:v>
      </x:c>
      <x:c r="C77" s="19" t="str">
        <x:v>Figshare:28069568 | DOI:10.6084/m9.figshare.28069568</x:v>
      </x:c>
      <x:c r="D77" s="19" t="str">
        <x:v>同一稳定访问号/仓库记录，或经名称、任务、受试者和论文交叉核验为同一原始数据下载单元</x:v>
      </x:c>
    </x:row>
    <x:row r="78" ht="42" customHeight="1">
      <x:c r="A78" s="19" t="str">
        <x:v>Liu2024</x:v>
      </x:c>
      <x:c r="B78" s="19" t="str">
        <x:v>Liu (2024)</x:v>
      </x:c>
      <x:c r="C78" s="19" t="str">
        <x:v>Figshare:21679035 | DOI:10.1038/s41597-023-02787-8,10.6084/m9.figshare.21679035,10.6084/m9.figshare.21679035.v5</x:v>
      </x:c>
      <x:c r="D78" s="19" t="str">
        <x:v>同一稳定访问号/仓库记录，或经名称、任务、受试者和论文交叉核验为同一原始数据下载单元</x:v>
      </x:c>
    </x:row>
    <x:row r="79" ht="42" customHeight="1">
      <x:c r="A79" s="19" t="str">
        <x:v>Liu2024</x:v>
      </x:c>
      <x:c r="B79" s="19" t="str">
        <x:v>Liu2024</x:v>
      </x:c>
      <x:c r="C79" s="19" t="str">
        <x:v>Figshare:21679035 | DOI:10.1038/s41597-023-02787-8,10.6084/m9.figshare.21679035,10.6084/m9.figshare.21679035.v5</x:v>
      </x:c>
      <x:c r="D79" s="19" t="str">
        <x:v>同一稳定访问号/仓库记录，或经名称、任务、受试者和论文交叉核验为同一原始数据下载单元</x:v>
      </x:c>
    </x:row>
    <x:row r="80" ht="42" customHeight="1">
      <x:c r="A80" s="19" t="str">
        <x:v>Liu2024</x:v>
      </x:c>
      <x:c r="B80" s="19" t="str">
        <x:v>MI-Acute-Stroke</x:v>
      </x:c>
      <x:c r="C80" s="19" t="str">
        <x:v>Figshare:21679035 | DOI:10.1038/s41597-023-02787-8,10.6084/m9.figshare.21679035,10.6084/m9.figshare.21679035.v5</x:v>
      </x:c>
      <x:c r="D80" s="19" t="str">
        <x:v>同一稳定访问号/仓库记录，或经名称、任务、受试者和论文交叉核验为同一原始数据下载单元</x:v>
      </x:c>
    </x:row>
    <x:row r="81" ht="42" customHeight="1">
      <x:c r="A81" s="19" t="str">
        <x:v>Liu2024</x:v>
      </x:c>
      <x:c r="B81" s="19" t="str">
        <x:v>SPMI (Stroke Patient Motor Imagery EEG dataset, Liu et al. 2024a)</x:v>
      </x:c>
      <x:c r="C81" s="19" t="str">
        <x:v>Figshare:21679035 | DOI:10.1038/s41597-023-02787-8,10.6084/m9.figshare.21679035,10.6084/m9.figshare.21679035.v5</x:v>
      </x:c>
      <x:c r="D81" s="19" t="str">
        <x:v>同一稳定访问号/仓库记录，或经名称、任务、受试者和论文交叉核验为同一原始数据下载单元</x:v>
      </x:c>
    </x:row>
    <x:row r="82" ht="42" customHeight="1">
      <x:c r="A82" s="19" t="str">
        <x:v>Lopez2015</x:v>
      </x:c>
      <x:c r="B82" s="19" t="str">
        <x:v>Lopez (2015)</x:v>
      </x:c>
      <x:c r="C82" s="19"/>
      <x:c r="D82" s="19" t="str">
        <x:v>同一稳定访问号/仓库记录，或经名称、任务、受试者和论文交叉核验为同一原始数据下载单元</x:v>
      </x:c>
    </x:row>
    <x:row r="83" ht="42" customHeight="1">
      <x:c r="A83" s="19" t="str">
        <x:v>Lopez2015</x:v>
      </x:c>
      <x:c r="B83" s="19" t="str">
        <x:v>Lopez2015</x:v>
      </x:c>
      <x:c r="C83" s="19"/>
      <x:c r="D83" s="19" t="str">
        <x:v>同一稳定访问号/仓库记录，或经名称、任务、受试者和论文交叉核验为同一原始数据下载单元</x:v>
      </x:c>
    </x:row>
    <x:row r="84" ht="42" customHeight="1">
      <x:c r="A84" s="19" t="str">
        <x:v>MAMEM EEG SSVEP Dataset</x:v>
      </x:c>
      <x:c r="B84" s="19" t="str">
        <x:v>MAMEM EEG SSVEP Dataset</x:v>
      </x:c>
      <x:c r="C84" s="19" t="str">
        <x:v>Figshare:2068677,PhysioNet:mssvepdb | DOI:10.6084/m9.figshare.2068677</x:v>
      </x:c>
      <x:c r="D84" s="19" t="str">
        <x:v>同一稳定访问号/仓库记录，或经名称、任务、受试者和论文交叉核验为同一原始数据下载单元</x:v>
      </x:c>
    </x:row>
    <x:row r="85" ht="42" customHeight="1">
      <x:c r="A85" s="19" t="str">
        <x:v>MAMEM EEG SSVEP Dataset</x:v>
      </x:c>
      <x:c r="B85" s="19" t="str">
        <x:v>MAMEM SSVEP I</x:v>
      </x:c>
      <x:c r="C85" s="19" t="str">
        <x:v>Figshare:2068677,PhysioNet:mssvepdb | DOI:10.6084/m9.figshare.2068677</x:v>
      </x:c>
      <x:c r="D85" s="19" t="str">
        <x:v>同一稳定访问号/仓库记录，或经名称、任务、受试者和论文交叉核验为同一原始数据下载单元</x:v>
      </x:c>
    </x:row>
    <x:row r="86" ht="42" customHeight="1">
      <x:c r="A86" s="19" t="str">
        <x:v>MAMEM EEG SSVEP Dataset</x:v>
      </x:c>
      <x:c r="B86" s="19" t="str">
        <x:v>MAMEM1</x:v>
      </x:c>
      <x:c r="C86" s="19" t="str">
        <x:v>Figshare:2068677,PhysioNet:mssvepdb | DOI:10.6084/m9.figshare.2068677</x:v>
      </x:c>
      <x:c r="D86" s="19" t="str">
        <x:v>同一稳定访问号/仓库记录，或经名称、任务、受试者和论文交叉核验为同一原始数据下载单元</x:v>
      </x:c>
    </x:row>
    <x:row r="87" ht="42" customHeight="1">
      <x:c r="A87" s="19" t="str">
        <x:v>MDD (Mumtaz)</x:v>
      </x:c>
      <x:c r="B87" s="19" t="str">
        <x:v>MDD</x:v>
      </x:c>
      <x:c r="C87" s="19" t="str">
        <x:v>Figshare:3385168,Figshare:4244171 | DOI:10.6084/m9.figshare.4244171</x:v>
      </x:c>
      <x:c r="D87" s="19" t="str">
        <x:v>同一稳定访问号/仓库记录，或经名称、任务、受试者和论文交叉核验为同一原始数据下载单元</x:v>
      </x:c>
    </x:row>
    <x:row r="88" ht="42" customHeight="1">
      <x:c r="A88" s="19" t="str">
        <x:v>MDD (Mumtaz)</x:v>
      </x:c>
      <x:c r="B88" s="19" t="str">
        <x:v>MDD (Mumtaz)</x:v>
      </x:c>
      <x:c r="C88" s="19" t="str">
        <x:v>Figshare:3385168,Figshare:4244171 | DOI:10.6084/m9.figshare.4244171</x:v>
      </x:c>
      <x:c r="D88" s="19" t="str">
        <x:v>同一稳定访问号/仓库记录，或经名称、任务、受试者和论文交叉核验为同一原始数据下载单元</x:v>
      </x:c>
    </x:row>
    <x:row r="89" ht="42" customHeight="1">
      <x:c r="A89" s="19" t="str">
        <x:v>MDD (Mumtaz)</x:v>
      </x:c>
      <x:c r="B89" s="19" t="str">
        <x:v>Mumtaz2016 (MDD Patients and Healthy Controls EEG Data)</x:v>
      </x:c>
      <x:c r="C89" s="19" t="str">
        <x:v>Figshare:3385168,Figshare:4244171 | DOI:10.6084/m9.figshare.4244171</x:v>
      </x:c>
      <x:c r="D89" s="19" t="str">
        <x:v>同一稳定访问号/仓库记录，或经名称、任务、受试者和论文交叉核验为同一原始数据下载单元</x:v>
      </x:c>
    </x:row>
    <x:row r="90" ht="42" customHeight="1">
      <x:c r="A90" s="19" t="str">
        <x:v>MDD (Mumtaz)</x:v>
      </x:c>
      <x:c r="B90" s="19" t="str">
        <x:v>Mumtaz2016 depression EEG</x:v>
      </x:c>
      <x:c r="C90" s="19" t="str">
        <x:v>Figshare:3385168,Figshare:4244171 | DOI:10.6084/m9.figshare.4244171</x:v>
      </x:c>
      <x:c r="D90" s="19" t="str">
        <x:v>同一稳定访问号/仓库记录，或经名称、任务、受试者和论文交叉核验为同一原始数据下载单元</x:v>
      </x:c>
    </x:row>
    <x:row r="91" ht="42" customHeight="1">
      <x:c r="A91" s="19" t="str">
        <x:v>Ma (2020)</x:v>
      </x:c>
      <x:c r="B91" s="19" t="str">
        <x:v>Ma (2020)</x:v>
      </x:c>
      <x:c r="C91" s="19" t="str">
        <x:v>BNCI:020-0535 | DOI:10.1038/s41597-020-0535-2,10.7910/DVN/RBN3XG</x:v>
      </x:c>
      <x:c r="D91" s="19" t="str">
        <x:v>同一稳定访问号/仓库记录，或经名称、任务、受试者和论文交叉核验为同一原始数据下载单元</x:v>
      </x:c>
    </x:row>
    <x:row r="92" ht="42" customHeight="1">
      <x:c r="A92" s="19" t="str">
        <x:v>Ma (2020)</x:v>
      </x:c>
      <x:c r="B92" s="19" t="str">
        <x:v>Ma2020</x:v>
      </x:c>
      <x:c r="C92" s="19" t="str">
        <x:v>BNCI:020-0535 | DOI:10.1038/s41597-020-0535-2,10.7910/DVN/RBN3XG</x:v>
      </x:c>
      <x:c r="D92" s="19" t="str">
        <x:v>同一稳定访问号/仓库记录，或经名称、任务、受试者和论文交叉核验为同一原始数据下载单元</x:v>
      </x:c>
    </x:row>
    <x:row r="93" ht="42" customHeight="1">
      <x:c r="A93" s="19" t="str">
        <x:v>Moffa (2022)</x:v>
      </x:c>
      <x:c r="B93" s="19" t="str">
        <x:v>Moffa (2022)</x:v>
      </x:c>
      <x:c r="C93" s="19" t="str">
        <x:v>Figshare:5910329 | DOI:10.25452/figshare.plus.c.5910329</x:v>
      </x:c>
      <x:c r="D93" s="19" t="str">
        <x:v>同一稳定访问号/仓库记录，或经名称、任务、受试者和论文交叉核验为同一原始数据下载单元</x:v>
      </x:c>
    </x:row>
    <x:row r="94" ht="42" customHeight="1">
      <x:c r="A94" s="19" t="str">
        <x:v>Moffa (2022)</x:v>
      </x:c>
      <x:c r="B94" s="19" t="str">
        <x:v>TBS TMS-EEG (prefrontal)</x:v>
      </x:c>
      <x:c r="C94" s="19" t="str">
        <x:v>Figshare:5910329 | DOI:10.25452/figshare.plus.c.5910329</x:v>
      </x:c>
      <x:c r="D94" s="19" t="str">
        <x:v>同一稳定访问号/仓库记录，或经名称、任务、受试者和论文交叉核验为同一原始数据下载单元</x:v>
      </x:c>
    </x:row>
    <x:row r="95" ht="42" customHeight="1">
      <x:c r="A95" s="19" t="str">
        <x:v>Monitoring ErrP</x:v>
      </x:c>
      <x:c r="B95" s="19" t="str">
        <x:v>BNCI 013-2015 (Monitoring error-related potentials)</x:v>
      </x:c>
      <x:c r="C95" s="19" t="str">
        <x:v>BNCI:013-2015,BNCI 013-2015</x:v>
      </x:c>
      <x:c r="D95" s="19" t="str">
        <x:v>同一稳定访问号/仓库记录，或经名称、任务、受试者和论文交叉核验为同一原始数据下载单元</x:v>
      </x:c>
    </x:row>
    <x:row r="96" ht="42" customHeight="1">
      <x:c r="A96" s="19" t="str">
        <x:v>Monitoring ErrP</x:v>
      </x:c>
      <x:c r="B96" s="19" t="str">
        <x:v>Monitoring ErrP</x:v>
      </x:c>
      <x:c r="C96" s="19" t="str">
        <x:v>BNCI:013-2015,BNCI 013-2015</x:v>
      </x:c>
      <x:c r="D96" s="19" t="str">
        <x:v>同一稳定访问号/仓库记录，或经名称、任务、受试者和论文交叉核验为同一原始数据下载单元</x:v>
      </x:c>
    </x:row>
    <x:row r="97" ht="42" customHeight="1">
      <x:c r="A97" s="19" t="str">
        <x:v>Music and Speech Subcortical Responses EEG</x:v>
      </x:c>
      <x:c r="B97" s="19" t="str">
        <x:v>Music and Speech Subcortical Responses EEG</x:v>
      </x:c>
      <x:c r="C97" s="19" t="str">
        <x:v>OpenNeuro:ds004356</x:v>
      </x:c>
      <x:c r="D97" s="19" t="str">
        <x:v>同一稳定访问号/仓库记录，或经名称、任务、受试者和论文交叉核验为同一原始数据下载单元</x:v>
      </x:c>
    </x:row>
    <x:row r="98" ht="42" customHeight="1">
      <x:c r="A98" s="19" t="str">
        <x:v>Music and Speech Subcortical Responses EEG</x:v>
      </x:c>
      <x:c r="B98" s="19" t="str">
        <x:v>ds004356 (Subcortical</x:v>
      </x:c>
      <x:c r="C98" s="19" t="str">
        <x:v>OpenNeuro:ds004356</x:v>
      </x:c>
      <x:c r="D98" s="19" t="str">
        <x:v>同一稳定访问号/仓库记录，或经名称、任务、受试者和论文交叉核验为同一原始数据下载单元</x:v>
      </x:c>
    </x:row>
    <x:row r="99" ht="42" customHeight="1">
      <x:c r="A99" s="19" t="str">
        <x:v>Nakanishi2015</x:v>
      </x:c>
      <x:c r="B99" s="19" t="str">
        <x:v>Nakanishi 2015 SSVEP dataset</x:v>
      </x:c>
      <x:c r="C99" s="19"/>
      <x:c r="D99" s="19" t="str">
        <x:v>同一稳定访问号/仓库记录，或经名称、任务、受试者和论文交叉核验为同一原始数据下载单元</x:v>
      </x:c>
    </x:row>
    <x:row r="100" ht="42" customHeight="1">
      <x:c r="A100" s="19" t="str">
        <x:v>Nakanishi2015</x:v>
      </x:c>
      <x:c r="B100" s="19" t="str">
        <x:v>Nakanishi2015</x:v>
      </x:c>
      <x:c r="C100" s="19"/>
      <x:c r="D100" s="19" t="str">
        <x:v>同一稳定访问号/仓库记录，或经名称、任务、受试者和论文交叉核验为同一原始数据下载单元</x:v>
      </x:c>
    </x:row>
    <x:row r="101" ht="42" customHeight="1">
      <x:c r="A101" s="19" t="str">
        <x:v>PhysioP300 (PhysioNet ERP</x:v>
      </x:c>
      <x:c r="B101" s="19" t="str">
        <x:v>Citi2010</x:v>
      </x:c>
      <x:c r="C101" s="19" t="str">
        <x:v>PhysioNet:erpbci</x:v>
      </x:c>
      <x:c r="D101" s="19" t="str">
        <x:v>同一稳定访问号/仓库记录，或经名称、任务、受试者和论文交叉核验为同一原始数据下载单元</x:v>
      </x:c>
    </x:row>
    <x:row r="102" ht="42" customHeight="1">
      <x:c r="A102" s="19" t="str">
        <x:v>PhysioP300 (PhysioNet ERP</x:v>
      </x:c>
      <x:c r="B102" s="19" t="str">
        <x:v>Physio-ERP (P300</x:v>
      </x:c>
      <x:c r="C102" s="19" t="str">
        <x:v>PhysioNet:erpbci</x:v>
      </x:c>
      <x:c r="D102" s="19" t="str">
        <x:v>同一稳定访问号/仓库记录，或经名称、任务、受试者和论文交叉核验为同一原始数据下载单元</x:v>
      </x:c>
    </x:row>
    <x:row r="103" ht="42" customHeight="1">
      <x:c r="A103" s="19" t="str">
        <x:v>PhysioP300 (PhysioNet ERP</x:v>
      </x:c>
      <x:c r="B103" s="19" t="str">
        <x:v>PhysioNet P300 (P300 Speller</x:v>
      </x:c>
      <x:c r="C103" s="19" t="str">
        <x:v>PhysioNet:erpbci</x:v>
      </x:c>
      <x:c r="D103" s="19" t="str">
        <x:v>同一稳定访问号/仓库记录，或经名称、任务、受试者和论文交叉核验为同一原始数据下载单元</x:v>
      </x:c>
    </x:row>
    <x:row r="104" ht="42" customHeight="1">
      <x:c r="A104" s="19" t="str">
        <x:v>PhysioP300 (PhysioNet ERP</x:v>
      </x:c>
      <x:c r="B104" s="19" t="str">
        <x:v>PhysioP300 (PhysioNet ERP</x:v>
      </x:c>
      <x:c r="C104" s="19" t="str">
        <x:v>PhysioNet:erpbci</x:v>
      </x:c>
      <x:c r="D104" s="19" t="str">
        <x:v>同一稳定访问号/仓库记录，或经名称、任务、受试者和论文交叉核验为同一原始数据下载单元</x:v>
      </x:c>
    </x:row>
    <x:row r="105" ht="42" customHeight="1">
      <x:c r="A105" s="19" t="str">
        <x:v>RSVP &amp; P300 Speller</x:v>
      </x:c>
      <x:c r="B105" s="19" t="str">
        <x:v>RSVP &amp; P300 Speller</x:v>
      </x:c>
      <x:c r="C105" s="19" t="str">
        <x:v>Figshare:5769449 | DOI:10.6084/m9.figshare.c.5769449.v1</x:v>
      </x:c>
      <x:c r="D105" s="19" t="str">
        <x:v>同一稳定访问号/仓库记录，或经名称、任务、受试者和论文交叉核验为同一原始数据下载单元</x:v>
      </x:c>
    </x:row>
    <x:row r="106" ht="42" customHeight="1">
      <x:c r="A106" s="19" t="str">
        <x:v>RSVP &amp; P300 Speller</x:v>
      </x:c>
      <x:c r="B106" s="19" t="str">
        <x:v>Won (2022)</x:v>
      </x:c>
      <x:c r="C106" s="19" t="str">
        <x:v>Figshare:5769449 | DOI:10.6084/m9.figshare.c.5769449.v1</x:v>
      </x:c>
      <x:c r="D106" s="19" t="str">
        <x:v>同一稳定访问号/仓库记录，或经名称、任务、受试者和论文交叉核验为同一原始数据下载单元</x:v>
      </x:c>
    </x:row>
    <x:row r="107" ht="42" customHeight="1">
      <x:c r="A107" s="19" t="str">
        <x:v>RSVP &amp; P300 Speller</x:v>
      </x:c>
      <x:c r="B107" s="19" t="str">
        <x:v>Won2022</x:v>
      </x:c>
      <x:c r="C107" s="19" t="str">
        <x:v>Figshare:5769449 | DOI:10.6084/m9.figshare.c.5769449.v1</x:v>
      </x:c>
      <x:c r="D107" s="19" t="str">
        <x:v>同一稳定访问号/仓库记录，或经名称、任务、受试者和论文交叉核验为同一原始数据下载单元</x:v>
      </x:c>
    </x:row>
    <x:row r="108" ht="42" customHeight="1">
      <x:c r="A108" s="19" t="str">
        <x:v>SRM Resting-state EEG</x:v>
      </x:c>
      <x:c r="B108" s="19" t="str">
        <x:v>SRM (SRM resting-state EEG)</x:v>
      </x:c>
      <x:c r="C108" s="19" t="str">
        <x:v>OpenNeuro:ds003775</x:v>
      </x:c>
      <x:c r="D108" s="19" t="str">
        <x:v>同一稳定访问号/仓库记录，或经名称、任务、受试者和论文交叉核验为同一原始数据下载单元</x:v>
      </x:c>
    </x:row>
    <x:row r="109" ht="42" customHeight="1">
      <x:c r="A109" s="19" t="str">
        <x:v>SRM Resting-state EEG</x:v>
      </x:c>
      <x:c r="B109" s="19" t="str">
        <x:v>SRM Resting-state EEG</x:v>
      </x:c>
      <x:c r="C109" s="19" t="str">
        <x:v>OpenNeuro:ds003775</x:v>
      </x:c>
      <x:c r="D109" s="19" t="str">
        <x:v>同一稳定访问号/仓库记录，或经名称、任务、受试者和论文交叉核验为同一原始数据下载单元</x:v>
      </x:c>
    </x:row>
    <x:row r="110" ht="42" customHeight="1">
      <x:c r="A110" s="19" t="str">
        <x:v>Stroop High-Altitude (EEG-fNIRS)</x:v>
      </x:c>
      <x:c r="B110" s="19" t="str">
        <x:v>Ji High-altitude Stroop EEG-fNIRS Dataset</x:v>
      </x:c>
      <x:c r="C110" s="19" t="str">
        <x:v>Figshare:24803499 | DOI:10.6084/m9.figshare.c.6979581.v1</x:v>
      </x:c>
      <x:c r="D110" s="19" t="str">
        <x:v>同一稳定访问号/仓库记录，或经名称、任务、受试者和论文交叉核验为同一原始数据下载单元</x:v>
      </x:c>
    </x:row>
    <x:row r="111" ht="42" customHeight="1">
      <x:c r="A111" s="19" t="str">
        <x:v>Stroop High-Altitude (EEG-fNIRS)</x:v>
      </x:c>
      <x:c r="B111" s="19" t="str">
        <x:v>Stroop High-Altitude (EEG-fNIRS)</x:v>
      </x:c>
      <x:c r="C111" s="19" t="str">
        <x:v>Figshare:24803499 | DOI:10.6084/m9.figshare.c.6979581.v1</x:v>
      </x:c>
      <x:c r="D111" s="19" t="str">
        <x:v>同一稳定访问号/仓库记录，或经名称、任务、受试者和论文交叉核验为同一原始数据下载单元</x:v>
      </x:c>
    </x:row>
    <x:row r="112" ht="42" customHeight="1">
      <x:c r="A112" s="19" t="str">
        <x:v>Test-Retest / RestCog</x:v>
      </x:c>
      <x:c r="B112" s="19" t="str">
        <x:v>RestCog</x:v>
      </x:c>
      <x:c r="C112" s="19" t="str">
        <x:v>OpenNeuro:ds004148</x:v>
      </x:c>
      <x:c r="D112" s="19" t="str">
        <x:v>同一稳定访问号/仓库记录，或经名称、任务、受试者和论文交叉核验为同一原始数据下载单元</x:v>
      </x:c>
    </x:row>
    <x:row r="113" ht="42" customHeight="1">
      <x:c r="A113" s="19" t="str">
        <x:v>Test-Retest / RestCog</x:v>
      </x:c>
      <x:c r="B113" s="19" t="str">
        <x:v>RestCog</x:v>
      </x:c>
      <x:c r="C113" s="19" t="str">
        <x:v>OpenNeuro:ds004148</x:v>
      </x:c>
      <x:c r="D113" s="19" t="str">
        <x:v>同一稳定访问号/仓库记录，或经名称、任务、受试者和论文交叉核验为同一原始数据下载单元</x:v>
      </x:c>
    </x:row>
    <x:row r="114" ht="42" customHeight="1">
      <x:c r="A114" s="19" t="str">
        <x:v>Test-Retest / RestCog</x:v>
      </x:c>
      <x:c r="B114" s="19" t="str">
        <x:v>RestCog (test-retest resting and cognitive state EEG)</x:v>
      </x:c>
      <x:c r="C114" s="19" t="str">
        <x:v>OpenNeuro:ds004148</x:v>
      </x:c>
      <x:c r="D114" s="19" t="str">
        <x:v>同一稳定访问号/仓库记录，或经名称、任务、受试者和论文交叉核验为同一原始数据下载单元</x:v>
      </x:c>
    </x:row>
    <x:row r="115" ht="42" customHeight="1">
      <x:c r="A115" s="19" t="str">
        <x:v>Test-Retest / RestCog</x:v>
      </x:c>
      <x:c r="B115" s="19" t="str">
        <x:v>Test-Retest / RestCog</x:v>
      </x:c>
      <x:c r="C115" s="19" t="str">
        <x:v>OpenNeuro:ds004148</x:v>
      </x:c>
      <x:c r="D115" s="19" t="str">
        <x:v>同一稳定访问号/仓库记录，或经名称、任务、受试者和论文交叉核验为同一原始数据下载单元</x:v>
      </x:c>
    </x:row>
    <x:row r="116" ht="42" customHeight="1">
      <x:c r="A116" s="19" t="str">
        <x:v>UCI</x:v>
      </x:c>
      <x:c r="B116" s="19" t="str">
        <x:v>UCI</x:v>
      </x:c>
      <x:c r="C116" s="19"/>
      <x:c r="D116" s="19" t="str">
        <x:v>同一稳定访问号/仓库记录，或经名称、任务、受试者和论文交叉核验为同一原始数据下载单元</x:v>
      </x:c>
    </x:row>
    <x:row r="117" ht="42" customHeight="1">
      <x:c r="A117" s="19" t="str">
        <x:v>UCI</x:v>
      </x:c>
      <x:c r="B117" s="19" t="str">
        <x:v>UCI EEG Database (Alcoholism)</x:v>
      </x:c>
      <x:c r="C117" s="19"/>
      <x:c r="D117" s="19" t="str">
        <x:v>同一稳定访问号/仓库记录，或经名称、任务、受试者和论文交叉核验为同一原始数据下载单元</x:v>
      </x:c>
    </x:row>
    <x:row r="118" ht="42" customHeight="1">
      <x:c r="A118" s="19" t="str">
        <x:v>UCI EEG Eye State</x:v>
      </x:c>
      <x:c r="B118" s="19" t="str">
        <x:v>EEG Eye State Dataset</x:v>
      </x:c>
      <x:c r="C118" s="19"/>
      <x:c r="D118" s="19" t="str">
        <x:v>同一稳定访问号/仓库记录，或经名称、任务、受试者和论文交叉核验为同一原始数据下载单元</x:v>
      </x:c>
    </x:row>
    <x:row r="119" ht="42" customHeight="1">
      <x:c r="A119" s="19" t="str">
        <x:v>UCI EEG Eye State</x:v>
      </x:c>
      <x:c r="B119" s="19" t="str">
        <x:v>UCI EEG Eye State</x:v>
      </x:c>
      <x:c r="C119" s="19"/>
      <x:c r="D119" s="19" t="str">
        <x:v>同一稳定访问号/仓库记录，或经名称、任务、受试者和论文交叉核验为同一原始数据下载单元</x:v>
      </x:c>
    </x:row>
    <x:row r="120" ht="42" customHeight="1">
      <x:c r="A120" s="19" t="str">
        <x:v>Veloso2017</x:v>
      </x:c>
      <x:c r="B120" s="19" t="str">
        <x:v>Veloso (2017)</x:v>
      </x:c>
      <x:c r="C120" s="19"/>
      <x:c r="D120" s="19" t="str">
        <x:v>同一稳定访问号/仓库记录，或经名称、任务、受试者和论文交叉核验为同一原始数据下载单元</x:v>
      </x:c>
    </x:row>
    <x:row r="121" ht="42" customHeight="1">
      <x:c r="A121" s="19" t="str">
        <x:v>Veloso2017</x:v>
      </x:c>
      <x:c r="B121" s="19" t="str">
        <x:v>Veloso2017</x:v>
      </x:c>
      <x:c r="C121" s="19"/>
      <x:c r="D121" s="19" t="str">
        <x:v>同一稳定访问号/仓库记录，或经名称、任务、受试者和论文交叉核验为同一原始数据下载单元</x:v>
      </x:c>
    </x:row>
    <x:row r="122" ht="42" customHeight="1">
      <x:c r="A122" s="19" t="str">
        <x:v>Zhou 2016 Motor Imagery Dataset</x:v>
      </x:c>
      <x:c r="B122" s="19" t="str">
        <x:v>Zhou 2016 Motor Imagery Dataset</x:v>
      </x:c>
      <x:c r="C122" s="19" t="str">
        <x:v>Figshare:1490216</x:v>
      </x:c>
      <x:c r="D122" s="19" t="str">
        <x:v>同一稳定访问号/仓库记录，或经名称、任务、受试者和论文交叉核验为同一原始数据下载单元</x:v>
      </x:c>
    </x:row>
    <x:row r="123" ht="42" customHeight="1">
      <x:c r="A123" s="19" t="str">
        <x:v>Zhou 2016 Motor Imagery Dataset</x:v>
      </x:c>
      <x:c r="B123" s="19" t="str">
        <x:v>Zhou2016</x:v>
      </x:c>
      <x:c r="C123" s="19" t="str">
        <x:v>Figshare:1490216</x:v>
      </x:c>
      <x:c r="D123" s="19" t="str">
        <x:v>同一稳定访问号/仓库记录，或经名称、任务、受试者和论文交叉核验为同一原始数据下载单元</x:v>
      </x:c>
    </x:row>
    <x:row r="124" ht="42" customHeight="1">
      <x:c r="A124" s="19" t="str">
        <x:v>eldBETA</x:v>
      </x:c>
      <x:c r="B124" s="19" t="str">
        <x:v>Liu2022EldBETA (elderly BETA)</x:v>
      </x:c>
      <x:c r="C124" s="19" t="str">
        <x:v>Figshare:18032669 | DOI:10.6084/m9.figshare.18032669</x:v>
      </x:c>
      <x:c r="D124" s="19" t="str">
        <x:v>同一稳定访问号/仓库记录，或经名称、任务、受试者和论文交叉核验为同一原始数据下载单元</x:v>
      </x:c>
    </x:row>
    <x:row r="125" ht="42" customHeight="1">
      <x:c r="A125" s="19" t="str">
        <x:v>eldBETA</x:v>
      </x:c>
      <x:c r="B125" s="19" t="str">
        <x:v>eldBETA</x:v>
      </x:c>
      <x:c r="C125" s="19" t="str">
        <x:v>Figshare:18032669 | DOI:10.6084/m9.figshare.18032669</x:v>
      </x:c>
      <x:c r="D125" s="19" t="str">
        <x:v>同一稳定访问号/仓库记录，或经名称、任务、受试者和论文交叉核验为同一原始数据下载单元</x:v>
      </x:c>
    </x:row>
    <x:row r="126" ht="42" customHeight="1">
      <x:c r="A126" s="19" t="str">
        <x:v>eldBETA</x:v>
      </x:c>
      <x:c r="B126" s="19" t="str">
        <x:v>eldBETA Database</x:v>
      </x:c>
      <x:c r="C126" s="19" t="str">
        <x:v>Figshare:18032669 | DOI:10.6084/m9.figshare.18032669</x:v>
      </x:c>
      <x:c r="D126" s="19" t="str">
        <x:v>同一稳定访问号/仓库记录，或经名称、任务、受试者和论文交叉核验为同一原始数据下载单元</x:v>
      </x:c>
    </x:row>
  </x:sheetData>
  <x:pageMargins left="0.7" right="0.7" top="0.75" bottom="0.75" header="0.3" footer="0.3"/>
  <x:tableParts count="1">
    <x:tablePart xmlns:r="http://schemas.openxmlformats.org/officeDocument/2006/relationships" r:id="Rb5e13a1a2c444ccb"/>
  </x:tableParts>
</x:worksheet>
</file>

<file path=xl/worksheets/sheet10.xml><?xml version="1.0" encoding="utf-8"?>
<x:worksheet xmlns:x="http://schemas.openxmlformats.org/spreadsheetml/2006/main">
  <x:sheetFormatPr defaultRowHeight="15"/>
  <x:cols>
    <x:col min="1" max="1" width="24" hidden="0" customWidth="1"/>
    <x:col min="2" max="2" width="55" hidden="0" customWidth="1"/>
    <x:col min="3" max="3" width="50" hidden="0" customWidth="1"/>
    <x:col min="4" max="4" width="60" hidden="0" customWidth="1"/>
  </x:cols>
  <x:sheetData>
    <x:row r="1" ht="32" customHeight="1">
      <x:c r="A1" s="149" t="str">
        <x:v>类别/问题</x:v>
      </x:c>
      <x:c r="B1" s="150" t="str">
        <x:v>纳入逻辑</x:v>
      </x:c>
      <x:c r="C1" s="150" t="str">
        <x:v>例子</x:v>
      </x:c>
      <x:c r="D1" s="151" t="str">
        <x:v>边界与例外</x:v>
      </x:c>
    </x:row>
    <x:row r="2">
      <x:c r="A2" s="152" t="str">
        <x:v>疾病/临床</x:v>
      </x:c>
      <x:c r="B2" s="153" t="str">
        <x:v>存在临床诊断、患者招募、医院监测、疾病预后/治疗或病例-对照设计。</x:v>
      </x:c>
      <x:c r="C2" s="153" t="str">
        <x:v>抑郁/MDD、精神分裂症、帕金森、癫痫、TBI、临床睡眠障碍</x:v>
      </x:c>
      <x:c r="D2" s="154" t="str">
        <x:v>健康对照仍随主研究目标归疾病/临床。</x:v>
      </x:c>
    </x:row>
    <x:row r="3">
      <x:c r="A3" s="45" t="str">
        <x:v>健康/人群</x:v>
      </x:c>
      <x:c r="B3" s="81" t="str">
        <x:v>健康参考、生命周期、流行病学、孕产妇、衰老或风险表型；没有把量表高分直接等同诊断。</x:v>
      </x:c>
      <x:c r="C3" s="81" t="str">
        <x:v>CHBMP、HCHS/SOL、nuMoM2b、Gruendler2009</x:v>
      </x:c>
      <x:c r="D3" s="46" t="str">
        <x:v>风险/症状分层与确诊疾病分开。</x:v>
      </x:c>
    </x:row>
    <x:row r="4">
      <x:c r="A4" s="51" t="str">
        <x:v>睡眠健康/PSG</x:v>
      </x:c>
      <x:c r="B4" s="155" t="str">
        <x:v>主用途是睡眠分期或 PSG 队列，临床属性用第二轴表示。</x:v>
      </x:c>
      <x:c r="C4" s="155" t="str">
        <x:v>SHHS、MrOS、HomePAP、CAP Sleep</x:v>
      </x:c>
      <x:c r="D4" s="156" t="str">
        <x:v>避免仅因含 apnea/患者就破坏任务型目录。</x:v>
      </x:c>
    </x:row>
    <x:row r="5">
      <x:c r="A5" s="45" t="str">
        <x:v>一般认知/BCI</x:v>
      </x:c>
      <x:c r="B5" s="81" t="str">
        <x:v>健康受试者的 ERP、情绪、语义、视觉、BCI 或工业交互。</x:v>
      </x:c>
      <x:c r="C5" s="81" t="str">
        <x:v>BNCI2015_013、PhysioP300、REFED、MultiPhysio-HRC</x:v>
      </x:c>
      <x:c r="D5" s="46" t="str">
        <x:v>不因 EEG 被用于医疗研究就自动归疾病。</x:v>
      </x:c>
    </x:row>
    <x:row r="6">
      <x:c r="A6" s="51" t="str">
        <x:v>非 raw EEG / 排除</x:v>
      </x:c>
      <x:c r="B6" s="155" t="str">
        <x:v>当前下载内容没有 EEG signal，或只有处理后特征。</x:v>
      </x:c>
      <x:c r="C6" s="155" t="str">
        <x:v>EEG-0050、EEG-0101；BEED processed-only</x:v>
      </x:c>
      <x:c r="D6" s="156" t="str">
        <x:v>从 raw EEG subjects/hours 主指标排除并单列。</x:v>
      </x:c>
    </x:row>
    <x:row r="7">
      <x:c r="A7" s="159" t="str">
        <x:v>明确回答：抑郁</x:v>
      </x:c>
      <x:c r="B7" s="160" t="str">
        <x:v>临床 MDD、抑郁诊断或病例-对照属于疾病/临床。</x:v>
      </x:c>
      <x:c r="C7" s="160" t="str">
        <x:v>MDD (Mumtaz)、MODMA、临床 depression datasets</x:v>
      </x:c>
      <x:c r="D7" s="66" t="str">
        <x:v>普通情绪任务或 BDI/OCI 风险分层不能自动等同诊断。</x:v>
      </x:c>
    </x:row>
    <x:row r="8">
      <x:c r="A8" s="161" t="str">
        <x:v>目录处理</x:v>
      </x:c>
      <x:c r="B8" s="162" t="str">
        <x:v>主表保留研究任务轴；Healthcare 重点清单使用临床队列轴。</x:v>
      </x:c>
      <x:c r="C8" s="162" t="str">
        <x:v>睡眠分期仍可在 03_Consciousness_and_State</x:v>
      </x:c>
      <x:c r="D8" s="163" t="str">
        <x:v>避免一个字段同时承担任务与诊断两种互相冲突的分类。</x:v>
      </x:c>
    </x:row>
  </x:sheetData>
  <x:pageMargins left="0.7" right="0.7" top="0.75" bottom="0.75" header="0.3" footer="0.3"/>
  <x:tableParts count="1">
    <x:tablePart xmlns:r="http://schemas.openxmlformats.org/officeDocument/2006/relationships" r:id="R0e2cc68e3be443ad"/>
  </x:tableParts>
</x:worksheet>
</file>

<file path=xl/worksheets/sheet11.xml><?xml version="1.0" encoding="utf-8"?>
<x:worksheet xmlns:x="http://schemas.openxmlformats.org/spreadsheetml/2006/main">
  <x:sheetFormatPr defaultRowHeight="15"/>
  <x:cols>
    <x:col min="1" max="1" width="13" hidden="0" customWidth="1"/>
    <x:col min="2" max="2" width="28" hidden="0" customWidth="1"/>
    <x:col min="3" max="3" width="42" hidden="0" customWidth="1"/>
    <x:col min="4" max="4" width="62" hidden="0" customWidth="1"/>
    <x:col min="5" max="5" width="42" hidden="0" customWidth="1"/>
  </x:cols>
  <x:sheetData>
    <x:row r="1" ht="32" customHeight="1">
      <x:c r="A1" s="149" t="str">
        <x:v>ID</x:v>
      </x:c>
      <x:c r="B1" s="150" t="str">
        <x:v>字段</x:v>
      </x:c>
      <x:c r="C1" s="150" t="str">
        <x:v>修订后值</x:v>
      </x:c>
      <x:c r="D1" s="150" t="str">
        <x:v>原因</x:v>
      </x:c>
      <x:c r="E1" s="151" t="str">
        <x:v>证据</x:v>
      </x:c>
    </x:row>
    <x:row r="2">
      <x:c r="A2" s="152" t="str">
        <x:v>EEG-0005</x:v>
      </x:c>
      <x:c r="B2" s="153" t="str">
        <x:v>大类目录</x:v>
      </x:c>
      <x:c r="C2" s="153" t="str">
        <x:v>02_Healthcare_and_Disease</x:v>
      </x:c>
      <x:c r="D2" s="153" t="str">
        <x:v>目录命名修订：把临床疾病与医疗队列从生物识别概念中拆开。</x:v>
      </x:c>
      <x:c r="E2" s="154" t="str">
        <x:v>本轮分类规则</x:v>
      </x:c>
    </x:row>
    <x:row r="3">
      <x:c r="A3" s="45" t="str">
        <x:v>EEG-0006</x:v>
      </x:c>
      <x:c r="B3" s="81" t="str">
        <x:v>大类目录</x:v>
      </x:c>
      <x:c r="C3" s="81" t="str">
        <x:v>02_Healthcare_and_Disease</x:v>
      </x:c>
      <x:c r="D3" s="81" t="str">
        <x:v>目录命名修订：把临床疾病与医疗队列从生物识别概念中拆开。</x:v>
      </x:c>
      <x:c r="E3" s="46" t="str">
        <x:v>本轮分类规则</x:v>
      </x:c>
    </x:row>
    <x:row r="4">
      <x:c r="A4" s="51" t="str">
        <x:v>EEG-0007</x:v>
      </x:c>
      <x:c r="B4" s="155" t="str">
        <x:v>大类目录</x:v>
      </x:c>
      <x:c r="C4" s="155" t="str">
        <x:v>02_Healthcare_and_Disease</x:v>
      </x:c>
      <x:c r="D4" s="155" t="str">
        <x:v>目录命名修订：把临床疾病与医疗队列从生物识别概念中拆开。</x:v>
      </x:c>
      <x:c r="E4" s="156" t="str">
        <x:v>本轮分类规则</x:v>
      </x:c>
    </x:row>
    <x:row r="5">
      <x:c r="A5" s="45" t="str">
        <x:v>EEG-0008</x:v>
      </x:c>
      <x:c r="B5" s="81" t="str">
        <x:v>大类目录</x:v>
      </x:c>
      <x:c r="C5" s="81" t="str">
        <x:v>02_Healthcare_and_Disease</x:v>
      </x:c>
      <x:c r="D5" s="81" t="str">
        <x:v>目录命名修订：把临床疾病与医疗队列从生物识别概念中拆开。</x:v>
      </x:c>
      <x:c r="E5" s="46" t="str">
        <x:v>本轮分类规则</x:v>
      </x:c>
    </x:row>
    <x:row r="6">
      <x:c r="A6" s="51" t="str">
        <x:v>EEG-0009</x:v>
      </x:c>
      <x:c r="B6" s="155" t="str">
        <x:v>大类目录</x:v>
      </x:c>
      <x:c r="C6" s="155" t="str">
        <x:v>02_Healthcare_and_Disease</x:v>
      </x:c>
      <x:c r="D6" s="155" t="str">
        <x:v>目录命名修订：把临床疾病与医疗队列从生物识别概念中拆开。</x:v>
      </x:c>
      <x:c r="E6" s="156" t="str">
        <x:v>本轮分类规则</x:v>
      </x:c>
    </x:row>
    <x:row r="7">
      <x:c r="A7" s="45" t="str">
        <x:v>EEG-0010</x:v>
      </x:c>
      <x:c r="B7" s="81" t="str">
        <x:v>大类目录</x:v>
      </x:c>
      <x:c r="C7" s="81" t="str">
        <x:v>02_Healthcare_and_Disease</x:v>
      </x:c>
      <x:c r="D7" s="81" t="str">
        <x:v>目录命名修订：把临床疾病与医疗队列从生物识别概念中拆开。</x:v>
      </x:c>
      <x:c r="E7" s="46" t="str">
        <x:v>本轮分类规则</x:v>
      </x:c>
    </x:row>
    <x:row r="8">
      <x:c r="A8" s="51" t="str">
        <x:v>EEG-0011</x:v>
      </x:c>
      <x:c r="B8" s="155" t="str">
        <x:v>大类目录</x:v>
      </x:c>
      <x:c r="C8" s="155" t="str">
        <x:v>02_Healthcare_and_Disease</x:v>
      </x:c>
      <x:c r="D8" s="155" t="str">
        <x:v>目录命名修订：把临床疾病与医疗队列从生物识别概念中拆开。</x:v>
      </x:c>
      <x:c r="E8" s="156" t="str">
        <x:v>本轮分类规则</x:v>
      </x:c>
    </x:row>
    <x:row r="9">
      <x:c r="A9" s="45" t="str">
        <x:v>EEG-0012</x:v>
      </x:c>
      <x:c r="B9" s="81" t="str">
        <x:v>大类目录</x:v>
      </x:c>
      <x:c r="C9" s="81" t="str">
        <x:v>02_Healthcare_and_Disease</x:v>
      </x:c>
      <x:c r="D9" s="81" t="str">
        <x:v>目录命名修订：把临床疾病与医疗队列从生物识别概念中拆开。</x:v>
      </x:c>
      <x:c r="E9" s="46" t="str">
        <x:v>本轮分类规则</x:v>
      </x:c>
    </x:row>
    <x:row r="10">
      <x:c r="A10" s="51" t="str">
        <x:v>EEG-0013</x:v>
      </x:c>
      <x:c r="B10" s="155" t="str">
        <x:v>大类目录</x:v>
      </x:c>
      <x:c r="C10" s="155" t="str">
        <x:v>02_Healthcare_and_Disease</x:v>
      </x:c>
      <x:c r="D10" s="155" t="str">
        <x:v>目录命名修订：把临床疾病与医疗队列从生物识别概念中拆开。</x:v>
      </x:c>
      <x:c r="E10" s="156" t="str">
        <x:v>本轮分类规则</x:v>
      </x:c>
    </x:row>
    <x:row r="11">
      <x:c r="A11" s="45" t="str">
        <x:v>EEG-0014</x:v>
      </x:c>
      <x:c r="B11" s="81" t="str">
        <x:v>大类目录</x:v>
      </x:c>
      <x:c r="C11" s="81" t="str">
        <x:v>02_Healthcare_and_Disease</x:v>
      </x:c>
      <x:c r="D11" s="81" t="str">
        <x:v>目录命名修订：把临床疾病与医疗队列从生物识别概念中拆开。</x:v>
      </x:c>
      <x:c r="E11" s="46" t="str">
        <x:v>本轮分类规则</x:v>
      </x:c>
    </x:row>
    <x:row r="12">
      <x:c r="A12" s="51" t="str">
        <x:v>EEG-0015</x:v>
      </x:c>
      <x:c r="B12" s="155" t="str">
        <x:v>大类目录</x:v>
      </x:c>
      <x:c r="C12" s="155" t="str">
        <x:v>02_Healthcare_and_Disease</x:v>
      </x:c>
      <x:c r="D12" s="155" t="str">
        <x:v>目录命名修订：把临床疾病与医疗队列从生物识别概念中拆开。</x:v>
      </x:c>
      <x:c r="E12" s="156" t="str">
        <x:v>本轮分类规则</x:v>
      </x:c>
    </x:row>
    <x:row r="13">
      <x:c r="A13" s="45" t="str">
        <x:v>EEG-0016</x:v>
      </x:c>
      <x:c r="B13" s="81" t="str">
        <x:v>大类目录</x:v>
      </x:c>
      <x:c r="C13" s="81" t="str">
        <x:v>02_Healthcare_and_Disease</x:v>
      </x:c>
      <x:c r="D13" s="81" t="str">
        <x:v>目录命名修订：把临床疾病与医疗队列从生物识别概念中拆开。</x:v>
      </x:c>
      <x:c r="E13" s="46" t="str">
        <x:v>本轮分类规则</x:v>
      </x:c>
    </x:row>
    <x:row r="14">
      <x:c r="A14" s="51" t="str">
        <x:v>EEG-0017</x:v>
      </x:c>
      <x:c r="B14" s="155" t="str">
        <x:v>大类目录</x:v>
      </x:c>
      <x:c r="C14" s="155" t="str">
        <x:v>02_Healthcare_and_Disease</x:v>
      </x:c>
      <x:c r="D14" s="155" t="str">
        <x:v>目录命名修订：把临床疾病与医疗队列从生物识别概念中拆开。</x:v>
      </x:c>
      <x:c r="E14" s="156" t="str">
        <x:v>本轮分类规则</x:v>
      </x:c>
    </x:row>
    <x:row r="15">
      <x:c r="A15" s="45" t="str">
        <x:v>EEG-0018</x:v>
      </x:c>
      <x:c r="B15" s="81" t="str">
        <x:v>大类目录</x:v>
      </x:c>
      <x:c r="C15" s="81" t="str">
        <x:v>02_Healthcare_and_Disease</x:v>
      </x:c>
      <x:c r="D15" s="81" t="str">
        <x:v>目录命名修订：把临床疾病与医疗队列从生物识别概念中拆开。</x:v>
      </x:c>
      <x:c r="E15" s="46" t="str">
        <x:v>本轮分类规则</x:v>
      </x:c>
    </x:row>
    <x:row r="16">
      <x:c r="A16" s="51" t="str">
        <x:v>EEG-0020</x:v>
      </x:c>
      <x:c r="B16" s="155" t="str">
        <x:v>大类目录</x:v>
      </x:c>
      <x:c r="C16" s="155" t="str">
        <x:v>02_Healthcare_and_Disease</x:v>
      </x:c>
      <x:c r="D16" s="155" t="str">
        <x:v>目录命名修订：把临床疾病与医疗队列从生物识别概念中拆开。</x:v>
      </x:c>
      <x:c r="E16" s="156" t="str">
        <x:v>本轮分类规则</x:v>
      </x:c>
    </x:row>
    <x:row r="17">
      <x:c r="A17" s="45" t="str">
        <x:v>EEG-0021</x:v>
      </x:c>
      <x:c r="B17" s="81" t="str">
        <x:v>大类目录</x:v>
      </x:c>
      <x:c r="C17" s="81" t="str">
        <x:v>02_Healthcare_and_Disease</x:v>
      </x:c>
      <x:c r="D17" s="81" t="str">
        <x:v>目录命名修订：把临床疾病与医疗队列从生物识别概念中拆开。</x:v>
      </x:c>
      <x:c r="E17" s="46" t="str">
        <x:v>本轮分类规则</x:v>
      </x:c>
    </x:row>
    <x:row r="18">
      <x:c r="A18" s="51" t="str">
        <x:v>EEG-0022</x:v>
      </x:c>
      <x:c r="B18" s="155" t="str">
        <x:v>大类目录</x:v>
      </x:c>
      <x:c r="C18" s="155" t="str">
        <x:v>02_Healthcare_and_Disease</x:v>
      </x:c>
      <x:c r="D18" s="155" t="str">
        <x:v>目录命名修订：把临床疾病与医疗队列从生物识别概念中拆开。</x:v>
      </x:c>
      <x:c r="E18" s="156" t="str">
        <x:v>本轮分类规则</x:v>
      </x:c>
    </x:row>
    <x:row r="19">
      <x:c r="A19" s="45" t="str">
        <x:v>EEG-0023</x:v>
      </x:c>
      <x:c r="B19" s="81" t="str">
        <x:v>大类目录</x:v>
      </x:c>
      <x:c r="C19" s="81" t="str">
        <x:v>02_Healthcare_and_Disease</x:v>
      </x:c>
      <x:c r="D19" s="81" t="str">
        <x:v>目录命名修订：把临床疾病与医疗队列从生物识别概念中拆开。</x:v>
      </x:c>
      <x:c r="E19" s="46" t="str">
        <x:v>本轮分类规则</x:v>
      </x:c>
    </x:row>
    <x:row r="20">
      <x:c r="A20" s="51" t="str">
        <x:v>EEG-0024</x:v>
      </x:c>
      <x:c r="B20" s="155" t="str">
        <x:v>大类目录</x:v>
      </x:c>
      <x:c r="C20" s="155" t="str">
        <x:v>02_Healthcare_and_Disease</x:v>
      </x:c>
      <x:c r="D20" s="155" t="str">
        <x:v>目录命名修订：把临床疾病与医疗队列从生物识别概念中拆开。</x:v>
      </x:c>
      <x:c r="E20" s="156" t="str">
        <x:v>本轮分类规则</x:v>
      </x:c>
    </x:row>
    <x:row r="21">
      <x:c r="A21" s="45" t="str">
        <x:v>EEG-0025</x:v>
      </x:c>
      <x:c r="B21" s="81" t="str">
        <x:v>大类目录</x:v>
      </x:c>
      <x:c r="C21" s="81" t="str">
        <x:v>02_Healthcare_and_Disease</x:v>
      </x:c>
      <x:c r="D21" s="81" t="str">
        <x:v>目录命名修订：把临床疾病与医疗队列从生物识别概念中拆开。</x:v>
      </x:c>
      <x:c r="E21" s="46" t="str">
        <x:v>本轮分类规则</x:v>
      </x:c>
    </x:row>
    <x:row r="22">
      <x:c r="A22" s="51" t="str">
        <x:v>EEG-0026</x:v>
      </x:c>
      <x:c r="B22" s="155" t="str">
        <x:v>大类目录</x:v>
      </x:c>
      <x:c r="C22" s="155" t="str">
        <x:v>02_Healthcare_and_Disease</x:v>
      </x:c>
      <x:c r="D22" s="155" t="str">
        <x:v>目录命名修订：把临床疾病与医疗队列从生物识别概念中拆开。</x:v>
      </x:c>
      <x:c r="E22" s="156" t="str">
        <x:v>本轮分类规则</x:v>
      </x:c>
    </x:row>
    <x:row r="23">
      <x:c r="A23" s="45" t="str">
        <x:v>EEG-0027</x:v>
      </x:c>
      <x:c r="B23" s="81" t="str">
        <x:v>大类目录</x:v>
      </x:c>
      <x:c r="C23" s="81" t="str">
        <x:v>02_Healthcare_and_Disease</x:v>
      </x:c>
      <x:c r="D23" s="81" t="str">
        <x:v>目录命名修订：把临床疾病与医疗队列从生物识别概念中拆开。</x:v>
      </x:c>
      <x:c r="E23" s="46" t="str">
        <x:v>本轮分类规则</x:v>
      </x:c>
    </x:row>
    <x:row r="24">
      <x:c r="A24" s="51" t="str">
        <x:v>EEG-0028</x:v>
      </x:c>
      <x:c r="B24" s="155" t="str">
        <x:v>大类目录</x:v>
      </x:c>
      <x:c r="C24" s="155" t="str">
        <x:v>02_Healthcare_and_Disease</x:v>
      </x:c>
      <x:c r="D24" s="155" t="str">
        <x:v>目录命名修订：把临床疾病与医疗队列从生物识别概念中拆开。</x:v>
      </x:c>
      <x:c r="E24" s="156" t="str">
        <x:v>本轮分类规则</x:v>
      </x:c>
    </x:row>
    <x:row r="25">
      <x:c r="A25" s="45" t="str">
        <x:v>EEG-0030</x:v>
      </x:c>
      <x:c r="B25" s="81" t="str">
        <x:v>大类目录</x:v>
      </x:c>
      <x:c r="C25" s="81" t="str">
        <x:v>02_Healthcare_and_Disease</x:v>
      </x:c>
      <x:c r="D25" s="81" t="str">
        <x:v>目录命名修订：把临床疾病与医疗队列从生物识别概念中拆开。</x:v>
      </x:c>
      <x:c r="E25" s="46" t="str">
        <x:v>本轮分类规则</x:v>
      </x:c>
    </x:row>
    <x:row r="26">
      <x:c r="A26" s="51" t="str">
        <x:v>EEG-0031</x:v>
      </x:c>
      <x:c r="B26" s="155" t="str">
        <x:v>大类目录</x:v>
      </x:c>
      <x:c r="C26" s="155" t="str">
        <x:v>02_Healthcare_and_Disease</x:v>
      </x:c>
      <x:c r="D26" s="155" t="str">
        <x:v>目录命名修订：把临床疾病与医疗队列从生物识别概念中拆开。</x:v>
      </x:c>
      <x:c r="E26" s="156" t="str">
        <x:v>本轮分类规则</x:v>
      </x:c>
    </x:row>
    <x:row r="27">
      <x:c r="A27" s="45" t="str">
        <x:v>EEG-0032</x:v>
      </x:c>
      <x:c r="B27" s="81" t="str">
        <x:v>大类目录</x:v>
      </x:c>
      <x:c r="C27" s="81" t="str">
        <x:v>02_Healthcare_and_Disease</x:v>
      </x:c>
      <x:c r="D27" s="81" t="str">
        <x:v>目录命名修订：把临床疾病与医疗队列从生物识别概念中拆开。</x:v>
      </x:c>
      <x:c r="E27" s="46" t="str">
        <x:v>本轮分类规则</x:v>
      </x:c>
    </x:row>
    <x:row r="28">
      <x:c r="A28" s="51" t="str">
        <x:v>EEG-0033</x:v>
      </x:c>
      <x:c r="B28" s="155" t="str">
        <x:v>大类目录</x:v>
      </x:c>
      <x:c r="C28" s="155" t="str">
        <x:v>02_Healthcare_and_Disease</x:v>
      </x:c>
      <x:c r="D28" s="155" t="str">
        <x:v>目录命名修订：把临床疾病与医疗队列从生物识别概念中拆开。</x:v>
      </x:c>
      <x:c r="E28" s="156" t="str">
        <x:v>本轮分类规则</x:v>
      </x:c>
    </x:row>
    <x:row r="29">
      <x:c r="A29" s="45" t="str">
        <x:v>EEG-0034</x:v>
      </x:c>
      <x:c r="B29" s="81" t="str">
        <x:v>大类目录</x:v>
      </x:c>
      <x:c r="C29" s="81" t="str">
        <x:v>02_Healthcare_and_Disease</x:v>
      </x:c>
      <x:c r="D29" s="81" t="str">
        <x:v>目录命名修订：把临床疾病与医疗队列从生物识别概念中拆开。</x:v>
      </x:c>
      <x:c r="E29" s="46" t="str">
        <x:v>本轮分类规则</x:v>
      </x:c>
    </x:row>
    <x:row r="30">
      <x:c r="A30" s="51" t="str">
        <x:v>EEG-0035</x:v>
      </x:c>
      <x:c r="B30" s="155" t="str">
        <x:v>大类目录</x:v>
      </x:c>
      <x:c r="C30" s="155" t="str">
        <x:v>02_Healthcare_and_Disease</x:v>
      </x:c>
      <x:c r="D30" s="155" t="str">
        <x:v>目录命名修订：把临床疾病与医疗队列从生物识别概念中拆开。</x:v>
      </x:c>
      <x:c r="E30" s="156" t="str">
        <x:v>本轮分类规则</x:v>
      </x:c>
    </x:row>
    <x:row r="31">
      <x:c r="A31" s="45" t="str">
        <x:v>EEG-0036</x:v>
      </x:c>
      <x:c r="B31" s="81" t="str">
        <x:v>大类目录</x:v>
      </x:c>
      <x:c r="C31" s="81" t="str">
        <x:v>02_Healthcare_and_Disease</x:v>
      </x:c>
      <x:c r="D31" s="81" t="str">
        <x:v>目录命名修订：把临床疾病与医疗队列从生物识别概念中拆开。</x:v>
      </x:c>
      <x:c r="E31" s="46" t="str">
        <x:v>本轮分类规则</x:v>
      </x:c>
    </x:row>
    <x:row r="32">
      <x:c r="A32" s="51" t="str">
        <x:v>EEG-0039</x:v>
      </x:c>
      <x:c r="B32" s="155" t="str">
        <x:v>大类目录</x:v>
      </x:c>
      <x:c r="C32" s="155" t="str">
        <x:v>02_Healthcare_and_Disease</x:v>
      </x:c>
      <x:c r="D32" s="155" t="str">
        <x:v>目录命名修订：把临床疾病与医疗队列从生物识别概念中拆开。</x:v>
      </x:c>
      <x:c r="E32" s="156" t="str">
        <x:v>本轮分类规则</x:v>
      </x:c>
    </x:row>
    <x:row r="33">
      <x:c r="A33" s="45" t="str">
        <x:v>EEG-0040</x:v>
      </x:c>
      <x:c r="B33" s="81" t="str">
        <x:v>大类目录</x:v>
      </x:c>
      <x:c r="C33" s="81" t="str">
        <x:v>02_Healthcare_and_Disease</x:v>
      </x:c>
      <x:c r="D33" s="81" t="str">
        <x:v>目录命名修订：把临床疾病与医疗队列从生物识别概念中拆开。</x:v>
      </x:c>
      <x:c r="E33" s="46" t="str">
        <x:v>本轮分类规则</x:v>
      </x:c>
    </x:row>
    <x:row r="34">
      <x:c r="A34" s="51" t="str">
        <x:v>EEG-0041</x:v>
      </x:c>
      <x:c r="B34" s="155" t="str">
        <x:v>大类目录</x:v>
      </x:c>
      <x:c r="C34" s="155" t="str">
        <x:v>02_Healthcare_and_Disease</x:v>
      </x:c>
      <x:c r="D34" s="155" t="str">
        <x:v>目录命名修订：把临床疾病与医疗队列从生物识别概念中拆开。</x:v>
      </x:c>
      <x:c r="E34" s="156" t="str">
        <x:v>本轮分类规则</x:v>
      </x:c>
    </x:row>
    <x:row r="35">
      <x:c r="A35" s="45" t="str">
        <x:v>EEG-0042</x:v>
      </x:c>
      <x:c r="B35" s="81" t="str">
        <x:v>大类目录</x:v>
      </x:c>
      <x:c r="C35" s="81" t="str">
        <x:v>02_Healthcare_and_Disease</x:v>
      </x:c>
      <x:c r="D35" s="81" t="str">
        <x:v>目录命名修订：把临床疾病与医疗队列从生物识别概念中拆开。</x:v>
      </x:c>
      <x:c r="E35" s="46" t="str">
        <x:v>本轮分类规则</x:v>
      </x:c>
    </x:row>
    <x:row r="36">
      <x:c r="A36" s="51" t="str">
        <x:v>EEG-0043</x:v>
      </x:c>
      <x:c r="B36" s="155" t="str">
        <x:v>大类目录</x:v>
      </x:c>
      <x:c r="C36" s="155" t="str">
        <x:v>02_Healthcare_and_Disease</x:v>
      </x:c>
      <x:c r="D36" s="155" t="str">
        <x:v>目录命名修订：把临床疾病与医疗队列从生物识别概念中拆开。</x:v>
      </x:c>
      <x:c r="E36" s="156" t="str">
        <x:v>本轮分类规则</x:v>
      </x:c>
    </x:row>
    <x:row r="37">
      <x:c r="A37" s="45" t="str">
        <x:v>EEG-0044</x:v>
      </x:c>
      <x:c r="B37" s="81" t="str">
        <x:v>大类目录</x:v>
      </x:c>
      <x:c r="C37" s="81" t="str">
        <x:v>02_Healthcare_and_Disease</x:v>
      </x:c>
      <x:c r="D37" s="81" t="str">
        <x:v>目录命名修订：把临床疾病与医疗队列从生物识别概念中拆开。</x:v>
      </x:c>
      <x:c r="E37" s="46" t="str">
        <x:v>本轮分类规则</x:v>
      </x:c>
    </x:row>
    <x:row r="38">
      <x:c r="A38" s="51" t="str">
        <x:v>EEG-0045</x:v>
      </x:c>
      <x:c r="B38" s="155" t="str">
        <x:v>大类目录</x:v>
      </x:c>
      <x:c r="C38" s="155" t="str">
        <x:v>02_Healthcare_and_Disease</x:v>
      </x:c>
      <x:c r="D38" s="155" t="str">
        <x:v>目录命名修订：把临床疾病与医疗队列从生物识别概念中拆开。</x:v>
      </x:c>
      <x:c r="E38" s="156" t="str">
        <x:v>本轮分类规则</x:v>
      </x:c>
    </x:row>
    <x:row r="39">
      <x:c r="A39" s="45" t="str">
        <x:v>EEG-0047</x:v>
      </x:c>
      <x:c r="B39" s="81" t="str">
        <x:v>大类目录</x:v>
      </x:c>
      <x:c r="C39" s="81" t="str">
        <x:v>02_Healthcare_and_Disease</x:v>
      </x:c>
      <x:c r="D39" s="81" t="str">
        <x:v>目录命名修订：把临床疾病与医疗队列从生物识别概念中拆开。</x:v>
      </x:c>
      <x:c r="E39" s="46" t="str">
        <x:v>本轮分类规则</x:v>
      </x:c>
    </x:row>
    <x:row r="40">
      <x:c r="A40" s="51" t="str">
        <x:v>EEG-0048</x:v>
      </x:c>
      <x:c r="B40" s="155" t="str">
        <x:v>大类目录</x:v>
      </x:c>
      <x:c r="C40" s="155" t="str">
        <x:v>02_Healthcare_and_Disease</x:v>
      </x:c>
      <x:c r="D40" s="155" t="str">
        <x:v>目录命名修订：把临床疾病与医疗队列从生物识别概念中拆开。</x:v>
      </x:c>
      <x:c r="E40" s="156" t="str">
        <x:v>本轮分类规则</x:v>
      </x:c>
    </x:row>
    <x:row r="41">
      <x:c r="A41" s="45" t="str">
        <x:v>EEG-0050</x:v>
      </x:c>
      <x:c r="B41" s="81" t="str">
        <x:v>大类目录</x:v>
      </x:c>
      <x:c r="C41" s="81" t="str">
        <x:v>02_Healthcare_and_Disease</x:v>
      </x:c>
      <x:c r="D41" s="81" t="str">
        <x:v>目录命名修订：把临床疾病与医疗队列从生物识别概念中拆开。</x:v>
      </x:c>
      <x:c r="E41" s="46" t="str">
        <x:v>本轮分类规则</x:v>
      </x:c>
    </x:row>
    <x:row r="42">
      <x:c r="A42" s="51" t="str">
        <x:v>EEG-0051</x:v>
      </x:c>
      <x:c r="B42" s="155" t="str">
        <x:v>大类目录</x:v>
      </x:c>
      <x:c r="C42" s="155" t="str">
        <x:v>02_Healthcare_and_Disease</x:v>
      </x:c>
      <x:c r="D42" s="155" t="str">
        <x:v>目录命名修订：把临床疾病与医疗队列从生物识别概念中拆开。</x:v>
      </x:c>
      <x:c r="E42" s="156" t="str">
        <x:v>本轮分类规则</x:v>
      </x:c>
    </x:row>
    <x:row r="43">
      <x:c r="A43" s="45" t="str">
        <x:v>EEG-0052</x:v>
      </x:c>
      <x:c r="B43" s="81" t="str">
        <x:v>大类目录</x:v>
      </x:c>
      <x:c r="C43" s="81" t="str">
        <x:v>02_Healthcare_and_Disease</x:v>
      </x:c>
      <x:c r="D43" s="81" t="str">
        <x:v>目录命名修订：把临床疾病与医疗队列从生物识别概念中拆开。</x:v>
      </x:c>
      <x:c r="E43" s="46" t="str">
        <x:v>本轮分类规则</x:v>
      </x:c>
    </x:row>
    <x:row r="44">
      <x:c r="A44" s="51" t="str">
        <x:v>EEG-0053</x:v>
      </x:c>
      <x:c r="B44" s="155" t="str">
        <x:v>大类目录</x:v>
      </x:c>
      <x:c r="C44" s="155" t="str">
        <x:v>02_Healthcare_and_Disease</x:v>
      </x:c>
      <x:c r="D44" s="155" t="str">
        <x:v>目录命名修订：把临床疾病与医疗队列从生物识别概念中拆开。</x:v>
      </x:c>
      <x:c r="E44" s="156" t="str">
        <x:v>本轮分类规则</x:v>
      </x:c>
    </x:row>
    <x:row r="45">
      <x:c r="A45" s="45" t="str">
        <x:v>EEG-0054</x:v>
      </x:c>
      <x:c r="B45" s="81" t="str">
        <x:v>大类目录</x:v>
      </x:c>
      <x:c r="C45" s="81" t="str">
        <x:v>02_Healthcare_and_Disease</x:v>
      </x:c>
      <x:c r="D45" s="81" t="str">
        <x:v>目录命名修订：把临床疾病与医疗队列从生物识别概念中拆开。</x:v>
      </x:c>
      <x:c r="E45" s="46" t="str">
        <x:v>本轮分类规则</x:v>
      </x:c>
    </x:row>
    <x:row r="46">
      <x:c r="A46" s="51" t="str">
        <x:v>EEG-0055</x:v>
      </x:c>
      <x:c r="B46" s="155" t="str">
        <x:v>大类目录</x:v>
      </x:c>
      <x:c r="C46" s="155" t="str">
        <x:v>02_Healthcare_and_Disease</x:v>
      </x:c>
      <x:c r="D46" s="155" t="str">
        <x:v>目录命名修订：把临床疾病与医疗队列从生物识别概念中拆开。</x:v>
      </x:c>
      <x:c r="E46" s="156" t="str">
        <x:v>本轮分类规则</x:v>
      </x:c>
    </x:row>
    <x:row r="47">
      <x:c r="A47" s="45" t="str">
        <x:v>EEG-0056</x:v>
      </x:c>
      <x:c r="B47" s="81" t="str">
        <x:v>大类目录</x:v>
      </x:c>
      <x:c r="C47" s="81" t="str">
        <x:v>02_Healthcare_and_Disease</x:v>
      </x:c>
      <x:c r="D47" s="81" t="str">
        <x:v>目录命名修订：把临床疾病与医疗队列从生物识别概念中拆开。</x:v>
      </x:c>
      <x:c r="E47" s="46" t="str">
        <x:v>本轮分类规则</x:v>
      </x:c>
    </x:row>
    <x:row r="48">
      <x:c r="A48" s="51" t="str">
        <x:v>EEG-0057</x:v>
      </x:c>
      <x:c r="B48" s="155" t="str">
        <x:v>大类目录</x:v>
      </x:c>
      <x:c r="C48" s="155" t="str">
        <x:v>02_Healthcare_and_Disease</x:v>
      </x:c>
      <x:c r="D48" s="155" t="str">
        <x:v>目录命名修订：把临床疾病与医疗队列从生物识别概念中拆开。</x:v>
      </x:c>
      <x:c r="E48" s="156" t="str">
        <x:v>本轮分类规则</x:v>
      </x:c>
    </x:row>
    <x:row r="49">
      <x:c r="A49" s="45" t="str">
        <x:v>EEG-0058</x:v>
      </x:c>
      <x:c r="B49" s="81" t="str">
        <x:v>大类目录</x:v>
      </x:c>
      <x:c r="C49" s="81" t="str">
        <x:v>02_Healthcare_and_Disease</x:v>
      </x:c>
      <x:c r="D49" s="81" t="str">
        <x:v>目录命名修订：把临床疾病与医疗队列从生物识别概念中拆开。</x:v>
      </x:c>
      <x:c r="E49" s="46" t="str">
        <x:v>本轮分类规则</x:v>
      </x:c>
    </x:row>
    <x:row r="50">
      <x:c r="A50" s="51" t="str">
        <x:v>EEG-0059</x:v>
      </x:c>
      <x:c r="B50" s="155" t="str">
        <x:v>大类目录</x:v>
      </x:c>
      <x:c r="C50" s="155" t="str">
        <x:v>02_Healthcare_and_Disease</x:v>
      </x:c>
      <x:c r="D50" s="155" t="str">
        <x:v>目录命名修订：把临床疾病与医疗队列从生物识别概念中拆开。</x:v>
      </x:c>
      <x:c r="E50" s="156" t="str">
        <x:v>本轮分类规则</x:v>
      </x:c>
    </x:row>
    <x:row r="51">
      <x:c r="A51" s="45" t="str">
        <x:v>EEG-0060</x:v>
      </x:c>
      <x:c r="B51" s="81" t="str">
        <x:v>大类目录</x:v>
      </x:c>
      <x:c r="C51" s="81" t="str">
        <x:v>02_Healthcare_and_Disease</x:v>
      </x:c>
      <x:c r="D51" s="81" t="str">
        <x:v>目录命名修订：把临床疾病与医疗队列从生物识别概念中拆开。</x:v>
      </x:c>
      <x:c r="E51" s="46" t="str">
        <x:v>本轮分类规则</x:v>
      </x:c>
    </x:row>
    <x:row r="52">
      <x:c r="A52" s="51" t="str">
        <x:v>EEG-0061</x:v>
      </x:c>
      <x:c r="B52" s="155" t="str">
        <x:v>大类目录</x:v>
      </x:c>
      <x:c r="C52" s="155" t="str">
        <x:v>02_Healthcare_and_Disease</x:v>
      </x:c>
      <x:c r="D52" s="155" t="str">
        <x:v>目录命名修订：把临床疾病与医疗队列从生物识别概念中拆开。</x:v>
      </x:c>
      <x:c r="E52" s="156" t="str">
        <x:v>本轮分类规则</x:v>
      </x:c>
    </x:row>
    <x:row r="53">
      <x:c r="A53" s="45" t="str">
        <x:v>EEG-0062</x:v>
      </x:c>
      <x:c r="B53" s="81" t="str">
        <x:v>大类目录</x:v>
      </x:c>
      <x:c r="C53" s="81" t="str">
        <x:v>02_Healthcare_and_Disease</x:v>
      </x:c>
      <x:c r="D53" s="81" t="str">
        <x:v>目录命名修订：把临床疾病与医疗队列从生物识别概念中拆开。</x:v>
      </x:c>
      <x:c r="E53" s="46" t="str">
        <x:v>本轮分类规则</x:v>
      </x:c>
    </x:row>
    <x:row r="54">
      <x:c r="A54" s="51" t="str">
        <x:v>EEG-0063</x:v>
      </x:c>
      <x:c r="B54" s="155" t="str">
        <x:v>大类目录</x:v>
      </x:c>
      <x:c r="C54" s="155" t="str">
        <x:v>02_Healthcare_and_Disease</x:v>
      </x:c>
      <x:c r="D54" s="155" t="str">
        <x:v>目录命名修订：把临床疾病与医疗队列从生物识别概念中拆开。</x:v>
      </x:c>
      <x:c r="E54" s="156" t="str">
        <x:v>本轮分类规则</x:v>
      </x:c>
    </x:row>
    <x:row r="55">
      <x:c r="A55" s="45" t="str">
        <x:v>EEG-0064</x:v>
      </x:c>
      <x:c r="B55" s="81" t="str">
        <x:v>大类目录</x:v>
      </x:c>
      <x:c r="C55" s="81" t="str">
        <x:v>02_Healthcare_and_Disease</x:v>
      </x:c>
      <x:c r="D55" s="81" t="str">
        <x:v>目录命名修订：把临床疾病与医疗队列从生物识别概念中拆开。</x:v>
      </x:c>
      <x:c r="E55" s="46" t="str">
        <x:v>本轮分类规则</x:v>
      </x:c>
    </x:row>
    <x:row r="56">
      <x:c r="A56" s="51" t="str">
        <x:v>EEG-0065</x:v>
      </x:c>
      <x:c r="B56" s="155" t="str">
        <x:v>大类目录</x:v>
      </x:c>
      <x:c r="C56" s="155" t="str">
        <x:v>02_Healthcare_and_Disease</x:v>
      </x:c>
      <x:c r="D56" s="155" t="str">
        <x:v>目录命名修订：把临床疾病与医疗队列从生物识别概念中拆开。</x:v>
      </x:c>
      <x:c r="E56" s="156" t="str">
        <x:v>本轮分类规则</x:v>
      </x:c>
    </x:row>
    <x:row r="57">
      <x:c r="A57" s="45" t="str">
        <x:v>EEG-0067</x:v>
      </x:c>
      <x:c r="B57" s="81" t="str">
        <x:v>大类目录</x:v>
      </x:c>
      <x:c r="C57" s="81" t="str">
        <x:v>02_Healthcare_and_Disease</x:v>
      </x:c>
      <x:c r="D57" s="81" t="str">
        <x:v>目录命名修订：把临床疾病与医疗队列从生物识别概念中拆开。</x:v>
      </x:c>
      <x:c r="E57" s="46" t="str">
        <x:v>本轮分类规则</x:v>
      </x:c>
    </x:row>
    <x:row r="58">
      <x:c r="A58" s="51" t="str">
        <x:v>EEG-0068</x:v>
      </x:c>
      <x:c r="B58" s="155" t="str">
        <x:v>大类目录</x:v>
      </x:c>
      <x:c r="C58" s="155" t="str">
        <x:v>02_Healthcare_and_Disease</x:v>
      </x:c>
      <x:c r="D58" s="155" t="str">
        <x:v>目录命名修订：把临床疾病与医疗队列从生物识别概念中拆开。</x:v>
      </x:c>
      <x:c r="E58" s="156" t="str">
        <x:v>本轮分类规则</x:v>
      </x:c>
    </x:row>
    <x:row r="59">
      <x:c r="A59" s="45" t="str">
        <x:v>EEG-0070</x:v>
      </x:c>
      <x:c r="B59" s="81" t="str">
        <x:v>大类目录</x:v>
      </x:c>
      <x:c r="C59" s="81" t="str">
        <x:v>02_Healthcare_and_Disease</x:v>
      </x:c>
      <x:c r="D59" s="81" t="str">
        <x:v>目录命名修订：把临床疾病与医疗队列从生物识别概念中拆开。</x:v>
      </x:c>
      <x:c r="E59" s="46" t="str">
        <x:v>本轮分类规则</x:v>
      </x:c>
    </x:row>
    <x:row r="60">
      <x:c r="A60" s="51" t="str">
        <x:v>EEG-0071</x:v>
      </x:c>
      <x:c r="B60" s="155" t="str">
        <x:v>大类目录</x:v>
      </x:c>
      <x:c r="C60" s="155" t="str">
        <x:v>02_Healthcare_and_Disease</x:v>
      </x:c>
      <x:c r="D60" s="155" t="str">
        <x:v>目录命名修订：把临床疾病与医疗队列从生物识别概念中拆开。</x:v>
      </x:c>
      <x:c r="E60" s="156" t="str">
        <x:v>本轮分类规则</x:v>
      </x:c>
    </x:row>
    <x:row r="61">
      <x:c r="A61" s="45" t="str">
        <x:v>EEG-0073</x:v>
      </x:c>
      <x:c r="B61" s="81" t="str">
        <x:v>大类目录</x:v>
      </x:c>
      <x:c r="C61" s="81" t="str">
        <x:v>02_Healthcare_and_Disease</x:v>
      </x:c>
      <x:c r="D61" s="81" t="str">
        <x:v>目录命名修订：把临床疾病与医疗队列从生物识别概念中拆开。</x:v>
      </x:c>
      <x:c r="E61" s="46" t="str">
        <x:v>本轮分类规则</x:v>
      </x:c>
    </x:row>
    <x:row r="62">
      <x:c r="A62" s="51" t="str">
        <x:v>EEG-0074</x:v>
      </x:c>
      <x:c r="B62" s="155" t="str">
        <x:v>大类目录</x:v>
      </x:c>
      <x:c r="C62" s="155" t="str">
        <x:v>02_Healthcare_and_Disease</x:v>
      </x:c>
      <x:c r="D62" s="155" t="str">
        <x:v>目录命名修订：把临床疾病与医疗队列从生物识别概念中拆开。</x:v>
      </x:c>
      <x:c r="E62" s="156" t="str">
        <x:v>本轮分类规则</x:v>
      </x:c>
    </x:row>
    <x:row r="63">
      <x:c r="A63" s="45" t="str">
        <x:v>EEG-0075</x:v>
      </x:c>
      <x:c r="B63" s="81" t="str">
        <x:v>大类目录</x:v>
      </x:c>
      <x:c r="C63" s="81" t="str">
        <x:v>02_Healthcare_and_Disease</x:v>
      </x:c>
      <x:c r="D63" s="81" t="str">
        <x:v>目录命名修订：把临床疾病与医疗队列从生物识别概念中拆开。</x:v>
      </x:c>
      <x:c r="E63" s="46" t="str">
        <x:v>本轮分类规则</x:v>
      </x:c>
    </x:row>
    <x:row r="64">
      <x:c r="A64" s="51" t="str">
        <x:v>EEG-0077</x:v>
      </x:c>
      <x:c r="B64" s="155" t="str">
        <x:v>大类目录</x:v>
      </x:c>
      <x:c r="C64" s="155" t="str">
        <x:v>02_Healthcare_and_Disease</x:v>
      </x:c>
      <x:c r="D64" s="155" t="str">
        <x:v>目录命名修订：把临床疾病与医疗队列从生物识别概念中拆开。</x:v>
      </x:c>
      <x:c r="E64" s="156" t="str">
        <x:v>本轮分类规则</x:v>
      </x:c>
    </x:row>
    <x:row r="65">
      <x:c r="A65" s="45" t="str">
        <x:v>EEG-0078</x:v>
      </x:c>
      <x:c r="B65" s="81" t="str">
        <x:v>大类目录</x:v>
      </x:c>
      <x:c r="C65" s="81" t="str">
        <x:v>02_Healthcare_and_Disease</x:v>
      </x:c>
      <x:c r="D65" s="81" t="str">
        <x:v>目录命名修订：把临床疾病与医疗队列从生物识别概念中拆开。</x:v>
      </x:c>
      <x:c r="E65" s="46" t="str">
        <x:v>本轮分类规则</x:v>
      </x:c>
    </x:row>
    <x:row r="66">
      <x:c r="A66" s="51" t="str">
        <x:v>EEG-0079</x:v>
      </x:c>
      <x:c r="B66" s="155" t="str">
        <x:v>大类目录</x:v>
      </x:c>
      <x:c r="C66" s="155" t="str">
        <x:v>02_Healthcare_and_Disease</x:v>
      </x:c>
      <x:c r="D66" s="155" t="str">
        <x:v>目录命名修订：把临床疾病与医疗队列从生物识别概念中拆开。</x:v>
      </x:c>
      <x:c r="E66" s="156" t="str">
        <x:v>本轮分类规则</x:v>
      </x:c>
    </x:row>
    <x:row r="67">
      <x:c r="A67" s="45" t="str">
        <x:v>EEG-0080</x:v>
      </x:c>
      <x:c r="B67" s="81" t="str">
        <x:v>大类目录</x:v>
      </x:c>
      <x:c r="C67" s="81" t="str">
        <x:v>02_Healthcare_and_Disease</x:v>
      </x:c>
      <x:c r="D67" s="81" t="str">
        <x:v>目录命名修订：把临床疾病与医疗队列从生物识别概念中拆开。</x:v>
      </x:c>
      <x:c r="E67" s="46" t="str">
        <x:v>本轮分类规则</x:v>
      </x:c>
    </x:row>
    <x:row r="68">
      <x:c r="A68" s="51" t="str">
        <x:v>EEG-0081</x:v>
      </x:c>
      <x:c r="B68" s="155" t="str">
        <x:v>大类目录</x:v>
      </x:c>
      <x:c r="C68" s="155" t="str">
        <x:v>02_Healthcare_and_Disease</x:v>
      </x:c>
      <x:c r="D68" s="155" t="str">
        <x:v>目录命名修订：把临床疾病与医疗队列从生物识别概念中拆开。</x:v>
      </x:c>
      <x:c r="E68" s="156" t="str">
        <x:v>本轮分类规则</x:v>
      </x:c>
    </x:row>
    <x:row r="69">
      <x:c r="A69" s="45" t="str">
        <x:v>EEG-0082</x:v>
      </x:c>
      <x:c r="B69" s="81" t="str">
        <x:v>大类目录</x:v>
      </x:c>
      <x:c r="C69" s="81" t="str">
        <x:v>02_Healthcare_and_Disease</x:v>
      </x:c>
      <x:c r="D69" s="81" t="str">
        <x:v>目录命名修订：把临床疾病与医疗队列从生物识别概念中拆开。</x:v>
      </x:c>
      <x:c r="E69" s="46" t="str">
        <x:v>本轮分类规则</x:v>
      </x:c>
    </x:row>
    <x:row r="70">
      <x:c r="A70" s="51" t="str">
        <x:v>EEG-0083</x:v>
      </x:c>
      <x:c r="B70" s="155" t="str">
        <x:v>大类目录</x:v>
      </x:c>
      <x:c r="C70" s="155" t="str">
        <x:v>02_Healthcare_and_Disease</x:v>
      </x:c>
      <x:c r="D70" s="155" t="str">
        <x:v>目录命名修订：把临床疾病与医疗队列从生物识别概念中拆开。</x:v>
      </x:c>
      <x:c r="E70" s="156" t="str">
        <x:v>本轮分类规则</x:v>
      </x:c>
    </x:row>
    <x:row r="71">
      <x:c r="A71" s="45" t="str">
        <x:v>EEG-0084</x:v>
      </x:c>
      <x:c r="B71" s="81" t="str">
        <x:v>大类目录</x:v>
      </x:c>
      <x:c r="C71" s="81" t="str">
        <x:v>02_Healthcare_and_Disease</x:v>
      </x:c>
      <x:c r="D71" s="81" t="str">
        <x:v>目录命名修订：把临床疾病与医疗队列从生物识别概念中拆开。</x:v>
      </x:c>
      <x:c r="E71" s="46" t="str">
        <x:v>本轮分类规则</x:v>
      </x:c>
    </x:row>
    <x:row r="72">
      <x:c r="A72" s="51" t="str">
        <x:v>EEG-0085</x:v>
      </x:c>
      <x:c r="B72" s="155" t="str">
        <x:v>大类目录</x:v>
      </x:c>
      <x:c r="C72" s="155" t="str">
        <x:v>02_Healthcare_and_Disease</x:v>
      </x:c>
      <x:c r="D72" s="155" t="str">
        <x:v>目录命名修订：把临床疾病与医疗队列从生物识别概念中拆开。</x:v>
      </x:c>
      <x:c r="E72" s="156" t="str">
        <x:v>本轮分类规则</x:v>
      </x:c>
    </x:row>
    <x:row r="73">
      <x:c r="A73" s="45" t="str">
        <x:v>EEG-0086</x:v>
      </x:c>
      <x:c r="B73" s="81" t="str">
        <x:v>大类目录</x:v>
      </x:c>
      <x:c r="C73" s="81" t="str">
        <x:v>02_Healthcare_and_Disease</x:v>
      </x:c>
      <x:c r="D73" s="81" t="str">
        <x:v>目录命名修订：把临床疾病与医疗队列从生物识别概念中拆开。</x:v>
      </x:c>
      <x:c r="E73" s="46" t="str">
        <x:v>本轮分类规则</x:v>
      </x:c>
    </x:row>
    <x:row r="74">
      <x:c r="A74" s="51" t="str">
        <x:v>EEG-0087</x:v>
      </x:c>
      <x:c r="B74" s="155" t="str">
        <x:v>大类目录</x:v>
      </x:c>
      <x:c r="C74" s="155" t="str">
        <x:v>02_Healthcare_and_Disease</x:v>
      </x:c>
      <x:c r="D74" s="155" t="str">
        <x:v>目录命名修订：把临床疾病与医疗队列从生物识别概念中拆开。</x:v>
      </x:c>
      <x:c r="E74" s="156" t="str">
        <x:v>本轮分类规则</x:v>
      </x:c>
    </x:row>
    <x:row r="75">
      <x:c r="A75" s="45" t="str">
        <x:v>EEG-0089</x:v>
      </x:c>
      <x:c r="B75" s="81" t="str">
        <x:v>大类目录</x:v>
      </x:c>
      <x:c r="C75" s="81" t="str">
        <x:v>02_Healthcare_and_Disease</x:v>
      </x:c>
      <x:c r="D75" s="81" t="str">
        <x:v>目录命名修订：把临床疾病与医疗队列从生物识别概念中拆开。</x:v>
      </x:c>
      <x:c r="E75" s="46" t="str">
        <x:v>本轮分类规则</x:v>
      </x:c>
    </x:row>
    <x:row r="76">
      <x:c r="A76" s="51" t="str">
        <x:v>EEG-0090</x:v>
      </x:c>
      <x:c r="B76" s="155" t="str">
        <x:v>大类目录</x:v>
      </x:c>
      <x:c r="C76" s="155" t="str">
        <x:v>02_Healthcare_and_Disease</x:v>
      </x:c>
      <x:c r="D76" s="155" t="str">
        <x:v>目录命名修订：把临床疾病与医疗队列从生物识别概念中拆开。</x:v>
      </x:c>
      <x:c r="E76" s="156" t="str">
        <x:v>本轮分类规则</x:v>
      </x:c>
    </x:row>
    <x:row r="77">
      <x:c r="A77" s="45" t="str">
        <x:v>EEG-0091</x:v>
      </x:c>
      <x:c r="B77" s="81" t="str">
        <x:v>大类目录</x:v>
      </x:c>
      <x:c r="C77" s="81" t="str">
        <x:v>02_Healthcare_and_Disease</x:v>
      </x:c>
      <x:c r="D77" s="81" t="str">
        <x:v>目录命名修订：把临床疾病与医疗队列从生物识别概念中拆开。</x:v>
      </x:c>
      <x:c r="E77" s="46" t="str">
        <x:v>本轮分类规则</x:v>
      </x:c>
    </x:row>
    <x:row r="78">
      <x:c r="A78" s="51" t="str">
        <x:v>EEG-0092</x:v>
      </x:c>
      <x:c r="B78" s="155" t="str">
        <x:v>大类目录</x:v>
      </x:c>
      <x:c r="C78" s="155" t="str">
        <x:v>02_Healthcare_and_Disease</x:v>
      </x:c>
      <x:c r="D78" s="155" t="str">
        <x:v>目录命名修订：把临床疾病与医疗队列从生物识别概念中拆开。</x:v>
      </x:c>
      <x:c r="E78" s="156" t="str">
        <x:v>本轮分类规则</x:v>
      </x:c>
    </x:row>
    <x:row r="79">
      <x:c r="A79" s="45" t="str">
        <x:v>EEG-0093</x:v>
      </x:c>
      <x:c r="B79" s="81" t="str">
        <x:v>大类目录</x:v>
      </x:c>
      <x:c r="C79" s="81" t="str">
        <x:v>02_Healthcare_and_Disease</x:v>
      </x:c>
      <x:c r="D79" s="81" t="str">
        <x:v>目录命名修订：把临床疾病与医疗队列从生物识别概念中拆开。</x:v>
      </x:c>
      <x:c r="E79" s="46" t="str">
        <x:v>本轮分类规则</x:v>
      </x:c>
    </x:row>
    <x:row r="80">
      <x:c r="A80" s="51" t="str">
        <x:v>EEG-0094</x:v>
      </x:c>
      <x:c r="B80" s="155" t="str">
        <x:v>大类目录</x:v>
      </x:c>
      <x:c r="C80" s="155" t="str">
        <x:v>02_Healthcare_and_Disease</x:v>
      </x:c>
      <x:c r="D80" s="155" t="str">
        <x:v>目录命名修订：把临床疾病与医疗队列从生物识别概念中拆开。</x:v>
      </x:c>
      <x:c r="E80" s="156" t="str">
        <x:v>本轮分类规则</x:v>
      </x:c>
    </x:row>
    <x:row r="81">
      <x:c r="A81" s="45" t="str">
        <x:v>EEG-0095</x:v>
      </x:c>
      <x:c r="B81" s="81" t="str">
        <x:v>大类目录</x:v>
      </x:c>
      <x:c r="C81" s="81" t="str">
        <x:v>02_Healthcare_and_Disease</x:v>
      </x:c>
      <x:c r="D81" s="81" t="str">
        <x:v>目录命名修订：把临床疾病与医疗队列从生物识别概念中拆开。</x:v>
      </x:c>
      <x:c r="E81" s="46" t="str">
        <x:v>本轮分类规则</x:v>
      </x:c>
    </x:row>
    <x:row r="82">
      <x:c r="A82" s="51" t="str">
        <x:v>EEG-0096</x:v>
      </x:c>
      <x:c r="B82" s="155" t="str">
        <x:v>大类目录</x:v>
      </x:c>
      <x:c r="C82" s="155" t="str">
        <x:v>02_Healthcare_and_Disease</x:v>
      </x:c>
      <x:c r="D82" s="155" t="str">
        <x:v>目录命名修订：把临床疾病与医疗队列从生物识别概念中拆开。</x:v>
      </x:c>
      <x:c r="E82" s="156" t="str">
        <x:v>本轮分类规则</x:v>
      </x:c>
    </x:row>
    <x:row r="83">
      <x:c r="A83" s="45" t="str">
        <x:v>EEG-0097</x:v>
      </x:c>
      <x:c r="B83" s="81" t="str">
        <x:v>大类目录</x:v>
      </x:c>
      <x:c r="C83" s="81" t="str">
        <x:v>02_Healthcare_and_Disease</x:v>
      </x:c>
      <x:c r="D83" s="81" t="str">
        <x:v>目录命名修订：把临床疾病与医疗队列从生物识别概念中拆开。</x:v>
      </x:c>
      <x:c r="E83" s="46" t="str">
        <x:v>本轮分类规则</x:v>
      </x:c>
    </x:row>
    <x:row r="84">
      <x:c r="A84" s="51" t="str">
        <x:v>EEG-0098</x:v>
      </x:c>
      <x:c r="B84" s="155" t="str">
        <x:v>大类目录</x:v>
      </x:c>
      <x:c r="C84" s="155" t="str">
        <x:v>02_Healthcare_and_Disease</x:v>
      </x:c>
      <x:c r="D84" s="155" t="str">
        <x:v>目录命名修订：把临床疾病与医疗队列从生物识别概念中拆开。</x:v>
      </x:c>
      <x:c r="E84" s="156" t="str">
        <x:v>本轮分类规则</x:v>
      </x:c>
    </x:row>
    <x:row r="85">
      <x:c r="A85" s="45" t="str">
        <x:v>EEG-0100</x:v>
      </x:c>
      <x:c r="B85" s="81" t="str">
        <x:v>大类目录</x:v>
      </x:c>
      <x:c r="C85" s="81" t="str">
        <x:v>02_Healthcare_and_Disease</x:v>
      </x:c>
      <x:c r="D85" s="81" t="str">
        <x:v>目录命名修订：把临床疾病与医疗队列从生物识别概念中拆开。</x:v>
      </x:c>
      <x:c r="E85" s="46" t="str">
        <x:v>本轮分类规则</x:v>
      </x:c>
    </x:row>
    <x:row r="86">
      <x:c r="A86" s="51" t="str">
        <x:v>EEG-0101</x:v>
      </x:c>
      <x:c r="B86" s="155" t="str">
        <x:v>大类目录</x:v>
      </x:c>
      <x:c r="C86" s="155" t="str">
        <x:v>02_Healthcare_and_Disease</x:v>
      </x:c>
      <x:c r="D86" s="155" t="str">
        <x:v>目录命名修订：把临床疾病与医疗队列从生物识别概念中拆开。</x:v>
      </x:c>
      <x:c r="E86" s="156" t="str">
        <x:v>本轮分类规则</x:v>
      </x:c>
    </x:row>
    <x:row r="87">
      <x:c r="A87" s="45" t="str">
        <x:v>EEG-0102</x:v>
      </x:c>
      <x:c r="B87" s="81" t="str">
        <x:v>大类目录</x:v>
      </x:c>
      <x:c r="C87" s="81" t="str">
        <x:v>02_Healthcare_and_Disease</x:v>
      </x:c>
      <x:c r="D87" s="81" t="str">
        <x:v>目录命名修订：把临床疾病与医疗队列从生物识别概念中拆开。</x:v>
      </x:c>
      <x:c r="E87" s="46" t="str">
        <x:v>本轮分类规则</x:v>
      </x:c>
    </x:row>
    <x:row r="88">
      <x:c r="A88" s="51" t="str">
        <x:v>EEG-0103</x:v>
      </x:c>
      <x:c r="B88" s="155" t="str">
        <x:v>大类目录</x:v>
      </x:c>
      <x:c r="C88" s="155" t="str">
        <x:v>02_Healthcare_and_Disease</x:v>
      </x:c>
      <x:c r="D88" s="155" t="str">
        <x:v>目录命名修订：把临床疾病与医疗队列从生物识别概念中拆开。</x:v>
      </x:c>
      <x:c r="E88" s="156" t="str">
        <x:v>本轮分类规则</x:v>
      </x:c>
    </x:row>
    <x:row r="89">
      <x:c r="A89" s="45" t="str">
        <x:v>EEG-0104</x:v>
      </x:c>
      <x:c r="B89" s="81" t="str">
        <x:v>大类目录</x:v>
      </x:c>
      <x:c r="C89" s="81" t="str">
        <x:v>02_Healthcare_and_Disease</x:v>
      </x:c>
      <x:c r="D89" s="81" t="str">
        <x:v>目录命名修订：把临床疾病与医疗队列从生物识别概念中拆开。</x:v>
      </x:c>
      <x:c r="E89" s="46" t="str">
        <x:v>本轮分类规则</x:v>
      </x:c>
    </x:row>
    <x:row r="90">
      <x:c r="A90" s="51" t="str">
        <x:v>EEG-0105</x:v>
      </x:c>
      <x:c r="B90" s="155" t="str">
        <x:v>大类目录</x:v>
      </x:c>
      <x:c r="C90" s="155" t="str">
        <x:v>02_Healthcare_and_Disease</x:v>
      </x:c>
      <x:c r="D90" s="155" t="str">
        <x:v>目录命名修订：把临床疾病与医疗队列从生物识别概念中拆开。</x:v>
      </x:c>
      <x:c r="E90" s="156" t="str">
        <x:v>本轮分类规则</x:v>
      </x:c>
    </x:row>
    <x:row r="91">
      <x:c r="A91" s="45" t="str">
        <x:v>EEG-0106</x:v>
      </x:c>
      <x:c r="B91" s="81" t="str">
        <x:v>大类目录</x:v>
      </x:c>
      <x:c r="C91" s="81" t="str">
        <x:v>02_Healthcare_and_Disease</x:v>
      </x:c>
      <x:c r="D91" s="81" t="str">
        <x:v>目录命名修订：把临床疾病与医疗队列从生物识别概念中拆开。</x:v>
      </x:c>
      <x:c r="E91" s="46" t="str">
        <x:v>本轮分类规则</x:v>
      </x:c>
    </x:row>
    <x:row r="92">
      <x:c r="A92" s="51" t="str">
        <x:v>EEG-0107</x:v>
      </x:c>
      <x:c r="B92" s="155" t="str">
        <x:v>大类目录</x:v>
      </x:c>
      <x:c r="C92" s="155" t="str">
        <x:v>02_Healthcare_and_Disease</x:v>
      </x:c>
      <x:c r="D92" s="155" t="str">
        <x:v>目录命名修订：把临床疾病与医疗队列从生物识别概念中拆开。</x:v>
      </x:c>
      <x:c r="E92" s="156" t="str">
        <x:v>本轮分类规则</x:v>
      </x:c>
    </x:row>
    <x:row r="93">
      <x:c r="A93" s="45" t="str">
        <x:v>EEG-0519</x:v>
      </x:c>
      <x:c r="B93" s="81" t="str">
        <x:v>大类目录</x:v>
      </x:c>
      <x:c r="C93" s="81" t="str">
        <x:v>02_Healthcare_and_Disease</x:v>
      </x:c>
      <x:c r="D93" s="81" t="str">
        <x:v>目录命名修订：把临床疾病与医疗队列从生物识别概念中拆开。</x:v>
      </x:c>
      <x:c r="E93" s="46" t="str">
        <x:v>本轮分类规则</x:v>
      </x:c>
    </x:row>
    <x:row r="94">
      <x:c r="A94" s="51" t="str">
        <x:v>EEG-0520</x:v>
      </x:c>
      <x:c r="B94" s="155" t="str">
        <x:v>大类目录</x:v>
      </x:c>
      <x:c r="C94" s="155" t="str">
        <x:v>02_Healthcare_and_Disease</x:v>
      </x:c>
      <x:c r="D94" s="155" t="str">
        <x:v>目录命名修订：把临床疾病与医疗队列从生物识别概念中拆开。</x:v>
      </x:c>
      <x:c r="E94" s="156" t="str">
        <x:v>本轮分类规则</x:v>
      </x:c>
    </x:row>
    <x:row r="95">
      <x:c r="A95" s="45" t="str">
        <x:v>EEG-0521</x:v>
      </x:c>
      <x:c r="B95" s="81" t="str">
        <x:v>大类目录</x:v>
      </x:c>
      <x:c r="C95" s="81" t="str">
        <x:v>02_Healthcare_and_Disease</x:v>
      </x:c>
      <x:c r="D95" s="81" t="str">
        <x:v>目录命名修订：把临床疾病与医疗队列从生物识别概念中拆开。</x:v>
      </x:c>
      <x:c r="E95" s="46" t="str">
        <x:v>本轮分类规则</x:v>
      </x:c>
    </x:row>
    <x:row r="96">
      <x:c r="A96" s="51" t="str">
        <x:v>EEG-0522</x:v>
      </x:c>
      <x:c r="B96" s="155" t="str">
        <x:v>大类目录</x:v>
      </x:c>
      <x:c r="C96" s="155" t="str">
        <x:v>02_Healthcare_and_Disease</x:v>
      </x:c>
      <x:c r="D96" s="155" t="str">
        <x:v>目录命名修订：把临床疾病与医疗队列从生物识别概念中拆开。</x:v>
      </x:c>
      <x:c r="E96" s="156" t="str">
        <x:v>本轮分类规则</x:v>
      </x:c>
    </x:row>
    <x:row r="97">
      <x:c r="A97" s="45" t="str">
        <x:v>EEG-0523</x:v>
      </x:c>
      <x:c r="B97" s="81" t="str">
        <x:v>大类目录</x:v>
      </x:c>
      <x:c r="C97" s="81" t="str">
        <x:v>02_Healthcare_and_Disease</x:v>
      </x:c>
      <x:c r="D97" s="81" t="str">
        <x:v>目录命名修订：把临床疾病与医疗队列从生物识别概念中拆开。</x:v>
      </x:c>
      <x:c r="E97" s="46" t="str">
        <x:v>本轮分类规则</x:v>
      </x:c>
    </x:row>
    <x:row r="98">
      <x:c r="A98" s="51" t="str">
        <x:v>EEG-0524</x:v>
      </x:c>
      <x:c r="B98" s="155" t="str">
        <x:v>大类目录</x:v>
      </x:c>
      <x:c r="C98" s="155" t="str">
        <x:v>02_Healthcare_and_Disease</x:v>
      </x:c>
      <x:c r="D98" s="155" t="str">
        <x:v>目录命名修订：把临床疾病与医疗队列从生物识别概念中拆开。</x:v>
      </x:c>
      <x:c r="E98" s="156" t="str">
        <x:v>本轮分类规则</x:v>
      </x:c>
    </x:row>
    <x:row r="99">
      <x:c r="A99" s="45" t="str">
        <x:v>EEG-0582</x:v>
      </x:c>
      <x:c r="B99" s="81" t="str">
        <x:v>大类目录</x:v>
      </x:c>
      <x:c r="C99" s="81" t="str">
        <x:v>02_Healthcare_and_Disease</x:v>
      </x:c>
      <x:c r="D99" s="81" t="str">
        <x:v>目录命名修订：把临床疾病与医疗队列从生物识别概念中拆开。</x:v>
      </x:c>
      <x:c r="E99" s="46" t="str">
        <x:v>本轮分类规则</x:v>
      </x:c>
    </x:row>
    <x:row r="100">
      <x:c r="A100" s="51" t="str">
        <x:v>EEG-0067</x:v>
      </x:c>
      <x:c r="B100" s="155" t="str">
        <x:v>大类目录</x:v>
      </x:c>
      <x:c r="C100" s="155" t="str">
        <x:v>04_Cognition_and_Emotion</x:v>
      </x:c>
      <x:c r="D100" s="155" t="str">
        <x:v>健康受试者的听视转换/注意实验，不是神经系统疾病。</x:v>
      </x:c>
      <x:c r="E100" s="156" t="str">
        <x:v>数据集说明/论文与本轮临床队列规则</x:v>
      </x:c>
    </x:row>
    <x:row r="101">
      <x:c r="A101" s="45" t="str">
        <x:v>EEG-0067</x:v>
      </x:c>
      <x:c r="B101" s="81" t="str">
        <x:v>小类目录</x:v>
      </x:c>
      <x:c r="C101" s="81" t="str">
        <x:v>Attention_and_Multisensory</x:v>
      </x:c>
      <x:c r="D101" s="81" t="str">
        <x:v>健康受试者的听视转换/注意实验，不是神经系统疾病。</x:v>
      </x:c>
      <x:c r="E101" s="46" t="str">
        <x:v>数据集说明/论文与本轮临床队列规则</x:v>
      </x:c>
    </x:row>
    <x:row r="102">
      <x:c r="A102" s="51" t="str">
        <x:v>EEG-0068</x:v>
      </x:c>
      <x:c r="B102" s="155" t="str">
        <x:v>大类目录</x:v>
      </x:c>
      <x:c r="C102" s="155" t="str">
        <x:v>06_Motor_and_Interaction</x:v>
      </x:c>
      <x:c r="D102" s="155" t="str">
        <x:v>单受试者 ECoG 运动想象竞赛数据，主用途是 BCI。</x:v>
      </x:c>
      <x:c r="E102" s="156" t="str">
        <x:v>数据集说明/论文与本轮临床队列规则</x:v>
      </x:c>
    </x:row>
    <x:row r="103">
      <x:c r="A103" s="45" t="str">
        <x:v>EEG-0068</x:v>
      </x:c>
      <x:c r="B103" s="81" t="str">
        <x:v>小类目录</x:v>
      </x:c>
      <x:c r="C103" s="81" t="str">
        <x:v>BCI_Competition</x:v>
      </x:c>
      <x:c r="D103" s="81" t="str">
        <x:v>单受试者 ECoG 运动想象竞赛数据，主用途是 BCI。</x:v>
      </x:c>
      <x:c r="E103" s="46" t="str">
        <x:v>数据集说明/论文与本轮临床队列规则</x:v>
      </x:c>
    </x:row>
    <x:row r="104">
      <x:c r="A104" s="51" t="str">
        <x:v>EEG-0069</x:v>
      </x:c>
      <x:c r="B104" s="155" t="str">
        <x:v>大类目录</x:v>
      </x:c>
      <x:c r="C104" s="155" t="str">
        <x:v>06_Motor_and_Interaction</x:v>
      </x:c>
      <x:c r="D104" s="155" t="str">
        <x:v>SSVEP 拼写/BCI 基准，不是疾病队列。</x:v>
      </x:c>
      <x:c r="E104" s="156" t="str">
        <x:v>数据集说明/论文与本轮临床队列规则</x:v>
      </x:c>
    </x:row>
    <x:row r="105">
      <x:c r="A105" s="45" t="str">
        <x:v>EEG-0069</x:v>
      </x:c>
      <x:c r="B105" s="81" t="str">
        <x:v>小类目录</x:v>
      </x:c>
      <x:c r="C105" s="81" t="str">
        <x:v>Interaction_and_Control</x:v>
      </x:c>
      <x:c r="D105" s="81" t="str">
        <x:v>SSVEP 拼写/BCI 基准，不是疾病队列。</x:v>
      </x:c>
      <x:c r="E105" s="46" t="str">
        <x:v>数据集说明/论文与本轮临床队列规则</x:v>
      </x:c>
    </x:row>
    <x:row r="106">
      <x:c r="A106" s="51" t="str">
        <x:v>EEG-0073</x:v>
      </x:c>
      <x:c r="B106" s="155" t="str">
        <x:v>大类目录</x:v>
      </x:c>
      <x:c r="C106" s="155" t="str">
        <x:v>06_Motor_and_Interaction</x:v>
      </x:c>
      <x:c r="D106" s="155" t="str">
        <x:v>ErrP 光标反馈任务，不含疾病队列证据。</x:v>
      </x:c>
      <x:c r="E106" s="156" t="str">
        <x:v>数据集说明/论文与本轮临床队列规则</x:v>
      </x:c>
    </x:row>
    <x:row r="107">
      <x:c r="A107" s="45" t="str">
        <x:v>EEG-0073</x:v>
      </x:c>
      <x:c r="B107" s="81" t="str">
        <x:v>小类目录</x:v>
      </x:c>
      <x:c r="C107" s="81" t="str">
        <x:v>Error_Related_BCI</x:v>
      </x:c>
      <x:c r="D107" s="81" t="str">
        <x:v>ErrP 光标反馈任务，不含疾病队列证据。</x:v>
      </x:c>
      <x:c r="E107" s="46" t="str">
        <x:v>数据集说明/论文与本轮临床队列规则</x:v>
      </x:c>
    </x:row>
    <x:row r="108">
      <x:c r="A108" s="51" t="str">
        <x:v>EEG-0077</x:v>
      </x:c>
      <x:c r="B108" s="155" t="str">
        <x:v>大类目录</x:v>
      </x:c>
      <x:c r="C108" s="155" t="str">
        <x:v>04_Cognition_and_Emotion</x:v>
      </x:c>
      <x:c r="D108" s="155" t="str">
        <x:v>彩色层状刺激的注意诱发电位实验，不是疾病队列。</x:v>
      </x:c>
      <x:c r="E108" s="156" t="str">
        <x:v>数据集说明/论文与本轮临床队列规则</x:v>
      </x:c>
    </x:row>
    <x:row r="109">
      <x:c r="A109" s="45" t="str">
        <x:v>EEG-0077</x:v>
      </x:c>
      <x:c r="B109" s="81" t="str">
        <x:v>小类目录</x:v>
      </x:c>
      <x:c r="C109" s="81" t="str">
        <x:v>Attention_and_ERP</x:v>
      </x:c>
      <x:c r="D109" s="81" t="str">
        <x:v>彩色层状刺激的注意诱发电位实验，不是疾病队列。</x:v>
      </x:c>
      <x:c r="E109" s="46" t="str">
        <x:v>数据集说明/论文与本轮临床队列规则</x:v>
      </x:c>
    </x:row>
    <x:row r="110">
      <x:c r="A110" s="51" t="str">
        <x:v>EEG-0082</x:v>
      </x:c>
      <x:c r="B110" s="155" t="str">
        <x:v>大类目录</x:v>
      </x:c>
      <x:c r="C110" s="155" t="str">
        <x:v>08_Health_and_Population</x:v>
      </x:c>
      <x:c r="D110" s="155" t="str">
        <x:v>脊髓体感诱发电位属于健康生理/方法学。</x:v>
      </x:c>
      <x:c r="E110" s="156" t="str">
        <x:v>数据集说明/论文与本轮临床队列规则</x:v>
      </x:c>
    </x:row>
    <x:row r="111">
      <x:c r="A111" s="45" t="str">
        <x:v>EEG-0082</x:v>
      </x:c>
      <x:c r="B111" s="81" t="str">
        <x:v>小类目录</x:v>
      </x:c>
      <x:c r="C111" s="81" t="str">
        <x:v>Sensory_Physiology</x:v>
      </x:c>
      <x:c r="D111" s="81" t="str">
        <x:v>脊髓体感诱发电位属于健康生理/方法学。</x:v>
      </x:c>
      <x:c r="E111" s="46" t="str">
        <x:v>数据集说明/论文与本轮临床队列规则</x:v>
      </x:c>
    </x:row>
    <x:row r="112">
      <x:c r="A112" s="51" t="str">
        <x:v>EEG-0086</x:v>
      </x:c>
      <x:c r="B112" s="155" t="str">
        <x:v>大类目录</x:v>
      </x:c>
      <x:c r="C112" s="155" t="str">
        <x:v>08_Health_and_Population</x:v>
      </x:c>
      <x:c r="D112" s="155" t="str">
        <x:v>MESA Sleep 是人群心代谢/睡眠队列，不是神经疾病。</x:v>
      </x:c>
      <x:c r="E112" s="156" t="str">
        <x:v>数据集说明/论文与本轮临床队列规则</x:v>
      </x:c>
    </x:row>
    <x:row r="113">
      <x:c r="A113" s="45" t="str">
        <x:v>EEG-0086</x:v>
      </x:c>
      <x:c r="B113" s="81" t="str">
        <x:v>小类目录</x:v>
      </x:c>
      <x:c r="C113" s="81" t="str">
        <x:v>Sleep_and_Cardiometabolic</x:v>
      </x:c>
      <x:c r="D113" s="81" t="str">
        <x:v>MESA Sleep 是人群心代谢/睡眠队列，不是神经疾病。</x:v>
      </x:c>
      <x:c r="E113" s="46" t="str">
        <x:v>数据集说明/论文与本轮临床队列规则</x:v>
      </x:c>
    </x:row>
    <x:row r="114">
      <x:c r="A114" s="51" t="str">
        <x:v>EEG-0090</x:v>
      </x:c>
      <x:c r="B114" s="155" t="str">
        <x:v>大类目录</x:v>
      </x:c>
      <x:c r="C114" s="155" t="str">
        <x:v>06_Motor_and_Interaction</x:v>
      </x:c>
      <x:c r="D114" s="155" t="str">
        <x:v>工业人机协作生理信号，不是疾病队列。</x:v>
      </x:c>
      <x:c r="E114" s="156" t="str">
        <x:v>数据集说明/论文与本轮临床队列规则</x:v>
      </x:c>
    </x:row>
    <x:row r="115">
      <x:c r="A115" s="45" t="str">
        <x:v>EEG-0090</x:v>
      </x:c>
      <x:c r="B115" s="81" t="str">
        <x:v>小类目录</x:v>
      </x:c>
      <x:c r="C115" s="81" t="str">
        <x:v>Human_Robot_Interaction</x:v>
      </x:c>
      <x:c r="D115" s="81" t="str">
        <x:v>工业人机协作生理信号，不是疾病队列。</x:v>
      </x:c>
      <x:c r="E115" s="46" t="str">
        <x:v>数据集说明/论文与本轮临床队列规则</x:v>
      </x:c>
    </x:row>
    <x:row r="116">
      <x:c r="A116" s="51" t="str">
        <x:v>EEG-0091</x:v>
      </x:c>
      <x:c r="B116" s="155" t="str">
        <x:v>大类目录</x:v>
      </x:c>
      <x:c r="C116" s="155" t="str">
        <x:v>04_Cognition_and_Emotion</x:v>
      </x:c>
      <x:c r="D116" s="155" t="str">
        <x:v>随机化视觉物体分类实验，不是疾病队列。</x:v>
      </x:c>
      <x:c r="E116" s="156" t="str">
        <x:v>数据集说明/论文与本轮临床队列规则</x:v>
      </x:c>
    </x:row>
    <x:row r="117">
      <x:c r="A117" s="45" t="str">
        <x:v>EEG-0091</x:v>
      </x:c>
      <x:c r="B117" s="81" t="str">
        <x:v>小类目录</x:v>
      </x:c>
      <x:c r="C117" s="81" t="str">
        <x:v>Visual_Object_Decoding</x:v>
      </x:c>
      <x:c r="D117" s="81" t="str">
        <x:v>随机化视觉物体分类实验，不是疾病队列。</x:v>
      </x:c>
      <x:c r="E117" s="46" t="str">
        <x:v>数据集说明/论文与本轮临床队列规则</x:v>
      </x:c>
    </x:row>
    <x:row r="118">
      <x:c r="A118" s="51" t="str">
        <x:v>EEG-0095</x:v>
      </x:c>
      <x:c r="B118" s="155" t="str">
        <x:v>大类目录</x:v>
      </x:c>
      <x:c r="C118" s="155" t="str">
        <x:v>06_Motor_and_Interaction</x:v>
      </x:c>
      <x:c r="D118" s="155" t="str">
        <x:v>P300 拼写器 BCI，健康/一般交互任务。</x:v>
      </x:c>
      <x:c r="E118" s="156" t="str">
        <x:v>数据集说明/论文与本轮临床队列规则</x:v>
      </x:c>
    </x:row>
    <x:row r="119">
      <x:c r="A119" s="45" t="str">
        <x:v>EEG-0095</x:v>
      </x:c>
      <x:c r="B119" s="81" t="str">
        <x:v>小类目录</x:v>
      </x:c>
      <x:c r="C119" s="81" t="str">
        <x:v>P300_BCI</x:v>
      </x:c>
      <x:c r="D119" s="81" t="str">
        <x:v>P300 拼写器 BCI，健康/一般交互任务。</x:v>
      </x:c>
      <x:c r="E119" s="46" t="str">
        <x:v>数据集说明/论文与本轮临床队列规则</x:v>
      </x:c>
    </x:row>
    <x:row r="120">
      <x:c r="A120" s="51" t="str">
        <x:v>EEG-0096</x:v>
      </x:c>
      <x:c r="B120" s="155" t="str">
        <x:v>大类目录</x:v>
      </x:c>
      <x:c r="C120" s="155" t="str">
        <x:v>04_Cognition_and_Emotion</x:v>
      </x:c>
      <x:c r="D120" s="155" t="str">
        <x:v>实时情绪标注数据，不是精神疾病队列。</x:v>
      </x:c>
      <x:c r="E120" s="156" t="str">
        <x:v>数据集说明/论文与本轮临床队列规则</x:v>
      </x:c>
    </x:row>
    <x:row r="121">
      <x:c r="A121" s="45" t="str">
        <x:v>EEG-0096</x:v>
      </x:c>
      <x:c r="B121" s="81" t="str">
        <x:v>小类目录</x:v>
      </x:c>
      <x:c r="C121" s="81" t="str">
        <x:v>Emotion</x:v>
      </x:c>
      <x:c r="D121" s="81" t="str">
        <x:v>实时情绪标注数据，不是精神疾病队列。</x:v>
      </x:c>
      <x:c r="E121" s="46" t="str">
        <x:v>数据集说明/论文与本轮临床队列规则</x:v>
      </x:c>
    </x:row>
    <x:row r="122">
      <x:c r="A122" s="51" t="str">
        <x:v>EEG-0097</x:v>
      </x:c>
      <x:c r="B122" s="155" t="str">
        <x:v>大类目录</x:v>
      </x:c>
      <x:c r="C122" s="155" t="str">
        <x:v>04_Cognition_and_Emotion</x:v>
      </x:c>
      <x:c r="D122" s="155" t="str">
        <x:v>动物/工具语义想象解码，不是疾病队列。</x:v>
      </x:c>
      <x:c r="E122" s="156" t="str">
        <x:v>数据集说明/论文与本轮临床队列规则</x:v>
      </x:c>
    </x:row>
    <x:row r="123">
      <x:c r="A123" s="45" t="str">
        <x:v>EEG-0097</x:v>
      </x:c>
      <x:c r="B123" s="81" t="str">
        <x:v>小类目录</x:v>
      </x:c>
      <x:c r="C123" s="81" t="str">
        <x:v>Language_and_Semantics</x:v>
      </x:c>
      <x:c r="D123" s="81" t="str">
        <x:v>动物/工具语义想象解码，不是疾病队列。</x:v>
      </x:c>
      <x:c r="E123" s="46" t="str">
        <x:v>数据集说明/论文与本轮临床队列规则</x:v>
      </x:c>
    </x:row>
    <x:row r="124">
      <x:c r="A124" s="51" t="str">
        <x:v>EEG-0101</x:v>
      </x:c>
      <x:c r="B124" s="155" t="str">
        <x:v>大类目录</x:v>
      </x:c>
      <x:c r="C124" s="155" t="str">
        <x:v>04_Cognition_and_Emotion</x:v>
      </x:c>
      <x:c r="D124" s="155" t="str">
        <x:v>视觉诱发电位数据；已下载树中还缺 EEG 文件，且不是疾病队列。</x:v>
      </x:c>
      <x:c r="E124" s="156" t="str">
        <x:v>数据集说明/论文与本轮临床队列规则</x:v>
      </x:c>
    </x:row>
    <x:row r="125">
      <x:c r="A125" s="45" t="str">
        <x:v>EEG-0101</x:v>
      </x:c>
      <x:c r="B125" s="81" t="str">
        <x:v>小类目录</x:v>
      </x:c>
      <x:c r="C125" s="81" t="str">
        <x:v>Visual_Perception</x:v>
      </x:c>
      <x:c r="D125" s="81" t="str">
        <x:v>视觉诱发电位数据；已下载树中还缺 EEG 文件，且不是疾病队列。</x:v>
      </x:c>
      <x:c r="E125" s="46" t="str">
        <x:v>数据集说明/论文与本轮临床队列规则</x:v>
      </x:c>
    </x:row>
    <x:row r="126">
      <x:c r="A126" s="51" t="str">
        <x:v>EEG-0519</x:v>
      </x:c>
      <x:c r="B126" s="155" t="str">
        <x:v>大类目录</x:v>
      </x:c>
      <x:c r="C126" s="155" t="str">
        <x:v>08_Health_and_Population</x:v>
      </x:c>
      <x:c r="D126" s="155" t="str">
        <x:v>CHBMP 是健康成人规范数据库。</x:v>
      </x:c>
      <x:c r="E126" s="156" t="str">
        <x:v>数据集说明/论文与本轮临床队列规则</x:v>
      </x:c>
    </x:row>
    <x:row r="127">
      <x:c r="A127" s="45" t="str">
        <x:v>EEG-0519</x:v>
      </x:c>
      <x:c r="B127" s="81" t="str">
        <x:v>小类目录</x:v>
      </x:c>
      <x:c r="C127" s="81" t="str">
        <x:v>Lifespan_and_Normative</x:v>
      </x:c>
      <x:c r="D127" s="81" t="str">
        <x:v>CHBMP 是健康成人规范数据库。</x:v>
      </x:c>
      <x:c r="E127" s="46" t="str">
        <x:v>数据集说明/论文与本轮临床队列规则</x:v>
      </x:c>
    </x:row>
    <x:row r="128">
      <x:c r="A128" s="51" t="str">
        <x:v>EEG-0520</x:v>
      </x:c>
      <x:c r="B128" s="155" t="str">
        <x:v>大类目录</x:v>
      </x:c>
      <x:c r="C128" s="155" t="str">
        <x:v>08_Health_and_Population</x:v>
      </x:c>
      <x:c r="D128" s="155" t="str">
        <x:v>婴儿首年发育/规范性 EEG。</x:v>
      </x:c>
      <x:c r="E128" s="156" t="str">
        <x:v>数据集说明/论文与本轮临床队列规则</x:v>
      </x:c>
    </x:row>
    <x:row r="129">
      <x:c r="A129" s="45" t="str">
        <x:v>EEG-0520</x:v>
      </x:c>
      <x:c r="B129" s="81" t="str">
        <x:v>小类目录</x:v>
      </x:c>
      <x:c r="C129" s="81" t="str">
        <x:v>Lifespan_and_Normative</x:v>
      </x:c>
      <x:c r="D129" s="81" t="str">
        <x:v>婴儿首年发育/规范性 EEG。</x:v>
      </x:c>
      <x:c r="E129" s="46" t="str">
        <x:v>数据集说明/论文与本轮临床队列规则</x:v>
      </x:c>
    </x:row>
    <x:row r="130">
      <x:c r="A130" s="51" t="str">
        <x:v>EEG-0521</x:v>
      </x:c>
      <x:c r="B130" s="155" t="str">
        <x:v>大类目录</x:v>
      </x:c>
      <x:c r="C130" s="155" t="str">
        <x:v>08_Health_and_Population</x:v>
      </x:c>
      <x:c r="D130" s="155" t="str">
        <x:v>健康老年步行/移动 EEG。</x:v>
      </x:c>
      <x:c r="E130" s="156" t="str">
        <x:v>数据集说明/论文与本轮临床队列规则</x:v>
      </x:c>
    </x:row>
    <x:row r="131">
      <x:c r="A131" s="45" t="str">
        <x:v>EEG-0521</x:v>
      </x:c>
      <x:c r="B131" s="81" t="str">
        <x:v>小类目录</x:v>
      </x:c>
      <x:c r="C131" s="81" t="str">
        <x:v>Lifespan_and_Normative</x:v>
      </x:c>
      <x:c r="D131" s="81" t="str">
        <x:v>健康老年步行/移动 EEG。</x:v>
      </x:c>
      <x:c r="E131" s="46" t="str">
        <x:v>数据集说明/论文与本轮临床队列规则</x:v>
      </x:c>
    </x:row>
    <x:row r="132">
      <x:c r="A132" s="51" t="str">
        <x:v>EEG-0522</x:v>
      </x:c>
      <x:c r="B132" s="155" t="str">
        <x:v>大类目录</x:v>
      </x:c>
      <x:c r="C132" s="155" t="str">
        <x:v>08_Health_and_Population</x:v>
      </x:c>
      <x:c r="D132" s="155" t="str">
        <x:v>MIPDB 是健康发育数据库。</x:v>
      </x:c>
      <x:c r="E132" s="156" t="str">
        <x:v>数据集说明/论文与本轮临床队列规则</x:v>
      </x:c>
    </x:row>
    <x:row r="133">
      <x:c r="A133" s="45" t="str">
        <x:v>EEG-0522</x:v>
      </x:c>
      <x:c r="B133" s="81" t="str">
        <x:v>小类目录</x:v>
      </x:c>
      <x:c r="C133" s="81" t="str">
        <x:v>Lifespan_and_Normative</x:v>
      </x:c>
      <x:c r="D133" s="81" t="str">
        <x:v>MIPDB 是健康发育数据库。</x:v>
      </x:c>
      <x:c r="E133" s="46" t="str">
        <x:v>数据集说明/论文与本轮临床队列规则</x:v>
      </x:c>
    </x:row>
    <x:row r="134">
      <x:c r="A134" s="51" t="str">
        <x:v>EEG-0524</x:v>
      </x:c>
      <x:c r="B134" s="155" t="str">
        <x:v>大类目录</x:v>
      </x:c>
      <x:c r="C134" s="155" t="str">
        <x:v>07_General-purpose</x:v>
      </x:c>
      <x:c r="D134" s="155" t="str">
        <x:v>身份识别/脑纹基准，不属于疾病或医疗队列。</x:v>
      </x:c>
      <x:c r="E134" s="156" t="str">
        <x:v>数据集说明/论文与本轮临床队列规则</x:v>
      </x:c>
    </x:row>
    <x:row r="135">
      <x:c r="A135" s="45" t="str">
        <x:v>EEG-0524</x:v>
      </x:c>
      <x:c r="B135" s="81" t="str">
        <x:v>小类目录</x:v>
      </x:c>
      <x:c r="C135" s="81" t="str">
        <x:v>Biometrics_and_Identity</x:v>
      </x:c>
      <x:c r="D135" s="81" t="str">
        <x:v>身份识别/脑纹基准，不属于疾病或医疗队列。</x:v>
      </x:c>
      <x:c r="E135" s="46" t="str">
        <x:v>数据集说明/论文与本轮临床队列规则</x:v>
      </x:c>
    </x:row>
    <x:row r="136">
      <x:c r="A136" s="51" t="str">
        <x:v>EEG-0345</x:v>
      </x:c>
      <x:c r="B136" s="155" t="str">
        <x:v>大类目录</x:v>
      </x:c>
      <x:c r="C136" s="155" t="str">
        <x:v>08_Health_and_Population</x:v>
      </x:c>
      <x:c r="D136" s="155" t="str">
        <x:v>HBN 是儿童青少年健康与精神健康表型队列。</x:v>
      </x:c>
      <x:c r="E136" s="156" t="str">
        <x:v>数据集说明/论文与本轮临床队列规则</x:v>
      </x:c>
    </x:row>
    <x:row r="137">
      <x:c r="A137" s="45" t="str">
        <x:v>EEG-0345</x:v>
      </x:c>
      <x:c r="B137" s="81" t="str">
        <x:v>小类目录</x:v>
      </x:c>
      <x:c r="C137" s="81" t="str">
        <x:v>Developmental_Clinical_Cohort</x:v>
      </x:c>
      <x:c r="D137" s="81" t="str">
        <x:v>HBN 是儿童青少年健康与精神健康表型队列。</x:v>
      </x:c>
      <x:c r="E137" s="46" t="str">
        <x:v>数据集说明/论文与本轮临床队列规则</x:v>
      </x:c>
    </x:row>
    <x:row r="138">
      <x:c r="A138" s="51" t="str">
        <x:v>EEG-0493</x:v>
      </x:c>
      <x:c r="B138" s="155" t="str">
        <x:v>大类目录</x:v>
      </x:c>
      <x:c r="C138" s="155" t="str">
        <x:v>02_Healthcare_and_Disease</x:v>
      </x:c>
      <x:c r="D138" s="155" t="str">
        <x:v>ADSZ 含阿尔茨海默病和精神分裂症病例。</x:v>
      </x:c>
      <x:c r="E138" s="156" t="str">
        <x:v>数据集说明/论文与本轮临床队列规则</x:v>
      </x:c>
    </x:row>
    <x:row r="139">
      <x:c r="A139" s="45" t="str">
        <x:v>EEG-0493</x:v>
      </x:c>
      <x:c r="B139" s="81" t="str">
        <x:v>小类目录</x:v>
      </x:c>
      <x:c r="C139" s="81" t="str">
        <x:v>Cross_Diagnostic_Clinical</x:v>
      </x:c>
      <x:c r="D139" s="81" t="str">
        <x:v>ADSZ 含阿尔茨海默病和精神分裂症病例。</x:v>
      </x:c>
      <x:c r="E139" s="46" t="str">
        <x:v>数据集说明/论文与本轮临床队列规则</x:v>
      </x:c>
    </x:row>
    <x:row r="140">
      <x:c r="A140" s="51" t="str">
        <x:v>EEG-0064</x:v>
      </x:c>
      <x:c r="B140" s="155" t="str">
        <x:v>规范数据集名称</x:v>
      </x:c>
      <x:c r="C140" s="155" t="str">
        <x:v>bigP3BCI</x:v>
      </x:c>
      <x:c r="D140" s="155" t="str">
        <x:v>原名称把大型 P300 BCI 汇编误写成单一 ALS 眼动拼写数据。</x:v>
      </x:c>
      <x:c r="E140" s="156" t="str">
        <x:v>PhysioNet bigP3BCI v1.0.0</x:v>
      </x:c>
    </x:row>
    <x:row r="141">
      <x:c r="A141" s="45" t="str">
        <x:v>EEG-0064</x:v>
      </x:c>
      <x:c r="B141" s="81" t="str">
        <x:v>受试者数</x:v>
      </x:c>
      <x:c r="C141" s="81" t="str">
        <x:v>336 个 study-participant 条目（20 项研究表内合计；跨研究唯一人数未声明）</x:v>
      </x:c>
      <x:c r="D141" s="81" t="str">
        <x:v>不能把研究内条目数当作全局唯一受试者。</x:v>
      </x:c>
      <x:c r="E141" s="46" t="str">
        <x:v>PhysioNet bigP3BCI Table 1</x:v>
      </x:c>
    </x:row>
    <x:row r="142">
      <x:c r="A142" s="51" t="str">
        <x:v>EEG-0064</x:v>
      </x:c>
      <x:c r="B142" s="155" t="str">
        <x:v>稳定标识（DOI/OpenNeuro/BNCI/仓库ID）</x:v>
      </x:c>
      <x:c r="C142" s="155" t="str">
        <x:v>PhysioNet:bigp3bci:v1.0.0 | DOI:10.13026/0byy-ry86</x:v>
      </x:c>
      <x:c r="D142" s="155" t="str">
        <x:v>补官方稳定标识。</x:v>
      </x:c>
      <x:c r="E142" s="156" t="str">
        <x:v>PhysioNet</x:v>
      </x:c>
    </x:row>
    <x:row r="143">
      <x:c r="A143" s="45" t="str">
        <x:v>EEG-0064</x:v>
      </x:c>
      <x:c r="B143" s="81" t="str">
        <x:v>下载/申请入口</x:v>
      </x:c>
      <x:c r="C143" s="81" t="str">
        <x:v>https://physionet.org/content/bigp3bci/1.0.0/</x:v>
      </x:c>
      <x:c r="D143" s="81" t="str">
        <x:v>改为官方入口。</x:v>
      </x:c>
      <x:c r="E143" s="46" t="str">
        <x:v>PhysioNet</x:v>
      </x:c>
    </x:row>
    <x:row r="144">
      <x:c r="A144" s="51" t="str">
        <x:v>EEG-0065</x:v>
      </x:c>
      <x:c r="B144" s="155" t="str">
        <x:v>受试者数</x:v>
      </x:c>
      <x:c r="C144" s="155" t="str">
        <x:v>176（6 ALS + 170 healthy）</x:v>
      </x:c>
      <x:c r="D144" s="155" t="str">
        <x:v>Scientific Data 数据描述给出的总数是 176，不是 178。</x:v>
      </x:c>
      <x:c r="E144" s="156" t="str">
        <x:v>PMC11193709 / Scientific Data</x:v>
      </x:c>
    </x:row>
    <x:row r="145">
      <x:c r="A145" s="45" t="str">
        <x:v>EEG-0086</x:v>
      </x:c>
      <x:c r="B145" s="81" t="str">
        <x:v>受试者数</x:v>
      </x:c>
      <x:c r="C145" s="81" t="str">
        <x:v>2,056 个含原始 PSG/EEG 的参与者（父睡眠检查 2,237 人）</x:v>
      </x:c>
      <x:c r="D145" s="81" t="str">
        <x:v>按实际可用原始 PSG 文件口径。</x:v>
      </x:c>
      <x:c r="E145" s="46" t="str">
        <x:v>NSRR MESA polysomnography introduction</x:v>
      </x:c>
    </x:row>
    <x:row r="146">
      <x:c r="A146" s="51" t="str">
        <x:v>EEG-0126</x:v>
      </x:c>
      <x:c r="B146" s="155" t="str">
        <x:v>受试者数</x:v>
      </x:c>
      <x:c r="C146" s="155" t="str">
        <x:v>343 个含原始 PSG/EEG 的参与者</x:v>
      </x:c>
      <x:c r="D146" s="155" t="str">
        <x:v>原表 373 不是当前原始 PSG 文件口径。</x:v>
      </x:c>
      <x:c r="E146" s="156" t="str">
        <x:v>NSRR HomePAP polysomnography introduction</x:v>
      </x:c>
    </x:row>
    <x:row r="147">
      <x:c r="A147" s="45" t="str">
        <x:v>EEG-0135</x:v>
      </x:c>
      <x:c r="B147" s="81" t="str">
        <x:v>受试者数</x:v>
      </x:c>
      <x:c r="C147" s="81" t="str">
        <x:v>2,907（Visit 1）；1,026 为重复随访 Visit 2，不相加为唯一人数</x:v>
      </x:c>
      <x:c r="D147" s="81" t="str">
        <x:v>区分基线唯一参与者与重复随访。</x:v>
      </x:c>
      <x:c r="E147" s="46" t="str">
        <x:v>NSRR MrOS polysomnography introduction</x:v>
      </x:c>
    </x:row>
    <x:row r="148">
      <x:c r="A148" s="51" t="str">
        <x:v>EEG-0142</x:v>
      </x:c>
      <x:c r="B148" s="155" t="str">
        <x:v>受试者数</x:v>
      </x:c>
      <x:c r="C148" s="155" t="str">
        <x:v>5,793（Visit 1）；2,651 为重复随访 Visit 2，不相加为唯一人数</x:v>
      </x:c>
      <x:c r="D148" s="155" t="str">
        <x:v>区分基线唯一参与者与重复随访。</x:v>
      </x:c>
      <x:c r="E148" s="156" t="str">
        <x:v>NSRR SHHS polysomnography introduction</x:v>
      </x:c>
    </x:row>
    <x:row r="149">
      <x:c r="A149" s="45" t="str">
        <x:v>EEG-0050</x:v>
      </x:c>
      <x:c r="B149" s="81" t="str">
        <x:v>Raw/Processed</x:v>
      </x:c>
      <x:c r="C149" s="81" t="str">
        <x:v>下载内容仅含眼动/瞳孔数据；未发现 EEG 信号</x:v>
      </x:c>
      <x:c r="D149" s="81" t="str">
        <x:v>服务器文件审计未发现 EEG，应从原始 EEG 总量中排除。</x:v>
      </x:c>
      <x:c r="E149" s="46" t="str">
        <x:v>2026-07-31 下载审计</x:v>
      </x:c>
    </x:row>
    <x:row r="150">
      <x:c r="A150" s="52" t="str">
        <x:v>EEG-0101</x:v>
      </x:c>
      <x:c r="B150" s="157" t="str">
        <x:v>核验结论</x:v>
      </x:c>
      <x:c r="C150" s="157" t="str">
        <x:v>视觉 ERP 项目；当前已下载树未发现 EEG 记录，且不属于疾病类</x:v>
      </x:c>
      <x:c r="D150" s="157" t="str">
        <x:v>分类与下载内容同时纠正。</x:v>
      </x:c>
      <x:c r="E150" s="158" t="str">
        <x:v>2026-07-31 下载审计</x:v>
      </x:c>
    </x:row>
  </x:sheetData>
  <x:pageMargins left="0.7" right="0.7" top="0.75" bottom="0.75" header="0.3" footer="0.3"/>
  <x:tableParts count="1">
    <x:tablePart xmlns:r="http://schemas.openxmlformats.org/officeDocument/2006/relationships" r:id="R2af588f2ad3a470c"/>
  </x:tableParts>
</x:worksheet>
</file>

<file path=xl/worksheets/sheet12.xml><?xml version="1.0" encoding="utf-8"?>
<x:worksheet xmlns:x="http://schemas.openxmlformats.org/spreadsheetml/2006/main">
  <x:sheetFormatPr defaultRowHeight="15"/>
  <x:cols>
    <x:col min="1" max="1" width="13" hidden="0" customWidth="1"/>
    <x:col min="2" max="2" width="18" hidden="0" customWidth="1"/>
    <x:col min="3" max="3" width="38" hidden="0" customWidth="1"/>
    <x:col min="4" max="4" width="16" hidden="0" customWidth="1"/>
    <x:col min="5" max="5" width="18" hidden="0" customWidth="1"/>
    <x:col min="6" max="6" width="16" hidden="0" customWidth="1"/>
    <x:col min="7" max="7" width="17" hidden="0" customWidth="1"/>
    <x:col min="8" max="8" width="27" hidden="0" customWidth="1"/>
    <x:col min="9" max="9" width="58" hidden="0" customWidth="1"/>
  </x:cols>
  <x:sheetData>
    <x:row r="1" ht="34" customHeight="1">
      <x:c r="A1" s="165" t="str">
        <x:v>已下载与预计规模复核（raw EEG 主口径）</x:v>
      </x:c>
      <x:c r="B1" s="165"/>
      <x:c r="C1" s="165"/>
      <x:c r="D1" s="165"/>
      <x:c r="E1" s="165"/>
      <x:c r="F1" s="165"/>
      <x:c r="G1" s="165"/>
      <x:c r="H1" s="165"/>
    </x:row>
    <x:row r="3" ht="32" customHeight="1">
      <x:c r="A3" s="109" t="str">
        <x:v>指标</x:v>
      </x:c>
      <x:c r="B3" s="110" t="str">
        <x:v>疾病/临床</x:v>
      </x:c>
      <x:c r="C3" s="110" t="str">
        <x:v>健康/人群</x:v>
      </x:c>
      <x:c r="D3" s="110" t="str">
        <x:v>合计</x:v>
      </x:c>
      <x:c r="E3" s="111" t="str">
        <x:v>说明</x:v>
      </x:c>
    </x:row>
    <x:row r="4">
      <x:c r="A4" s="130" t="str">
        <x:v>当前 raw EEG 单元</x:v>
      </x:c>
      <x:c r="B4" s="131" t="n">
        <x:v>53</x:v>
      </x:c>
      <x:c r="C4" s="131" t="n">
        <x:v>4</x:v>
      </x:c>
      <x:c r="D4" s="131" t="n">
        <x:v>57</x:v>
      </x:c>
      <x:c r="E4" s="132" t="str">
        <x:v>TUH 子集与 TUEG 父库不重复相加</x:v>
      </x:c>
    </x:row>
    <x:row r="5">
      <x:c r="A5" s="45" t="str">
        <x:v>当前受试者行计数</x:v>
      </x:c>
      <x:c r="B5" s="81" t="n">
        <x:v>21818</x:v>
      </x:c>
      <x:c r="C5" s="81" t="n">
        <x:v>332</x:v>
      </x:c>
      <x:c r="D5" s="81" t="n">
        <x:v>22150</x:v>
      </x:c>
      <x:c r="E5" s="46" t="str">
        <x:v>不是跨独立数据集的全球唯一人数</x:v>
      </x:c>
    </x:row>
    <x:row r="6">
      <x:c r="A6" s="133" t="str">
        <x:v>当前 raw EEG 时长(h)</x:v>
      </x:c>
      <x:c r="B6" s="166" t="n">
        <x:v>43396.3433622311</x:v>
      </x:c>
      <x:c r="C6" s="166" t="n">
        <x:v>231.47570455555547</x:v>
      </x:c>
      <x:c r="D6" s="166" t="n">
        <x:v>43627.81906678666</x:v>
      </x:c>
      <x:c r="E6" s="68" t="str">
        <x:v>文件/容器审计；TUEG 时长为发布统计口径</x:v>
      </x:c>
    </x:row>
    <x:row r="7">
      <x:c r="A7" s="45" t="str">
        <x:v>新增计划受试者行计数</x:v>
      </x:c>
      <x:c r="B7" s="167" t="n">
        <x:v>3511</x:v>
      </x:c>
      <x:c r="C7" s="167" t="n">
        <x:v>16572</x:v>
      </x:c>
      <x:c r="D7" s="167" t="n">
        <x:v>20083</x:v>
      </x:c>
      <x:c r="E7" s="46" t="str">
        <x:v>11 个新增数据集；MNC 为约数</x:v>
      </x:c>
    </x:row>
    <x:row r="8">
      <x:c r="A8" s="133" t="str">
        <x:v>新增可文献核验时长(h)</x:v>
      </x:c>
      <x:c r="B8" s="166" t="n">
        <x:v>116</x:v>
      </x:c>
      <x:c r="C8" s="166" t="n">
        <x:v>22</x:v>
      </x:c>
      <x:c r="D8" s="166" t="n">
        <x:v>138</x:v>
      </x:c>
      <x:c r="E8" s="68" t="str">
        <x:v>仅 EEG-Bench 4 项有总时长；其余不估算</x:v>
      </x:c>
    </x:row>
    <x:row r="9">
      <x:c r="A9" s="45" t="str">
        <x:v>预计受试者行计数</x:v>
      </x:c>
      <x:c r="B9" s="167" t="n">
        <x:v>25329</x:v>
      </x:c>
      <x:c r="C9" s="167" t="n">
        <x:v>16904</x:v>
      </x:c>
      <x:c r="D9" s="167" t="n">
        <x:v>42233</x:v>
      </x:c>
      <x:c r="E9" s="46" t="str">
        <x:v>当前 raw + 11 新增</x:v>
      </x:c>
    </x:row>
    <x:row r="10">
      <x:c r="A10" s="133" t="str">
        <x:v>预计总时长下界(h)</x:v>
      </x:c>
      <x:c r="B10" s="166" t="n">
        <x:v>43512.3433622311</x:v>
      </x:c>
      <x:c r="C10" s="166" t="n">
        <x:v>253.47570455555547</x:v>
      </x:c>
      <x:c r="D10" s="166" t="n">
        <x:v>43765.81906678666</x:v>
      </x:c>
      <x:c r="E10" s="68" t="str">
        <x:v>真实值更高；未知 PSG 总时长按 0 加入下界</x:v>
      </x:c>
    </x:row>
    <x:row r="11">
      <x:c r="A11" s="45" t="str">
        <x:v>直接观察受试者下界</x:v>
      </x:c>
      <x:c r="B11" s="81"/>
      <x:c r="C11" s="81"/>
      <x:c r="D11" s="81" t="n">
        <x:v>21132</x:v>
      </x:c>
      <x:c r="E11" s="46" t="str">
        <x:v>49/57 行有直接观察人数；其余用目录/论文，TUEG 用发布人数</x:v>
      </x:c>
    </x:row>
    <x:row r="12">
      <x:c r="A12" s="133" t="str">
        <x:v>processed-only 单列</x:v>
      </x:c>
      <x:c r="B12" s="134"/>
      <x:c r="C12" s="134"/>
      <x:c r="D12" s="134" t="str">
        <x:v>80 / 88.9 h</x:v>
      </x:c>
      <x:c r="E12" s="68" t="str">
        <x:v>BEED 仅有 processed features/protocol；不计入 raw EEG 主指标。</x:v>
      </x:c>
    </x:row>
    <x:row r="13">
      <x:c r="A13" s="47" t="str">
        <x:v>无 EEG signal 排除</x:v>
      </x:c>
      <x:c r="B13" s="82"/>
      <x:c r="C13" s="82"/>
      <x:c r="D13" s="82" t="str">
        <x:v>EEG-0050、EEG-0101</x:v>
      </x:c>
      <x:c r="E13" s="48" t="str">
        <x:v>当前下载内容未发现 EEG signal。</x:v>
      </x:c>
    </x:row>
    <x:row r="16" ht="32" customHeight="1">
      <x:c r="A16" s="179" t="str">
        <x:v>ID</x:v>
      </x:c>
      <x:c r="B16" s="180" t="str">
        <x:v>队列属性</x:v>
      </x:c>
      <x:c r="C16" s="180" t="str">
        <x:v>数据集</x:v>
      </x:c>
      <x:c r="D16" s="180" t="str">
        <x:v>计入 raw 总量</x:v>
      </x:c>
      <x:c r="E16" s="180" t="str">
        <x:v>受试者行计数</x:v>
      </x:c>
      <x:c r="F16" s="180" t="str">
        <x:v>直接观察人数</x:v>
      </x:c>
      <x:c r="G16" s="180" t="str">
        <x:v>raw 时长(h)</x:v>
      </x:c>
      <x:c r="H16" s="180" t="str">
        <x:v>时长证据</x:v>
      </x:c>
      <x:c r="I16" s="181" t="str">
        <x:v>下载复核说明</x:v>
      </x:c>
    </x:row>
    <x:row r="17">
      <x:c r="A17" s="118" t="str">
        <x:v>EEG-0005</x:v>
      </x:c>
      <x:c r="B17" s="119" t="str">
        <x:v>疾病/临床</x:v>
      </x:c>
      <x:c r="C17" s="119" t="str">
        <x:v>A dataset of neonatal EEG recordings with seizure annotations</x:v>
      </x:c>
      <x:c r="D17" s="119" t="str">
        <x:v>计入</x:v>
      </x:c>
      <x:c r="E17" s="119" t="n">
        <x:v>79</x:v>
      </x:c>
      <x:c r="F17" s="119"/>
      <x:c r="G17" s="119" t="n">
        <x:v>111.89583333333333</x:v>
      </x:c>
      <x:c r="H17" s="119" t="str">
        <x:v>ACTUAL_DOWNLOADED_SCOPE_PARTIAL</x:v>
      </x:c>
      <x:c r="I17" s="120" t="str">
        <x:v>2026-07-31 文件级审计确认 EEG signal present</x:v>
      </x:c>
    </x:row>
    <x:row r="18">
      <x:c r="A18" s="182" t="str">
        <x:v>EEG-0006</x:v>
      </x:c>
      <x:c r="B18" s="183" t="str">
        <x:v>疾病/临床</x:v>
      </x:c>
      <x:c r="C18" s="183" t="str">
        <x:v>American Epilepsy Society Seizure Prediction Challenge</x:v>
      </x:c>
      <x:c r="D18" s="183" t="str">
        <x:v>计入</x:v>
      </x:c>
      <x:c r="E18" s="183" t="n">
        <x:v>7</x:v>
      </x:c>
      <x:c r="F18" s="183" t="n">
        <x:v>7</x:v>
      </x:c>
      <x:c r="G18" s="183" t="n">
        <x:v>1333.6666666666667</x:v>
      </x:c>
      <x:c r="H18" s="183" t="str">
        <x:v>ACTUAL_DOWNLOADED_SCOPE_EXACT</x:v>
      </x:c>
      <x:c r="I18" s="184" t="str">
        <x:v>2026-07-31 文件级审计确认 EEG signal present</x:v>
      </x:c>
    </x:row>
    <x:row r="19">
      <x:c r="A19" s="185" t="str">
        <x:v>EEG-0007</x:v>
      </x:c>
      <x:c r="B19" s="186" t="str">
        <x:v>疾病/临床</x:v>
      </x:c>
      <x:c r="C19" s="186" t="str">
        <x:v>BEED</x:v>
      </x:c>
      <x:c r="D19" s="186" t="str">
        <x:v>排除/单列</x:v>
      </x:c>
      <x:c r="E19" s="186" t="n">
        <x:v>80</x:v>
      </x:c>
      <x:c r="F19" s="186"/>
      <x:c r="G19" s="186"/>
      <x:c r="H19" s="186" t="str">
        <x:v>DOCUMENTED_PROTOCOL</x:v>
      </x:c>
      <x:c r="I19" s="187" t="str">
        <x:v>已下载 processed features；无可复核 raw EEG</x:v>
      </x:c>
    </x:row>
    <x:row r="20">
      <x:c r="A20" s="182" t="str">
        <x:v>EEG-0008</x:v>
      </x:c>
      <x:c r="B20" s="183" t="str">
        <x:v>疾病/临床</x:v>
      </x:c>
      <x:c r="C20" s="183" t="str">
        <x:v>Bonn EEG Seizure Dataset</x:v>
      </x:c>
      <x:c r="D20" s="183" t="str">
        <x:v>计入</x:v>
      </x:c>
      <x:c r="E20" s="183" t="n">
        <x:v>10</x:v>
      </x:c>
      <x:c r="F20" s="183" t="n">
        <x:v>10</x:v>
      </x:c>
      <x:c r="G20" s="183" t="n">
        <x:v>3.277620976774251</x:v>
      </x:c>
      <x:c r="H20" s="183" t="str">
        <x:v>ACTUAL_DOWNLOADED_SCOPE_EXACT</x:v>
      </x:c>
      <x:c r="I20" s="184" t="str">
        <x:v>2026-07-31 文件级审计确认 EEG signal present</x:v>
      </x:c>
    </x:row>
    <x:row r="21">
      <x:c r="A21" s="45" t="str">
        <x:v>EEG-0009</x:v>
      </x:c>
      <x:c r="B21" s="81" t="str">
        <x:v>疾病/临床</x:v>
      </x:c>
      <x:c r="C21" s="81" t="str">
        <x:v>CHB-MIT</x:v>
      </x:c>
      <x:c r="D21" s="81" t="str">
        <x:v>计入</x:v>
      </x:c>
      <x:c r="E21" s="81" t="n">
        <x:v>24</x:v>
      </x:c>
      <x:c r="F21" s="81" t="n">
        <x:v>24</x:v>
      </x:c>
      <x:c r="G21" s="81" t="n">
        <x:v>982.9352777777777</x:v>
      </x:c>
      <x:c r="H21" s="81" t="str">
        <x:v>ACTUAL_DOWNLOADED_SCOPE_EXACT</x:v>
      </x:c>
      <x:c r="I21" s="46" t="str">
        <x:v>2026-07-31 文件级审计确认 EEG signal present</x:v>
      </x:c>
    </x:row>
    <x:row r="22">
      <x:c r="A22" s="182" t="str">
        <x:v>EEG-0010</x:v>
      </x:c>
      <x:c r="B22" s="183" t="str">
        <x:v>疾病/临床</x:v>
      </x:c>
      <x:c r="C22" s="183" t="str">
        <x:v>Criteria for defining interictal epileptiform discharges in EEG: a clinical validation study</x:v>
      </x:c>
      <x:c r="D22" s="183" t="str">
        <x:v>计入</x:v>
      </x:c>
      <x:c r="E22" s="183" t="n">
        <x:v>100</x:v>
      </x:c>
      <x:c r="F22" s="183"/>
      <x:c r="G22" s="183" t="n">
        <x:v>0.35083333333333333</x:v>
      </x:c>
      <x:c r="H22" s="183" t="str">
        <x:v>ACTUAL_DOWNLOADED_SCOPE_EXACT</x:v>
      </x:c>
      <x:c r="I22" s="184" t="str">
        <x:v>2026-07-31 文件级审计确认 EEG signal present</x:v>
      </x:c>
    </x:row>
    <x:row r="23">
      <x:c r="A23" s="45" t="str">
        <x:v>EEG-0013</x:v>
      </x:c>
      <x:c r="B23" s="81" t="str">
        <x:v>疾病/临床</x:v>
      </x:c>
      <x:c r="C23" s="81" t="str">
        <x:v>HFO (High-Frequency Oscillations)</x:v>
      </x:c>
      <x:c r="D23" s="81" t="str">
        <x:v>计入</x:v>
      </x:c>
      <x:c r="E23" s="81" t="n">
        <x:v>30</x:v>
      </x:c>
      <x:c r="F23" s="81" t="n">
        <x:v>30</x:v>
      </x:c>
      <x:c r="G23" s="81" t="n">
        <x:v>89.00694444444444</x:v>
      </x:c>
      <x:c r="H23" s="81" t="str">
        <x:v>ACTUAL_DOWNLOADED_SCOPE_EXACT</x:v>
      </x:c>
      <x:c r="I23" s="46" t="str">
        <x:v>2026-07-31 文件级审计确认 EEG signal present</x:v>
      </x:c>
    </x:row>
    <x:row r="24">
      <x:c r="A24" s="182" t="str">
        <x:v>EEG-0014</x:v>
      </x:c>
      <x:c r="B24" s="183" t="str">
        <x:v>疾病/临床</x:v>
      </x:c>
      <x:c r="C24" s="183" t="str">
        <x:v>HMS Harmful Brain Activity Classification</x:v>
      </x:c>
      <x:c r="D24" s="183" t="str">
        <x:v>计入</x:v>
      </x:c>
      <x:c r="E24" s="183" t="n">
        <x:v>1951</x:v>
      </x:c>
      <x:c r="F24" s="183" t="n">
        <x:v>1951</x:v>
      </x:c>
      <x:c r="G24" s="183" t="n">
        <x:v>390.16</x:v>
      </x:c>
      <x:c r="H24" s="183" t="str">
        <x:v>ACTUAL_DOWNLOADED_SCOPE_EXACT</x:v>
      </x:c>
      <x:c r="I24" s="184" t="str">
        <x:v>2026-07-31 文件级审计确认 EEG signal present</x:v>
      </x:c>
    </x:row>
    <x:row r="25">
      <x:c r="A25" s="45" t="str">
        <x:v>EEG-0015</x:v>
      </x:c>
      <x:c r="B25" s="81" t="str">
        <x:v>疾病/临床</x:v>
      </x:c>
      <x:c r="C25" s="81" t="str">
        <x:v>HUP iEEG Epilepsy Dataset</x:v>
      </x:c>
      <x:c r="D25" s="81" t="str">
        <x:v>计入</x:v>
      </x:c>
      <x:c r="E25" s="81" t="n">
        <x:v>58</x:v>
      </x:c>
      <x:c r="F25" s="81" t="n">
        <x:v>58</x:v>
      </x:c>
      <x:c r="G25" s="81" t="n">
        <x:v>49.769444444444446</x:v>
      </x:c>
      <x:c r="H25" s="81" t="str">
        <x:v>ACTUAL_DOWNLOADED_SCOPE_EXACT</x:v>
      </x:c>
      <x:c r="I25" s="46" t="str">
        <x:v>2026-07-31 文件级审计确认 EEG signal present</x:v>
      </x:c>
    </x:row>
    <x:row r="26">
      <x:c r="A26" s="182" t="str">
        <x:v>EEG-0016</x:v>
      </x:c>
      <x:c r="B26" s="183" t="str">
        <x:v>疾病/临床</x:v>
      </x:c>
      <x:c r="C26" s="183" t="str">
        <x:v>vEpiSet (Interictal Epileptiform Discharge EEG Dataset)</x:v>
      </x:c>
      <x:c r="D26" s="183" t="str">
        <x:v>计入</x:v>
      </x:c>
      <x:c r="E26" s="183" t="n">
        <x:v>84</x:v>
      </x:c>
      <x:c r="F26" s="183" t="n">
        <x:v>84</x:v>
      </x:c>
      <x:c r="G26" s="183" t="n">
        <x:v>28.241666666666667</x:v>
      </x:c>
      <x:c r="H26" s="183" t="str">
        <x:v>ACTUAL_DOWNLOADED_SCOPE_EXACT</x:v>
      </x:c>
      <x:c r="I26" s="184" t="str">
        <x:v>2026-07-31 文件级审计确认 EEG signal present</x:v>
      </x:c>
    </x:row>
    <x:row r="27">
      <x:c r="A27" s="45" t="str">
        <x:v>EEG-0017</x:v>
      </x:c>
      <x:c r="B27" s="81" t="str">
        <x:v>疾病/临床</x:v>
      </x:c>
      <x:c r="C27" s="81" t="str">
        <x:v>Intracranial entrainment reveals statistical learning across levels of abstraction</x:v>
      </x:c>
      <x:c r="D27" s="81" t="str">
        <x:v>计入</x:v>
      </x:c>
      <x:c r="E27" s="81" t="n">
        <x:v>8</x:v>
      </x:c>
      <x:c r="F27" s="81" t="n">
        <x:v>8</x:v>
      </x:c>
      <x:c r="G27" s="81" t="n">
        <x:v>1.2263498263888888</x:v>
      </x:c>
      <x:c r="H27" s="81" t="str">
        <x:v>ACTUAL_DOWNLOADED_SCOPE_EXACT</x:v>
      </x:c>
      <x:c r="I27" s="46" t="str">
        <x:v>2026-07-31 文件级审计确认 EEG signal present</x:v>
      </x:c>
    </x:row>
    <x:row r="28">
      <x:c r="A28" s="182" t="str">
        <x:v>EEG-0018</x:v>
      </x:c>
      <x:c r="B28" s="183" t="str">
        <x:v>疾病/临床</x:v>
      </x:c>
      <x:c r="C28" s="183" t="str">
        <x:v>Kaggle UPenn and Mayo Clinic Seizure Detection</x:v>
      </x:c>
      <x:c r="D28" s="183" t="str">
        <x:v>计入</x:v>
      </x:c>
      <x:c r="E28" s="183" t="n">
        <x:v>12</x:v>
      </x:c>
      <x:c r="F28" s="183" t="n">
        <x:v>12</x:v>
      </x:c>
      <x:c r="G28" s="183" t="n">
        <x:v>16.350194145529045</x:v>
      </x:c>
      <x:c r="H28" s="183" t="str">
        <x:v>ACTUAL_DOWNLOADED_SCOPE_EXACT</x:v>
      </x:c>
      <x:c r="I28" s="184" t="str">
        <x:v>2026-07-31 文件级审计确认 EEG signal present</x:v>
      </x:c>
    </x:row>
    <x:row r="29">
      <x:c r="A29" s="45" t="str">
        <x:v>EEG-0030</x:v>
      </x:c>
      <x:c r="B29" s="81" t="str">
        <x:v>疾病/临床</x:v>
      </x:c>
      <x:c r="C29" s="81" t="str">
        <x:v>OpenNeuro ds003029 Epilepsy iEEG Multicenter</x:v>
      </x:c>
      <x:c r="D29" s="81" t="str">
        <x:v>计入</x:v>
      </x:c>
      <x:c r="E29" s="81" t="n">
        <x:v>35</x:v>
      </x:c>
      <x:c r="F29" s="81" t="n">
        <x:v>35</x:v>
      </x:c>
      <x:c r="G29" s="81" t="n">
        <x:v>7.958339006721048</x:v>
      </x:c>
      <x:c r="H29" s="81" t="str">
        <x:v>ACTUAL_DOWNLOADED_SCOPE_EXACT</x:v>
      </x:c>
      <x:c r="I29" s="46" t="str">
        <x:v>2026-07-31 文件级审计确认 EEG signal present</x:v>
      </x:c>
    </x:row>
    <x:row r="30">
      <x:c r="A30" s="182" t="str">
        <x:v>EEG-0031</x:v>
      </x:c>
      <x:c r="B30" s="183" t="str">
        <x:v>疾病/临床</x:v>
      </x:c>
      <x:c r="C30" s="183" t="str">
        <x:v>SeizeIT2</x:v>
      </x:c>
      <x:c r="D30" s="183" t="str">
        <x:v>计入</x:v>
      </x:c>
      <x:c r="E30" s="183" t="n">
        <x:v>125</x:v>
      </x:c>
      <x:c r="F30" s="183" t="n">
        <x:v>125</x:v>
      </x:c>
      <x:c r="G30" s="183" t="n">
        <x:v>11626.24888888889</x:v>
      </x:c>
      <x:c r="H30" s="183" t="str">
        <x:v>ACTUAL_DOWNLOADED_SCOPE_EXACT</x:v>
      </x:c>
      <x:c r="I30" s="184" t="str">
        <x:v>2026-07-31 文件级审计确认 EEG signal present</x:v>
      </x:c>
    </x:row>
    <x:row r="31">
      <x:c r="A31" s="45" t="str">
        <x:v>EEG-0032</x:v>
      </x:c>
      <x:c r="B31" s="81" t="str">
        <x:v>疾病/临床</x:v>
      </x:c>
      <x:c r="C31" s="81" t="str">
        <x:v>Siena Scalp EEG</x:v>
      </x:c>
      <x:c r="D31" s="81" t="str">
        <x:v>计入</x:v>
      </x:c>
      <x:c r="E31" s="81" t="n">
        <x:v>14</x:v>
      </x:c>
      <x:c r="F31" s="81" t="n">
        <x:v>14</x:v>
      </x:c>
      <x:c r="G31" s="81" t="n">
        <x:v>141.02055555555555</x:v>
      </x:c>
      <x:c r="H31" s="81" t="str">
        <x:v>ACTUAL_DOWNLOADED_SCOPE_EXACT</x:v>
      </x:c>
      <x:c r="I31" s="46" t="str">
        <x:v>2026-07-31 文件级审计确认 EEG signal present</x:v>
      </x:c>
    </x:row>
    <x:row r="32">
      <x:c r="A32" s="185" t="str">
        <x:v>EEG-0033</x:v>
      </x:c>
      <x:c r="B32" s="186" t="str">
        <x:v>疾病/临床</x:v>
      </x:c>
      <x:c r="C32" s="186" t="str">
        <x:v>TUEP (TUH Epilepsy)</x:v>
      </x:c>
      <x:c r="D32" s="186" t="str">
        <x:v>排除/单列</x:v>
      </x:c>
      <x:c r="E32" s="186" t="n">
        <x:v>200</x:v>
      </x:c>
      <x:c r="F32" s="186" t="n">
        <x:v>200</x:v>
      </x:c>
      <x:c r="G32" s="186" t="n">
        <x:v>626.7663888888889</x:v>
      </x:c>
      <x:c r="H32" s="186" t="str">
        <x:v>ACTUAL_DOWNLOADED_SCOPE_EXACT</x:v>
      </x:c>
      <x:c r="I32" s="187" t="str">
        <x:v>已下载，但与 TUEG 父库重叠；总量不重复相加</x:v>
      </x:c>
    </x:row>
    <x:row r="33">
      <x:c r="A33" s="185" t="str">
        <x:v>EEG-0034</x:v>
      </x:c>
      <x:c r="B33" s="186" t="str">
        <x:v>疾病/临床</x:v>
      </x:c>
      <x:c r="C33" s="186" t="str">
        <x:v>TUEV (TUH Events)</x:v>
      </x:c>
      <x:c r="D33" s="186" t="str">
        <x:v>排除/单列</x:v>
      </x:c>
      <x:c r="E33" s="186" t="n">
        <x:v>370</x:v>
      </x:c>
      <x:c r="F33" s="186" t="n">
        <x:v>370</x:v>
      </x:c>
      <x:c r="G33" s="186" t="n">
        <x:v>148.7447222222222</x:v>
      </x:c>
      <x:c r="H33" s="186" t="str">
        <x:v>ACTUAL_DOWNLOADED_SCOPE_EXACT</x:v>
      </x:c>
      <x:c r="I33" s="187" t="str">
        <x:v>已下载，但与 TUEG 父库重叠；总量不重复相加</x:v>
      </x:c>
    </x:row>
    <x:row r="34">
      <x:c r="A34" s="185" t="str">
        <x:v>EEG-0035</x:v>
      </x:c>
      <x:c r="B34" s="186" t="str">
        <x:v>疾病/临床</x:v>
      </x:c>
      <x:c r="C34" s="186" t="str">
        <x:v>TUSL (TUH Slowing)</x:v>
      </x:c>
      <x:c r="D34" s="186" t="str">
        <x:v>排除/单列</x:v>
      </x:c>
      <x:c r="E34" s="186" t="n">
        <x:v>38</x:v>
      </x:c>
      <x:c r="F34" s="186" t="n">
        <x:v>38</x:v>
      </x:c>
      <x:c r="G34" s="186" t="n">
        <x:v>27.59638888888889</x:v>
      </x:c>
      <x:c r="H34" s="186" t="str">
        <x:v>ACTUAL_DOWNLOADED_SCOPE_EXACT</x:v>
      </x:c>
      <x:c r="I34" s="187" t="str">
        <x:v>已下载，但与 TUEG 父库重叠；总量不重复相加</x:v>
      </x:c>
    </x:row>
    <x:row r="35">
      <x:c r="A35" s="185" t="str">
        <x:v>EEG-0036</x:v>
      </x:c>
      <x:c r="B35" s="186" t="str">
        <x:v>疾病/临床</x:v>
      </x:c>
      <x:c r="C35" s="186" t="str">
        <x:v>TUSZ (TUH Seizure)</x:v>
      </x:c>
      <x:c r="D35" s="186" t="str">
        <x:v>排除/单列</x:v>
      </x:c>
      <x:c r="E35" s="186" t="n">
        <x:v>675</x:v>
      </x:c>
      <x:c r="F35" s="186" t="n">
        <x:v>675</x:v>
      </x:c>
      <x:c r="G35" s="186" t="n">
        <x:v>1474.7872222222222</x:v>
      </x:c>
      <x:c r="H35" s="186" t="str">
        <x:v>ACTUAL_DOWNLOADED_SCOPE_EXACT</x:v>
      </x:c>
      <x:c r="I35" s="187" t="str">
        <x:v>已下载，但与 TUEG 父库重叠；总量不重复相加</x:v>
      </x:c>
    </x:row>
    <x:row r="36">
      <x:c r="A36" s="182" t="str">
        <x:v>EEG-0039</x:v>
      </x:c>
      <x:c r="B36" s="183" t="str">
        <x:v>疾病/临床</x:v>
      </x:c>
      <x:c r="C36" s="183" t="str">
        <x:v>AD-Auditory</x:v>
      </x:c>
      <x:c r="D36" s="183" t="str">
        <x:v>计入</x:v>
      </x:c>
      <x:c r="E36" s="183" t="n">
        <x:v>35</x:v>
      </x:c>
      <x:c r="F36" s="183" t="n">
        <x:v>35</x:v>
      </x:c>
      <x:c r="G36" s="183" t="n">
        <x:v>5.2027777777777775</x:v>
      </x:c>
      <x:c r="H36" s="183" t="str">
        <x:v>ACTUAL_DOWNLOADED_SCOPE_EXACT</x:v>
      </x:c>
      <x:c r="I36" s="184" t="str">
        <x:v>2026-07-31 文件级审计确认 EEG signal present</x:v>
      </x:c>
    </x:row>
    <x:row r="37">
      <x:c r="A37" s="45" t="str">
        <x:v>EEG-0040</x:v>
      </x:c>
      <x:c r="B37" s="81" t="str">
        <x:v>疾病/临床</x:v>
      </x:c>
      <x:c r="C37" s="81" t="str">
        <x:v>AD65 (Alzheimer/FTD)</x:v>
      </x:c>
      <x:c r="D37" s="81" t="str">
        <x:v>计入</x:v>
      </x:c>
      <x:c r="E37" s="81" t="n">
        <x:v>88</x:v>
      </x:c>
      <x:c r="F37" s="81" t="n">
        <x:v>88</x:v>
      </x:c>
      <x:c r="G37" s="81" t="n">
        <x:v>39.00595000000006</x:v>
      </x:c>
      <x:c r="H37" s="81" t="str">
        <x:v>ACTUAL_DOWNLOADED_SCOPE_EXACT</x:v>
      </x:c>
      <x:c r="I37" s="46" t="str">
        <x:v>2026-07-31 文件级审计确认 EEG signal present</x:v>
      </x:c>
    </x:row>
    <x:row r="38">
      <x:c r="A38" s="182" t="str">
        <x:v>EEG-0041</x:v>
      </x:c>
      <x:c r="B38" s="183" t="str">
        <x:v>疾病/临床</x:v>
      </x:c>
      <x:c r="C38" s="183" t="str">
        <x:v>Alzheimer Risk Classification Sample-enrichment EEG</x:v>
      </x:c>
      <x:c r="D38" s="183" t="str">
        <x:v>计入</x:v>
      </x:c>
      <x:c r="E38" s="183" t="n">
        <x:v>138</x:v>
      </x:c>
      <x:c r="F38" s="183" t="n">
        <x:v>138</x:v>
      </x:c>
      <x:c r="G38" s="183" t="n">
        <x:v>3.9115555555555552</x:v>
      </x:c>
      <x:c r="H38" s="183" t="str">
        <x:v>ACTUAL_DOWNLOADED_SCOPE_EXACT</x:v>
      </x:c>
      <x:c r="I38" s="184" t="str">
        <x:v>2026-07-31 文件级审计确认 EEG signal present</x:v>
      </x:c>
    </x:row>
    <x:row r="39">
      <x:c r="A39" s="45" t="str">
        <x:v>EEG-0042</x:v>
      </x:c>
      <x:c r="B39" s="81" t="str">
        <x:v>疾病/临床</x:v>
      </x:c>
      <x:c r="C39" s="81" t="str">
        <x:v>APAVA</x:v>
      </x:c>
      <x:c r="D39" s="81" t="str">
        <x:v>计入</x:v>
      </x:c>
      <x:c r="E39" s="81" t="n">
        <x:v>23</x:v>
      </x:c>
      <x:c r="F39" s="81" t="n">
        <x:v>23</x:v>
      </x:c>
      <x:c r="G39" s="81" t="n">
        <x:v>0.9208333333333333</x:v>
      </x:c>
      <x:c r="H39" s="81" t="str">
        <x:v>ACTUAL_DOWNLOADED_SCOPE_EXACT</x:v>
      </x:c>
      <x:c r="I39" s="46" t="str">
        <x:v>2026-07-31 文件级审计确认 EEG signal present</x:v>
      </x:c>
    </x:row>
    <x:row r="40">
      <x:c r="A40" s="182" t="str">
        <x:v>EEG-0044</x:v>
      </x:c>
      <x:c r="B40" s="183" t="str">
        <x:v>疾病/临床</x:v>
      </x:c>
      <x:c r="C40" s="183" t="str">
        <x:v>Dementia Photo-stimulation Open-eyes EEG</x:v>
      </x:c>
      <x:c r="D40" s="183" t="str">
        <x:v>计入</x:v>
      </x:c>
      <x:c r="E40" s="183" t="n">
        <x:v>88</x:v>
      </x:c>
      <x:c r="F40" s="183" t="n">
        <x:v>88</x:v>
      </x:c>
      <x:c r="G40" s="183" t="n">
        <x:v>14.963480000000004</x:v>
      </x:c>
      <x:c r="H40" s="183" t="str">
        <x:v>ACTUAL_DOWNLOADED_SCOPE_EXACT</x:v>
      </x:c>
      <x:c r="I40" s="184" t="str">
        <x:v>2026-07-31 文件级审计确认 EEG signal present</x:v>
      </x:c>
    </x:row>
    <x:row r="41">
      <x:c r="A41" s="45" t="str">
        <x:v>EEG-0045</x:v>
      </x:c>
      <x:c r="B41" s="81" t="str">
        <x:v>疾病/临床</x:v>
      </x:c>
      <x:c r="C41" s="81" t="str">
        <x:v>EEG p-adic quantum potential accurately identifies depression, schizophrenia and cognitive decline</x:v>
      </x:c>
      <x:c r="D41" s="81" t="str">
        <x:v>计入</x:v>
      </x:c>
      <x:c r="E41" s="81" t="n">
        <x:v>230</x:v>
      </x:c>
      <x:c r="F41" s="81" t="n">
        <x:v>230</x:v>
      </x:c>
      <x:c r="G41" s="81" t="n">
        <x:v>84.29973722222223</x:v>
      </x:c>
      <x:c r="H41" s="81" t="str">
        <x:v>ACTUAL_DOWNLOADED_SCOPE_EXACT</x:v>
      </x:c>
      <x:c r="I41" s="46" t="str">
        <x:v>2026-07-31 文件级审计确认 EEG signal present</x:v>
      </x:c>
    </x:row>
    <x:row r="42">
      <x:c r="A42" s="182" t="str">
        <x:v>EEG-0047</x:v>
      </x:c>
      <x:c r="B42" s="183" t="str">
        <x:v>疾病/临床</x:v>
      </x:c>
      <x:c r="C42" s="183" t="str">
        <x:v>Resting-state high-density EEG using EGI GES 300 for healthy elders, SCD, MCI and Alzheimer's disease</x:v>
      </x:c>
      <x:c r="D42" s="183" t="str">
        <x:v>计入</x:v>
      </x:c>
      <x:c r="E42" s="183" t="n">
        <x:v>230</x:v>
      </x:c>
      <x:c r="F42" s="183" t="n">
        <x:v>4</x:v>
      </x:c>
      <x:c r="G42" s="183" t="n">
        <x:v>1.5</x:v>
      </x:c>
      <x:c r="H42" s="183" t="str">
        <x:v>ACTUAL_DOWNLOADED_SCOPE_EXACT</x:v>
      </x:c>
      <x:c r="I42" s="184" t="str">
        <x:v>2026-07-31 文件级审计确认 EEG signal present</x:v>
      </x:c>
    </x:row>
    <x:row r="43">
      <x:c r="A43" s="45" t="str">
        <x:v>EEG-0048</x:v>
      </x:c>
      <x:c r="B43" s="81" t="str">
        <x:v>疾病/临床</x:v>
      </x:c>
      <x:c r="C43" s="81" t="str">
        <x:v>Adult ADHD EEG</x:v>
      </x:c>
      <x:c r="D43" s="81" t="str">
        <x:v>计入</x:v>
      </x:c>
      <x:c r="E43" s="81" t="n">
        <x:v>79</x:v>
      </x:c>
      <x:c r="F43" s="81" t="n">
        <x:v>79</x:v>
      </x:c>
      <x:c r="G43" s="81" t="n">
        <x:v>7.111111111111111</x:v>
      </x:c>
      <x:c r="H43" s="81" t="str">
        <x:v>ACTUAL_DOWNLOADED_SCOPE_EXACT</x:v>
      </x:c>
      <x:c r="I43" s="46" t="str">
        <x:v>2026-07-31 文件级审计确认 EEG signal present</x:v>
      </x:c>
    </x:row>
    <x:row r="44">
      <x:c r="A44" s="185" t="str">
        <x:v>EEG-0050</x:v>
      </x:c>
      <x:c r="B44" s="186" t="str">
        <x:v>疾病/临床</x:v>
      </x:c>
      <x:c r="C44" s="186" t="str">
        <x:v>Autism Detection Dataset</x:v>
      </x:c>
      <x:c r="D44" s="186" t="str">
        <x:v>排除/单列</x:v>
      </x:c>
      <x:c r="E44" s="186" t="n">
        <x:v>75</x:v>
      </x:c>
      <x:c r="F44" s="186"/>
      <x:c r="G44" s="186"/>
      <x:c r="H44" s="186" t="str">
        <x:v>NO_EEG_SIGNAL_IN_DOWNLOAD</x:v>
      </x:c>
      <x:c r="I44" s="187" t="str">
        <x:v>已下载内容未发现 EEG 信号；从 raw EEG 总量排除</x:v>
      </x:c>
    </x:row>
    <x:row r="45">
      <x:c r="A45" s="45" t="str">
        <x:v>EEG-0052</x:v>
      </x:c>
      <x:c r="B45" s="81" t="str">
        <x:v>疾病/临床</x:v>
      </x:c>
      <x:c r="C45" s="81" t="str">
        <x:v>Depression resting (BDI)</x:v>
      </x:c>
      <x:c r="D45" s="81" t="str">
        <x:v>计入</x:v>
      </x:c>
      <x:c r="E45" s="81" t="n">
        <x:v>122</x:v>
      </x:c>
      <x:c r="F45" s="81" t="n">
        <x:v>122</x:v>
      </x:c>
      <x:c r="G45" s="81" t="n">
        <x:v>23.359657777777795</x:v>
      </x:c>
      <x:c r="H45" s="81" t="str">
        <x:v>ACTUAL_DOWNLOADED_SCOPE_EXACT</x:v>
      </x:c>
      <x:c r="I45" s="46" t="str">
        <x:v>2026-07-31 文件级审计确认 EEG signal present</x:v>
      </x:c>
    </x:row>
    <x:row r="46">
      <x:c r="A46" s="182" t="str">
        <x:v>EEG-0054</x:v>
      </x:c>
      <x:c r="B46" s="183" t="str">
        <x:v>疾病/临床</x:v>
      </x:c>
      <x:c r="C46" s="183" t="str">
        <x:v>EEG in schizophrenia</x:v>
      </x:c>
      <x:c r="D46" s="183" t="str">
        <x:v>计入</x:v>
      </x:c>
      <x:c r="E46" s="183" t="n">
        <x:v>28</x:v>
      </x:c>
      <x:c r="F46" s="183"/>
      <x:c r="G46" s="183" t="n">
        <x:v>8.0175</x:v>
      </x:c>
      <x:c r="H46" s="183" t="str">
        <x:v>ACTUAL_DOWNLOADED_SCOPE_EXACT</x:v>
      </x:c>
      <x:c r="I46" s="184" t="str">
        <x:v>2026-07-31 文件级审计确认 EEG signal present</x:v>
      </x:c>
    </x:row>
    <x:row r="47">
      <x:c r="A47" s="45" t="str">
        <x:v>EEG-0055</x:v>
      </x:c>
      <x:c r="B47" s="81" t="str">
        <x:v>疾病/临床</x:v>
      </x:c>
      <x:c r="C47" s="81" t="str">
        <x:v>FEPCR</x:v>
      </x:c>
      <x:c r="D47" s="81" t="str">
        <x:v>计入</x:v>
      </x:c>
      <x:c r="E47" s="81" t="n">
        <x:v>82</x:v>
      </x:c>
      <x:c r="F47" s="81" t="n">
        <x:v>82</x:v>
      </x:c>
      <x:c r="G47" s="81" t="n">
        <x:v>12.265277302055557</x:v>
      </x:c>
      <x:c r="H47" s="81" t="str">
        <x:v>ACTUAL_DOWNLOADED_SCOPE_EXACT</x:v>
      </x:c>
      <x:c r="I47" s="46" t="str">
        <x:v>2026-07-31 文件级审计确认 EEG signal present</x:v>
      </x:c>
    </x:row>
    <x:row r="48">
      <x:c r="A48" s="182" t="str">
        <x:v>EEG-0056</x:v>
      </x:c>
      <x:c r="B48" s="183" t="str">
        <x:v>疾病/临床</x:v>
      </x:c>
      <x:c r="C48" s="183" t="str">
        <x:v>Fribourg Ultimatum Game in Schizophrenia Study</x:v>
      </x:c>
      <x:c r="D48" s="183" t="str">
        <x:v>计入</x:v>
      </x:c>
      <x:c r="E48" s="183" t="n">
        <x:v>43</x:v>
      </x:c>
      <x:c r="F48" s="183" t="n">
        <x:v>43</x:v>
      </x:c>
      <x:c r="G48" s="183" t="n">
        <x:v>12.056666666666667</x:v>
      </x:c>
      <x:c r="H48" s="183" t="str">
        <x:v>ACTUAL_DOWNLOADED_SCOPE_PARTIAL</x:v>
      </x:c>
      <x:c r="I48" s="184" t="str">
        <x:v>2026-07-31 文件级审计确认 EEG signal present</x:v>
      </x:c>
    </x:row>
    <x:row r="49">
      <x:c r="A49" s="45" t="str">
        <x:v>EEG-0057</x:v>
      </x:c>
      <x:c r="B49" s="81" t="str">
        <x:v>疾病/临床</x:v>
      </x:c>
      <x:c r="C49" s="81" t="str">
        <x:v>MDD (Mumtaz)</x:v>
      </x:c>
      <x:c r="D49" s="81" t="str">
        <x:v>计入</x:v>
      </x:c>
      <x:c r="E49" s="81" t="n">
        <x:v>64</x:v>
      </x:c>
      <x:c r="F49" s="81"/>
      <x:c r="G49" s="81" t="n">
        <x:v>20.555833333333332</x:v>
      </x:c>
      <x:c r="H49" s="81" t="str">
        <x:v>ACTUAL_DOWNLOADED_SCOPE_EXACT</x:v>
      </x:c>
      <x:c r="I49" s="46" t="str">
        <x:v>2026-07-31 文件级审计确认 EEG signal present</x:v>
      </x:c>
    </x:row>
    <x:row r="50">
      <x:c r="A50" s="182" t="str">
        <x:v>EEG-0059</x:v>
      </x:c>
      <x:c r="B50" s="183" t="str">
        <x:v>疾病/临床</x:v>
      </x:c>
      <x:c r="C50" s="183" t="str">
        <x:v>Power Spectral Density-Based Resting-State EEG Classification of First-Episode Psychosis</x:v>
      </x:c>
      <x:c r="D50" s="183" t="str">
        <x:v>计入</x:v>
      </x:c>
      <x:c r="E50" s="183" t="n">
        <x:v>72</x:v>
      </x:c>
      <x:c r="F50" s="183" t="n">
        <x:v>72</x:v>
      </x:c>
      <x:c r="G50" s="183" t="n">
        <x:v>6.05</x:v>
      </x:c>
      <x:c r="H50" s="183" t="str">
        <x:v>ACTUAL_DOWNLOADED_SCOPE_EXACT</x:v>
      </x:c>
      <x:c r="I50" s="184" t="str">
        <x:v>2026-07-31 文件级审计确认 EEG signal present</x:v>
      </x:c>
    </x:row>
    <x:row r="51">
      <x:c r="A51" s="45" t="str">
        <x:v>EEG-0060</x:v>
      </x:c>
      <x:c r="B51" s="81" t="str">
        <x:v>疾病/临床</x:v>
      </x:c>
      <x:c r="C51" s="81" t="str">
        <x:v>Schizophrenia-81</x:v>
      </x:c>
      <x:c r="D51" s="81" t="str">
        <x:v>计入</x:v>
      </x:c>
      <x:c r="E51" s="81" t="n">
        <x:v>81</x:v>
      </x:c>
      <x:c r="F51" s="81" t="n">
        <x:v>81</x:v>
      </x:c>
      <x:c r="G51" s="81" t="n">
        <x:v>9.605833333333333</x:v>
      </x:c>
      <x:c r="H51" s="81" t="str">
        <x:v>ACTUAL_DOWNLOADED_SCOPE_EXACT</x:v>
      </x:c>
      <x:c r="I51" s="46" t="str">
        <x:v>2026-07-31 文件级审计确认 EEG signal present</x:v>
      </x:c>
    </x:row>
    <x:row r="52">
      <x:c r="A52" s="182" t="str">
        <x:v>EEG-0061</x:v>
      </x:c>
      <x:c r="B52" s="183" t="str">
        <x:v>疾病/临床</x:v>
      </x:c>
      <x:c r="C52" s="183" t="str">
        <x:v>TDBRAIN</x:v>
      </x:c>
      <x:c r="D52" s="183" t="str">
        <x:v>计入</x:v>
      </x:c>
      <x:c r="E52" s="183" t="n">
        <x:v>1464</x:v>
      </x:c>
      <x:c r="F52" s="183" t="n">
        <x:v>1464</x:v>
      </x:c>
      <x:c r="G52" s="183" t="n">
        <x:v>120.51638888888888</x:v>
      </x:c>
      <x:c r="H52" s="183" t="str">
        <x:v>ACTUAL_DOWNLOADED_SCOPE_EXACT</x:v>
      </x:c>
      <x:c r="I52" s="184" t="str">
        <x:v>2026-07-31 文件级审计确认 EEG signal present</x:v>
      </x:c>
    </x:row>
    <x:row r="53">
      <x:c r="A53" s="45" t="str">
        <x:v>EEG-0062</x:v>
      </x:c>
      <x:c r="B53" s="81" t="str">
        <x:v>疾病/临床</x:v>
      </x:c>
      <x:c r="C53" s="81" t="str">
        <x:v>Acute Mild TBI DPX Cognitive-control EEG</x:v>
      </x:c>
      <x:c r="D53" s="81" t="str">
        <x:v>计入</x:v>
      </x:c>
      <x:c r="E53" s="81" t="n">
        <x:v>91</x:v>
      </x:c>
      <x:c r="F53" s="81" t="n">
        <x:v>91</x:v>
      </x:c>
      <x:c r="G53" s="81" t="n">
        <x:v>124.27265277777778</x:v>
      </x:c>
      <x:c r="H53" s="81" t="str">
        <x:v>ACTUAL_DOWNLOADED_SCOPE_PARTIAL</x:v>
      </x:c>
      <x:c r="I53" s="46" t="str">
        <x:v>2026-07-31 文件级审计确认 EEG signal present</x:v>
      </x:c>
    </x:row>
    <x:row r="54">
      <x:c r="A54" s="182" t="str">
        <x:v>EEG-0063</x:v>
      </x:c>
      <x:c r="B54" s="183" t="str">
        <x:v>疾病/临床</x:v>
      </x:c>
      <x:c r="C54" s="183" t="str">
        <x:v>Clinical BCI Challenge WCCI 2020 (Stroke Motor Attempt)</x:v>
      </x:c>
      <x:c r="D54" s="183" t="str">
        <x:v>计入</x:v>
      </x:c>
      <x:c r="E54" s="183" t="n">
        <x:v>50</x:v>
      </x:c>
      <x:c r="F54" s="183" t="n">
        <x:v>10</x:v>
      </x:c>
      <x:c r="G54" s="183" t="n">
        <x:v>2.6666666666666665</x:v>
      </x:c>
      <x:c r="H54" s="183" t="str">
        <x:v>ACTUAL_DOWNLOADED_SCOPE_EXACT</x:v>
      </x:c>
      <x:c r="I54" s="184" t="str">
        <x:v>2026-07-31 文件级审计确认 EEG signal present</x:v>
      </x:c>
    </x:row>
    <x:row r="55">
      <x:c r="A55" s="45" t="str">
        <x:v>EEG-0064</x:v>
      </x:c>
      <x:c r="B55" s="81" t="str">
        <x:v>疾病/临床</x:v>
      </x:c>
      <x:c r="C55" s="81" t="str">
        <x:v>bigP3BCI</x:v>
      </x:c>
      <x:c r="D55" s="81" t="str">
        <x:v>计入</x:v>
      </x:c>
      <x:c r="E55" s="81" t="n">
        <x:v>178</x:v>
      </x:c>
      <x:c r="F55" s="81"/>
      <x:c r="G55" s="81" t="n">
        <x:v>267.14497044443334</x:v>
      </x:c>
      <x:c r="H55" s="81" t="str">
        <x:v>ACTUAL_DOWNLOADED_SCOPE_EXACT</x:v>
      </x:c>
      <x:c r="I55" s="46" t="str">
        <x:v>2026-07-31 文件级审计确认 EEG signal present</x:v>
      </x:c>
    </x:row>
    <x:row r="56">
      <x:c r="A56" s="182" t="str">
        <x:v>EEG-0065</x:v>
      </x:c>
      <x:c r="B56" s="183" t="str">
        <x:v>疾病/临床</x:v>
      </x:c>
      <x:c r="C56" s="183" t="str">
        <x:v>ALS-Spelling (EEG-ET)</x:v>
      </x:c>
      <x:c r="D56" s="183" t="str">
        <x:v>计入</x:v>
      </x:c>
      <x:c r="E56" s="183" t="n">
        <x:v>178</x:v>
      </x:c>
      <x:c r="F56" s="183"/>
      <x:c r="G56" s="183" t="n">
        <x:v>66.32305555555556</x:v>
      </x:c>
      <x:c r="H56" s="183" t="str">
        <x:v>ACTUAL_DOWNLOADED_SCOPE_EXACT</x:v>
      </x:c>
      <x:c r="I56" s="184" t="str">
        <x:v>2026-07-31 文件级审计确认 EEG signal present</x:v>
      </x:c>
    </x:row>
    <x:row r="57">
      <x:c r="A57" s="45" t="str">
        <x:v>EEG-0070</x:v>
      </x:c>
      <x:c r="B57" s="81" t="str">
        <x:v>疾病/临床</x:v>
      </x:c>
      <x:c r="C57" s="81" t="str">
        <x:v>BNCI 006-2014 (SCP training in stroke)</x:v>
      </x:c>
      <x:c r="D57" s="81" t="str">
        <x:v>计入</x:v>
      </x:c>
      <x:c r="E57" s="81" t="n">
        <x:v>2</x:v>
      </x:c>
      <x:c r="F57" s="81" t="n">
        <x:v>2</x:v>
      </x:c>
      <x:c r="G57" s="81" t="n">
        <x:v>21.875555555555554</x:v>
      </x:c>
      <x:c r="H57" s="81" t="str">
        <x:v>ACTUAL_DOWNLOADED_SCOPE_EXACT</x:v>
      </x:c>
      <x:c r="I57" s="46" t="str">
        <x:v>2026-07-31 文件级审计确认 EEG signal present</x:v>
      </x:c>
    </x:row>
    <x:row r="58">
      <x:c r="A58" s="182" t="str">
        <x:v>EEG-0071</x:v>
      </x:c>
      <x:c r="B58" s="183" t="str">
        <x:v>疾病/临床</x:v>
      </x:c>
      <x:c r="C58" s="183" t="str">
        <x:v>BNCI 008-2014 (P300 speller, ALS)</x:v>
      </x:c>
      <x:c r="D58" s="183" t="str">
        <x:v>计入</x:v>
      </x:c>
      <x:c r="E58" s="183" t="n">
        <x:v>8</x:v>
      </x:c>
      <x:c r="F58" s="183" t="n">
        <x:v>8</x:v>
      </x:c>
      <x:c r="G58" s="183" t="n">
        <x:v>3.018263888888889</x:v>
      </x:c>
      <x:c r="H58" s="183" t="str">
        <x:v>ACTUAL_DOWNLOADED_SCOPE_EXACT</x:v>
      </x:c>
      <x:c r="I58" s="184" t="str">
        <x:v>2026-07-31 文件级审计确认 EEG signal present</x:v>
      </x:c>
    </x:row>
    <x:row r="59">
      <x:c r="A59" s="45" t="str">
        <x:v>EEG-0074</x:v>
      </x:c>
      <x:c r="B59" s="81" t="str">
        <x:v>疾病/临床</x:v>
      </x:c>
      <x:c r="C59" s="81" t="str">
        <x:v>CCEP ECoG Dataset across age 4-51</x:v>
      </x:c>
      <x:c r="D59" s="81" t="str">
        <x:v>计入</x:v>
      </x:c>
      <x:c r="E59" s="81" t="n">
        <x:v>74</x:v>
      </x:c>
      <x:c r="F59" s="81" t="n">
        <x:v>74</x:v>
      </x:c>
      <x:c r="G59" s="81" t="n">
        <x:v>89.39102118458145</x:v>
      </x:c>
      <x:c r="H59" s="81" t="str">
        <x:v>ACTUAL_DOWNLOADED_SCOPE_EXACT</x:v>
      </x:c>
      <x:c r="I59" s="46" t="str">
        <x:v>2026-07-31 文件级审计确认 EEG signal present</x:v>
      </x:c>
    </x:row>
    <x:row r="60">
      <x:c r="A60" s="182" t="str">
        <x:v>EEG-0075</x:v>
      </x:c>
      <x:c r="B60" s="183" t="str">
        <x:v>疾病/临床</x:v>
      </x:c>
      <x:c r="C60" s="183" t="str">
        <x:v>Dataset of electrophysiological signals (EEG, ECG, EMG) during Music therapy with adult burn patients in the Intensive Care Unit.</x:v>
      </x:c>
      <x:c r="D60" s="183" t="str">
        <x:v>计入</x:v>
      </x:c>
      <x:c r="E60" s="183" t="n">
        <x:v>9</x:v>
      </x:c>
      <x:c r="F60" s="183" t="n">
        <x:v>9</x:v>
      </x:c>
      <x:c r="G60" s="183" t="n">
        <x:v>10.940555555555555</x:v>
      </x:c>
      <x:c r="H60" s="183" t="str">
        <x:v>ACTUAL_DOWNLOADED_SCOPE_PARTIAL</x:v>
      </x:c>
      <x:c r="I60" s="184" t="str">
        <x:v>2026-07-31 文件级审计确认 EEG signal present</x:v>
      </x:c>
    </x:row>
    <x:row r="61">
      <x:c r="A61" s="45" t="str">
        <x:v>EEG-0078</x:v>
      </x:c>
      <x:c r="B61" s="81" t="str">
        <x:v>疾病/临床</x:v>
      </x:c>
      <x:c r="C61" s="81" t="str">
        <x:v>EEG: 3-Stim Auditory Oddball and Rest in Parkinson’s</x:v>
      </x:c>
      <x:c r="D61" s="81" t="str">
        <x:v>计入</x:v>
      </x:c>
      <x:c r="E61" s="81" t="n">
        <x:v>50</x:v>
      </x:c>
      <x:c r="F61" s="81" t="n">
        <x:v>50</x:v>
      </x:c>
      <x:c r="G61" s="81" t="n">
        <x:v>12.759916666666669</x:v>
      </x:c>
      <x:c r="H61" s="81" t="str">
        <x:v>ACTUAL_DOWNLOADED_SCOPE_EXACT</x:v>
      </x:c>
      <x:c r="I61" s="46" t="str">
        <x:v>2026-07-31 文件级审计确认 EEG signal present</x:v>
      </x:c>
    </x:row>
    <x:row r="62">
      <x:c r="A62" s="182" t="str">
        <x:v>EEG-0079</x:v>
      </x:c>
      <x:c r="B62" s="183" t="str">
        <x:v>疾病/临床</x:v>
      </x:c>
      <x:c r="C62" s="183" t="str">
        <x:v>EEG: Reinforcement Learning in Parkinson’s</x:v>
      </x:c>
      <x:c r="D62" s="183" t="str">
        <x:v>计入</x:v>
      </x:c>
      <x:c r="E62" s="183" t="n">
        <x:v>56</x:v>
      </x:c>
      <x:c r="F62" s="183" t="n">
        <x:v>56</x:v>
      </x:c>
      <x:c r="G62" s="183" t="n">
        <x:v>35.38127777777776</x:v>
      </x:c>
      <x:c r="H62" s="183" t="str">
        <x:v>ACTUAL_DOWNLOADED_SCOPE_EXACT</x:v>
      </x:c>
      <x:c r="I62" s="184" t="str">
        <x:v>2026-07-31 文件级审计确认 EEG signal present</x:v>
      </x:c>
    </x:row>
    <x:row r="63">
      <x:c r="A63" s="45" t="str">
        <x:v>EEG-0080</x:v>
      </x:c>
      <x:c r="B63" s="81" t="str">
        <x:v>疾病/临床</x:v>
      </x:c>
      <x:c r="C63" s="81" t="str">
        <x:v>EEG: Simon Conflict in Parkinson's</x:v>
      </x:c>
      <x:c r="D63" s="81" t="str">
        <x:v>计入</x:v>
      </x:c>
      <x:c r="E63" s="81" t="n">
        <x:v>56</x:v>
      </x:c>
      <x:c r="F63" s="81" t="n">
        <x:v>56</x:v>
      </x:c>
      <x:c r="G63" s="81" t="n">
        <x:v>48.53486111111113</x:v>
      </x:c>
      <x:c r="H63" s="81" t="str">
        <x:v>ACTUAL_DOWNLOADED_SCOPE_EXACT</x:v>
      </x:c>
      <x:c r="I63" s="46" t="str">
        <x:v>2026-07-31 文件级审计确认 EEG signal present</x:v>
      </x:c>
    </x:row>
    <x:row r="64">
      <x:c r="A64" s="182" t="str">
        <x:v>EEG-0081</x:v>
      </x:c>
      <x:c r="B64" s="183" t="str">
        <x:v>疾病/临床</x:v>
      </x:c>
      <x:c r="C64" s="183" t="str">
        <x:v>EEG: Three-Stim Auditory Oddball and Rest in Acute and Chronic TBI</x:v>
      </x:c>
      <x:c r="D64" s="183" t="str">
        <x:v>计入</x:v>
      </x:c>
      <x:c r="E64" s="183" t="n">
        <x:v>96</x:v>
      </x:c>
      <x:c r="F64" s="183" t="n">
        <x:v>91</x:v>
      </x:c>
      <x:c r="G64" s="183" t="n">
        <x:v>140.79954166666658</x:v>
      </x:c>
      <x:c r="H64" s="183" t="str">
        <x:v>ACTUAL_DOWNLOADED_SCOPE_PARTIAL</x:v>
      </x:c>
      <x:c r="I64" s="184" t="str">
        <x:v>2026-07-31 文件级审计确认 EEG signal present</x:v>
      </x:c>
    </x:row>
    <x:row r="65">
      <x:c r="A65" s="45" t="str">
        <x:v>EEG-0082</x:v>
      </x:c>
      <x:c r="B65" s="81" t="str">
        <x:v>健康/人群</x:v>
      </x:c>
      <x:c r="C65" s="81" t="str">
        <x:v>Human Spinal-cord Somatosensory Evoked Potentials EEG</x:v>
      </x:c>
      <x:c r="D65" s="81" t="str">
        <x:v>计入</x:v>
      </x:c>
      <x:c r="E65" s="81" t="n">
        <x:v>40</x:v>
      </x:c>
      <x:c r="F65" s="81" t="n">
        <x:v>40</x:v>
      </x:c>
      <x:c r="G65" s="81" t="n">
        <x:v>43.48990400000004</x:v>
      </x:c>
      <x:c r="H65" s="81" t="str">
        <x:v>ACTUAL_DOWNLOADED_SCOPE_EXACT</x:v>
      </x:c>
      <x:c r="I65" s="46" t="str">
        <x:v>2026-07-31 文件级审计确认 EEG signal present</x:v>
      </x:c>
    </x:row>
    <x:row r="66">
      <x:c r="A66" s="182" t="str">
        <x:v>EEG-0083</x:v>
      </x:c>
      <x:c r="B66" s="183" t="str">
        <x:v>疾病/临床</x:v>
      </x:c>
      <x:c r="C66" s="183" t="str">
        <x:v>Intraoperative Medianus-tibialis Stimulation EEG</x:v>
      </x:c>
      <x:c r="D66" s="183" t="str">
        <x:v>计入</x:v>
      </x:c>
      <x:c r="E66" s="183" t="n">
        <x:v>18</x:v>
      </x:c>
      <x:c r="F66" s="183" t="n">
        <x:v>18</x:v>
      </x:c>
      <x:c r="G66" s="183" t="n">
        <x:v>11.763055555555555</x:v>
      </x:c>
      <x:c r="H66" s="183" t="str">
        <x:v>ACTUAL_DOWNLOADED_SCOPE_EXACT</x:v>
      </x:c>
      <x:c r="I66" s="184" t="str">
        <x:v>2026-07-31 文件级审计确认 EEG signal present</x:v>
      </x:c>
    </x:row>
    <x:row r="67">
      <x:c r="A67" s="45" t="str">
        <x:v>EEG-0084</x:v>
      </x:c>
      <x:c r="B67" s="81" t="str">
        <x:v>疾病/临床</x:v>
      </x:c>
      <x:c r="C67" s="81" t="str">
        <x:v>Liu2024</x:v>
      </x:c>
      <x:c r="D67" s="81" t="str">
        <x:v>计入</x:v>
      </x:c>
      <x:c r="E67" s="81" t="n">
        <x:v>50</x:v>
      </x:c>
      <x:c r="F67" s="81" t="n">
        <x:v>50</x:v>
      </x:c>
      <x:c r="G67" s="81" t="n">
        <x:v>4.444444444444445</x:v>
      </x:c>
      <x:c r="H67" s="81" t="str">
        <x:v>ACTUAL_DOWNLOADED_SCOPE_PARTIAL</x:v>
      </x:c>
      <x:c r="I67" s="46" t="str">
        <x:v>2026-07-31 文件级审计确认 EEG signal present</x:v>
      </x:c>
    </x:row>
    <x:row r="68">
      <x:c r="A68" s="182" t="str">
        <x:v>EEG-0085</x:v>
      </x:c>
      <x:c r="B68" s="183" t="str">
        <x:v>疾病/临床</x:v>
      </x:c>
      <x:c r="C68" s="183" t="str">
        <x:v>Lower-Limb-MI (stroke)</x:v>
      </x:c>
      <x:c r="D68" s="183" t="str">
        <x:v>计入</x:v>
      </x:c>
      <x:c r="E68" s="183" t="n">
        <x:v>27</x:v>
      </x:c>
      <x:c r="F68" s="183" t="n">
        <x:v>27</x:v>
      </x:c>
      <x:c r="G68" s="183" t="n">
        <x:v>33.448055555555555</x:v>
      </x:c>
      <x:c r="H68" s="183" t="str">
        <x:v>ACTUAL_DOWNLOADED_SCOPE_EXACT</x:v>
      </x:c>
      <x:c r="I68" s="184" t="str">
        <x:v>2026-07-31 文件级审计确认 EEG signal present</x:v>
      </x:c>
    </x:row>
    <x:row r="69">
      <x:c r="A69" s="45" t="str">
        <x:v>EEG-0087</x:v>
      </x:c>
      <x:c r="B69" s="81" t="str">
        <x:v>疾病/临床</x:v>
      </x:c>
      <x:c r="C69" s="81" t="str">
        <x:v>Ultra High-Density EEG of Interictal Migraine and Controls</x:v>
      </x:c>
      <x:c r="D69" s="81" t="str">
        <x:v>计入</x:v>
      </x:c>
      <x:c r="E69" s="81" t="n">
        <x:v>39</x:v>
      </x:c>
      <x:c r="F69" s="81" t="n">
        <x:v>39</x:v>
      </x:c>
      <x:c r="G69" s="81" t="n">
        <x:v>21.232222222222223</x:v>
      </x:c>
      <x:c r="H69" s="81" t="str">
        <x:v>ACTUAL_DOWNLOADED_SCOPE_PARTIAL</x:v>
      </x:c>
      <x:c r="I69" s="46" t="str">
        <x:v>2026-07-31 文件级审计确认 EEG signal present</x:v>
      </x:c>
    </x:row>
    <x:row r="70">
      <x:c r="A70" s="182" t="str">
        <x:v>EEG-0089</x:v>
      </x:c>
      <x:c r="B70" s="183" t="str">
        <x:v>疾病/临床</x:v>
      </x:c>
      <x:c r="C70" s="183" t="str">
        <x:v>Mu and Beta Oscillatory Changes during a motor task following Rehabilitation in Chronic MCA Stroke: Insights from EEG</x:v>
      </x:c>
      <x:c r="D70" s="183" t="str">
        <x:v>计入</x:v>
      </x:c>
      <x:c r="E70" s="183" t="n">
        <x:v>17</x:v>
      </x:c>
      <x:c r="F70" s="183"/>
      <x:c r="G70" s="183" t="n">
        <x:v>12.290877777777778</x:v>
      </x:c>
      <x:c r="H70" s="183" t="str">
        <x:v>ACTUAL_DOWNLOADED_SCOPE_PARTIAL</x:v>
      </x:c>
      <x:c r="I70" s="184" t="str">
        <x:v>2026-07-31 文件级审计确认 EEG signal present</x:v>
      </x:c>
    </x:row>
    <x:row r="71">
      <x:c r="A71" s="45" t="str">
        <x:v>EEG-0092</x:v>
      </x:c>
      <x:c r="B71" s="81" t="str">
        <x:v>疾病/临床</x:v>
      </x:c>
      <x:c r="C71" s="81" t="str">
        <x:v>PD-EEG Resting-State &amp; Walking EEG</x:v>
      </x:c>
      <x:c r="D71" s="81" t="str">
        <x:v>计入</x:v>
      </x:c>
      <x:c r="E71" s="81" t="n">
        <x:v>144</x:v>
      </x:c>
      <x:c r="F71" s="81" t="n">
        <x:v>144</x:v>
      </x:c>
      <x:c r="G71" s="81" t="n">
        <x:v>19.488683333333334</x:v>
      </x:c>
      <x:c r="H71" s="81" t="str">
        <x:v>ACTUAL_DOWNLOADED_SCOPE_EXACT</x:v>
      </x:c>
      <x:c r="I71" s="46" t="str">
        <x:v>2026-07-31 文件级审计确认 EEG signal present</x:v>
      </x:c>
    </x:row>
    <x:row r="72">
      <x:c r="A72" s="182" t="str">
        <x:v>EEG-0094</x:v>
      </x:c>
      <x:c r="B72" s="183" t="str">
        <x:v>疾病/临床</x:v>
      </x:c>
      <x:c r="C72" s="183" t="str">
        <x:v>PD31 (Parkinson)</x:v>
      </x:c>
      <x:c r="D72" s="183" t="str">
        <x:v>计入</x:v>
      </x:c>
      <x:c r="E72" s="183" t="n">
        <x:v>31</x:v>
      </x:c>
      <x:c r="F72" s="183" t="n">
        <x:v>31</x:v>
      </x:c>
      <x:c r="G72" s="183" t="n">
        <x:v>2.517777777777778</x:v>
      </x:c>
      <x:c r="H72" s="183" t="str">
        <x:v>ACTUAL_DOWNLOADED_SCOPE_EXACT</x:v>
      </x:c>
      <x:c r="I72" s="184" t="str">
        <x:v>2026-07-31 文件级审计确认 EEG signal present</x:v>
      </x:c>
    </x:row>
    <x:row r="73">
      <x:c r="A73" s="45" t="str">
        <x:v>EEG-0098</x:v>
      </x:c>
      <x:c r="B73" s="81" t="str">
        <x:v>疾病/临床</x:v>
      </x:c>
      <x:c r="C73" s="81" t="str">
        <x:v>Tinnitus Acoustic Therapy EEG Database</x:v>
      </x:c>
      <x:c r="D73" s="81" t="str">
        <x:v>计入</x:v>
      </x:c>
      <x:c r="E73" s="81" t="n">
        <x:v>89</x:v>
      </x:c>
      <x:c r="F73" s="81" t="n">
        <x:v>14</x:v>
      </x:c>
      <x:c r="G73" s="81" t="n">
        <x:v>8.41</x:v>
      </x:c>
      <x:c r="H73" s="81" t="str">
        <x:v>ACTUAL_DOWNLOADED_SCOPE_PARTIAL</x:v>
      </x:c>
      <x:c r="I73" s="46" t="str">
        <x:v>2026-07-31 文件级审计确认 EEG signal present</x:v>
      </x:c>
    </x:row>
    <x:row r="74">
      <x:c r="A74" s="182" t="str">
        <x:v>EEG-0100</x:v>
      </x:c>
      <x:c r="B74" s="183" t="str">
        <x:v>疾病/临床</x:v>
      </x:c>
      <x:c r="C74" s="183" t="str">
        <x:v>UNMDataset</x:v>
      </x:c>
      <x:c r="D74" s="183" t="str">
        <x:v>计入</x:v>
      </x:c>
      <x:c r="E74" s="183" t="n">
        <x:v>28</x:v>
      </x:c>
      <x:c r="F74" s="183"/>
      <x:c r="G74" s="183" t="n">
        <x:v>1.4660000000000002</x:v>
      </x:c>
      <x:c r="H74" s="183" t="str">
        <x:v>ACTUAL_DOWNLOADED_SCOPE_PARTIAL</x:v>
      </x:c>
      <x:c r="I74" s="184" t="str">
        <x:v>2026-07-31 文件级审计确认 EEG signal present</x:v>
      </x:c>
    </x:row>
    <x:row r="75">
      <x:c r="A75" s="185" t="str">
        <x:v>EEG-0107</x:v>
      </x:c>
      <x:c r="B75" s="186" t="str">
        <x:v>疾病/临床</x:v>
      </x:c>
      <x:c r="C75" s="186" t="str">
        <x:v>TUAB (TUH Abnormal)</x:v>
      </x:c>
      <x:c r="D75" s="186" t="str">
        <x:v>排除/单列</x:v>
      </x:c>
      <x:c r="E75" s="186" t="n">
        <x:v>2329</x:v>
      </x:c>
      <x:c r="F75" s="186" t="n">
        <x:v>2329</x:v>
      </x:c>
      <x:c r="G75" s="186" t="n">
        <x:v>1141.0022222222221</x:v>
      </x:c>
      <x:c r="H75" s="186" t="str">
        <x:v>ACTUAL_DOWNLOADED_SCOPE_EXACT</x:v>
      </x:c>
      <x:c r="I75" s="187" t="str">
        <x:v>已下载，但与 TUEG 父库重叠；总量不重复相加</x:v>
      </x:c>
    </x:row>
    <x:row r="76">
      <x:c r="A76" s="182" t="str">
        <x:v>EEG-0520</x:v>
      </x:c>
      <x:c r="B76" s="183" t="str">
        <x:v>健康/人群</x:v>
      </x:c>
      <x:c r="C76" s="183" t="str">
        <x:v>Infant First-year Resting EEG Dataset</x:v>
      </x:c>
      <x:c r="D76" s="183" t="str">
        <x:v>计入</x:v>
      </x:c>
      <x:c r="E76" s="183" t="n">
        <x:v>103</x:v>
      </x:c>
      <x:c r="F76" s="183" t="n">
        <x:v>103</x:v>
      </x:c>
      <x:c r="G76" s="183" t="n">
        <x:v>22.83888888888889</x:v>
      </x:c>
      <x:c r="H76" s="183" t="str">
        <x:v>ACTUAL_DOWNLOADED_SCOPE_EXACT</x:v>
      </x:c>
      <x:c r="I76" s="184" t="str">
        <x:v>2026-07-31 文件级审计确认 EEG signal present</x:v>
      </x:c>
    </x:row>
    <x:row r="77">
      <x:c r="A77" s="45" t="str">
        <x:v>EEG-0521</x:v>
      </x:c>
      <x:c r="B77" s="81" t="str">
        <x:v>健康/人群</x:v>
      </x:c>
      <x:c r="C77" s="81" t="str">
        <x:v>Mind in Motion Older Adults Walking EEG</x:v>
      </x:c>
      <x:c r="D77" s="81" t="str">
        <x:v>计入</x:v>
      </x:c>
      <x:c r="E77" s="81" t="n">
        <x:v>71</x:v>
      </x:c>
      <x:c r="F77" s="81" t="n">
        <x:v>71</x:v>
      </x:c>
      <x:c r="G77" s="81" t="n">
        <x:v>61.09685944444434</x:v>
      </x:c>
      <x:c r="H77" s="81" t="str">
        <x:v>ACTUAL_DOWNLOADED_SCOPE_EXACT</x:v>
      </x:c>
      <x:c r="I77" s="46" t="str">
        <x:v>2026-07-31 文件级审计确认 EEG signal present</x:v>
      </x:c>
    </x:row>
    <x:row r="78">
      <x:c r="A78" s="182" t="str">
        <x:v>EEG-0522</x:v>
      </x:c>
      <x:c r="B78" s="183" t="str">
        <x:v>健康/人群</x:v>
      </x:c>
      <x:c r="C78" s="183" t="str">
        <x:v>MIPDB</x:v>
      </x:c>
      <x:c r="D78" s="183" t="str">
        <x:v>计入</x:v>
      </x:c>
      <x:c r="E78" s="183" t="n">
        <x:v>118</x:v>
      </x:c>
      <x:c r="F78" s="183" t="n">
        <x:v>118</x:v>
      </x:c>
      <x:c r="G78" s="183" t="n">
        <x:v>104.0500522222222</x:v>
      </x:c>
      <x:c r="H78" s="183" t="str">
        <x:v>ACTUAL_DOWNLOADED_SCOPE_EXACT</x:v>
      </x:c>
      <x:c r="I78" s="184" t="str">
        <x:v>2026-07-31 文件级审计确认 EEG signal present</x:v>
      </x:c>
    </x:row>
    <x:row r="79">
      <x:c r="A79" s="45" t="str">
        <x:v>EEG-0523</x:v>
      </x:c>
      <x:c r="B79" s="81" t="str">
        <x:v>疾病/临床</x:v>
      </x:c>
      <x:c r="C79" s="81" t="str">
        <x:v>SFARI_EEG multi-paradigm dataset</x:v>
      </x:c>
      <x:c r="D79" s="81" t="str">
        <x:v>计入</x:v>
      </x:c>
      <x:c r="E79" s="81" t="n">
        <x:v>136</x:v>
      </x:c>
      <x:c r="F79" s="81" t="n">
        <x:v>136</x:v>
      </x:c>
      <x:c r="G79" s="81" t="n">
        <x:v>229.42268934461805</x:v>
      </x:c>
      <x:c r="H79" s="81" t="str">
        <x:v>ACTUAL_DOWNLOADED_SCOPE_EXACT</x:v>
      </x:c>
      <x:c r="I79" s="46" t="str">
        <x:v>2026-07-31 文件级审计确认 EEG signal present</x:v>
      </x:c>
    </x:row>
    <x:row r="80">
      <x:c r="A80" s="188" t="str">
        <x:v>EEG-0582</x:v>
      </x:c>
      <x:c r="B80" s="189" t="str">
        <x:v>疾病/临床</x:v>
      </x:c>
      <x:c r="C80" s="189" t="str">
        <x:v>TUEG (TUH EEG Corpus)</x:v>
      </x:c>
      <x:c r="D80" s="189" t="str">
        <x:v>计入</x:v>
      </x:c>
      <x:c r="E80" s="189" t="n">
        <x:v>14987</x:v>
      </x:c>
      <x:c r="F80" s="189"/>
      <x:c r="G80" s="189" t="n">
        <x:v>27077.3</x:v>
      </x:c>
      <x:c r="H80" s="189" t="str">
        <x:v>未核验</x:v>
      </x:c>
      <x:c r="I80" s="190" t="str">
        <x:v>TUEG v2.0.2 下载成功；人数/时长采用发布统计口径</x:v>
      </x:c>
    </x:row>
  </x:sheetData>
  <x:mergeCells>
    <x:mergeCell ref="A1:H1"/>
  </x:mergeCells>
  <x:pageMargins left="0.7" right="0.7" top="0.75" bottom="0.75" header="0.3" footer="0.3"/>
  <x:tableParts count="1">
    <x:tablePart xmlns:r="http://schemas.openxmlformats.org/officeDocument/2006/relationships" r:id="R6c0d1edfd3b143f2"/>
  </x:tableParts>
</x:worksheet>
</file>

<file path=xl/worksheets/sheet13.xml><?xml version="1.0" encoding="utf-8"?>
<x:worksheet xmlns:x="http://schemas.openxmlformats.org/spreadsheetml/2006/main">
  <x:sheetFormatPr defaultRowHeight="15"/>
  <x:cols>
    <x:col min="1" max="1" width="29" hidden="0" customWidth="1"/>
    <x:col min="2" max="2" width="65" hidden="0" customWidth="1"/>
    <x:col min="3" max="3" width="82" hidden="0" customWidth="1"/>
  </x:cols>
  <x:sheetData>
    <x:row r="1" ht="32" customHeight="1">
      <x:c r="A1" s="149" t="str">
        <x:v>来源</x:v>
      </x:c>
      <x:c r="B1" s="150" t="str">
        <x:v>URL</x:v>
      </x:c>
      <x:c r="C1" s="151" t="str">
        <x:v>支持的结论</x:v>
      </x:c>
    </x:row>
    <x:row r="2">
      <x:c r="A2" s="152" t="str">
        <x:v>EEG-Bench paper</x:v>
      </x:c>
      <x:c r="B2" s="191" t="str">
        <x:v>https://arxiv.org/abs/2512.08959</x:v>
      </x:c>
      <x:c r="C2" s="154" t="str">
        <x:v>14 个临床 EEG 基准的 subjects/recordings/total length；用于新增 4 个未收录任务。</x:v>
      </x:c>
    </x:row>
    <x:row r="3">
      <x:c r="A3" s="45" t="str">
        <x:v>EEG-Bench repository</x:v>
      </x:c>
      <x:c r="B3" s="192" t="str">
        <x:v>https://github.com/ETH-DISCO/EEG-Bench</x:v>
      </x:c>
      <x:c r="C3" s="46" t="str">
        <x:v>访问与可复现接口；仓库不是原始数据所有者。</x:v>
      </x:c>
    </x:row>
    <x:row r="4">
      <x:c r="A4" s="51" t="str">
        <x:v>Albrecht2019 data card</x:v>
      </x:c>
      <x:c r="B4" s="193" t="str">
        <x:v>https://huggingface.co/datasets/jalauer/Albrecht2019</x:v>
      </x:c>
      <x:c r="C4" s="156" t="str">
        <x:v>78 participants, 64 channels, 1000 Hz, PDDL。</x:v>
      </x:c>
    </x:row>
    <x:row r="5">
      <x:c r="A5" s="45" t="str">
        <x:v>Gruendler2009 data card</x:v>
      </x:c>
      <x:c r="B5" s="192" t="str">
        <x:v>https://huggingface.co/datasets/jalauer/Gruendler2009</x:v>
      </x:c>
      <x:c r="C5" s="46" t="str">
        <x:v>46 undergraduates；OCI-R 高低分，不是确诊 OCD。</x:v>
      </x:c>
    </x:row>
    <x:row r="6">
      <x:c r="A6" s="51" t="str">
        <x:v>Singh2020 data card</x:v>
      </x:c>
      <x:c r="B6" s="193" t="str">
        <x:v>https://huggingface.co/datasets/jalauer/Singh2020</x:v>
      </x:c>
      <x:c r="C6" s="156" t="str">
        <x:v>39 participants, 64 channels, 500 Hz。</x:v>
      </x:c>
    </x:row>
    <x:row r="7">
      <x:c r="A7" s="45" t="str">
        <x:v>Singh2021 data card</x:v>
      </x:c>
      <x:c r="B7" s="192" t="str">
        <x:v>https://huggingface.co/datasets/jalauer/Singh2021</x:v>
      </x:c>
      <x:c r="C7" s="46" t="str">
        <x:v>83 PD + 37 controls；129 recordings。</x:v>
      </x:c>
    </x:row>
    <x:row r="8">
      <x:c r="A8" s="51" t="str">
        <x:v>HCHS/SOL official</x:v>
      </x:c>
      <x:c r="B8" s="193" t="str">
        <x:v>https://sleepdata.org/datasets/hchs/pages/polysomnography-introduction.md</x:v>
      </x:c>
      <x:c r="C8" s="156" t="str">
        <x:v>12,088 raw PSG/EEG participants。</x:v>
      </x:c>
    </x:row>
    <x:row r="9">
      <x:c r="A9" s="45" t="str">
        <x:v>HAASSA official</x:v>
      </x:c>
      <x:c r="B9" s="192" t="str">
        <x:v>https://sleepdata.org/datasets/haassa/pages/polysomnography-introduction.md</x:v>
      </x:c>
      <x:c r="C9" s="46" t="str">
        <x:v>717 raw PSG subjects。</x:v>
      </x:c>
    </x:row>
    <x:row r="10">
      <x:c r="A10" s="51" t="str">
        <x:v>ApoE official</x:v>
      </x:c>
      <x:c r="B10" s="193" t="str">
        <x:v>https://sleepdata.org/datasets/apoe</x:v>
      </x:c>
      <x:c r="C10" s="156" t="str">
        <x:v>712 EDF/EEG subjects, EEG 256 Hz。</x:v>
      </x:c>
    </x:row>
    <x:row r="11">
      <x:c r="A11" s="45" t="str">
        <x:v>nuMoM2b official</x:v>
      </x:c>
      <x:c r="B11" s="192" t="str">
        <x:v>https://sleepdata.org/datasets/numom2b/pages/polysomnography-introduction.md</x:v>
      </x:c>
      <x:c r="C11" s="46" t="str">
        <x:v>Visit 1 3,009；Visit 3 2,332 repeated follow-up。</x:v>
      </x:c>
    </x:row>
    <x:row r="12">
      <x:c r="A12" s="51" t="str">
        <x:v>MNC official</x:v>
      </x:c>
      <x:c r="B12" s="193" t="str">
        <x:v>https://sleepdata.org/datasets/mnc</x:v>
      </x:c>
      <x:c r="C12" s="156" t="str">
        <x:v>约 3,000 normal/abnormal sleep records。</x:v>
      </x:c>
    </x:row>
    <x:row r="13">
      <x:c r="A13" s="45" t="str">
        <x:v>CPS official</x:v>
      </x:c>
      <x:c r="B13" s="192" t="str">
        <x:v>https://physionet.org/content/cps-dataset-sleep/1.0.0/</x:v>
      </x:c>
      <x:c r="C13" s="46" t="str">
        <x:v>113 clinical PSG；raw EEG channels；credentialed access。</x:v>
      </x:c>
    </x:row>
    <x:row r="14">
      <x:c r="A14" s="51" t="str">
        <x:v>LOFT-HF official</x:v>
      </x:c>
      <x:c r="B14" s="193" t="str">
        <x:v>https://sleepdata.org/datasets/lofthf/pages/README.md</x:v>
      </x:c>
      <x:c r="C14" s="156" t="str">
        <x:v>161 baseline PSG participants + 31 follow-up。</x:v>
      </x:c>
    </x:row>
    <x:row r="15">
      <x:c r="A15" s="45" t="str">
        <x:v>MESA official</x:v>
      </x:c>
      <x:c r="B15" s="192" t="str">
        <x:v>https://sleepdata.org/datasets/mesa/pages/polysomnography-introduction.md</x:v>
      </x:c>
      <x:c r="C15" s="46" t="str">
        <x:v>2,056 raw PSG participants。</x:v>
      </x:c>
    </x:row>
    <x:row r="16">
      <x:c r="A16" s="51" t="str">
        <x:v>SHHS official</x:v>
      </x:c>
      <x:c r="B16" s="193" t="str">
        <x:v>https://sleepdata.org/datasets/shhs/pages/05-polysomnography-introduction.md</x:v>
      </x:c>
      <x:c r="C16" s="156" t="str">
        <x:v>5,793 Visit 1 + 2,651 Visit 2。</x:v>
      </x:c>
    </x:row>
    <x:row r="17">
      <x:c r="A17" s="45" t="str">
        <x:v>MrOS official</x:v>
      </x:c>
      <x:c r="B17" s="192" t="str">
        <x:v>https://sleepdata.org/datasets/mros/pages/polysomnography-introduction.md</x:v>
      </x:c>
      <x:c r="C17" s="46" t="str">
        <x:v>2,907 Visit 1 + 1,026 Visit 2。</x:v>
      </x:c>
    </x:row>
    <x:row r="18">
      <x:c r="A18" s="51" t="str">
        <x:v>HomePAP official</x:v>
      </x:c>
      <x:c r="B18" s="193" t="str">
        <x:v>https://sleepdata.org/datasets/homepap/pages/polysomnography-introduction.md</x:v>
      </x:c>
      <x:c r="C18" s="156" t="str">
        <x:v>343 raw PSG participants。</x:v>
      </x:c>
    </x:row>
    <x:row r="19">
      <x:c r="A19" s="45" t="str">
        <x:v>bigP3BCI official</x:v>
      </x:c>
      <x:c r="B19" s="192" t="str">
        <x:v>https://physionet.org/content/bigp3bci/1.0.0/</x:v>
      </x:c>
      <x:c r="C19" s="46" t="str">
        <x:v>20 studies；研究内 participant entries 与全局唯一人数须区分。</x:v>
      </x:c>
    </x:row>
    <x:row r="20">
      <x:c r="A20" s="52" t="str">
        <x:v>WHO depression</x:v>
      </x:c>
      <x:c r="B20" s="194" t="str">
        <x:v>https://www.who.int/news-room/fact-sheets/detail/depression</x:v>
      </x:c>
      <x:c r="C20" s="158" t="str">
        <x:v>抑郁是常见精神障碍；归疾病/临床，但普通情绪诱发任务不等同抑郁。</x:v>
      </x:c>
    </x:row>
  </x:sheetData>
  <x:pageMargins left="0.7" right="0.7" top="0.75" bottom="0.75" header="0.3" footer="0.3"/>
  <x:tableParts count="1">
    <x:tablePart xmlns:r="http://schemas.openxmlformats.org/officeDocument/2006/relationships" r:id="R0e01bc5db97f4419"/>
  </x:tableParts>
</x:worksheet>
</file>

<file path=xl/worksheets/sheet14.xml><?xml version="1.0" encoding="utf-8"?>
<x:worksheet xmlns:x="http://schemas.openxmlformats.org/spreadsheetml/2006/main">
  <x:sheetFormatPr defaultRowHeight="15"/>
  <x:cols>
    <x:col min="1" max="1" width="13" hidden="0" customWidth="1"/>
    <x:col min="2" max="2" width="18" hidden="0" customWidth="1"/>
    <x:col min="3" max="3" width="29" hidden="0" customWidth="1"/>
    <x:col min="4" max="4" width="37" hidden="0" customWidth="1"/>
    <x:col min="5" max="5" width="45" hidden="0" customWidth="1"/>
    <x:col min="6" max="6" width="34" hidden="0" customWidth="1"/>
    <x:col min="7" max="7" width="17" hidden="0" customWidth="1"/>
    <x:col min="8" max="8" width="20" hidden="0" customWidth="1"/>
    <x:col min="9" max="9" width="22" hidden="0" customWidth="1"/>
    <x:col min="10" max="10" width="23" hidden="0" customWidth="1"/>
    <x:col min="11" max="11" width="26" hidden="0" customWidth="1"/>
    <x:col min="12" max="12" width="11" hidden="0" customWidth="1"/>
    <x:col min="13" max="13" width="16" hidden="0" customWidth="1"/>
    <x:col min="14" max="14" width="52" hidden="0" customWidth="1"/>
    <x:col min="15" max="15" width="24" hidden="0" customWidth="1"/>
    <x:col min="16" max="16" width="44" hidden="0" customWidth="1"/>
    <x:col min="17" max="17" width="35" hidden="0" customWidth="1"/>
    <x:col min="18" max="18" width="10" hidden="0" customWidth="1"/>
  </x:cols>
  <x:sheetData>
    <x:row r="1" ht="32" customHeight="1">
      <x:c r="A1" s="293" t="str">
        <x:v>ID</x:v>
      </x:c>
      <x:c r="B1" s="294" t="str">
        <x:v>队列属性</x:v>
      </x:c>
      <x:c r="C1" s="294" t="str">
        <x:v>二级分类</x:v>
      </x:c>
      <x:c r="D1" s="294" t="str">
        <x:v>数据集</x:v>
      </x:c>
      <x:c r="E1" s="294" t="str">
        <x:v>任务</x:v>
      </x:c>
      <x:c r="F1" s="294" t="str">
        <x:v>受试者口径</x:v>
      </x:c>
      <x:c r="G1" s="294" t="str">
        <x:v>受试者数</x:v>
      </x:c>
      <x:c r="H1" s="294" t="str">
        <x:v>当前 raw EEG 时长(h)</x:v>
      </x:c>
      <x:c r="I1" s="294" t="str">
        <x:v>文献/最佳可用时长(h)</x:v>
      </x:c>
      <x:c r="J1" s="294" t="str">
        <x:v>服务器状态</x:v>
      </x:c>
      <x:c r="K1" s="294" t="str">
        <x:v>下载决策</x:v>
      </x:c>
      <x:c r="L1" s="294" t="str">
        <x:v>优先级</x:v>
      </x:c>
      <x:c r="M1" s="294" t="str">
        <x:v>实体大小(GB)</x:v>
      </x:c>
      <x:c r="N1" s="294" t="str">
        <x:v>下一步</x:v>
      </x:c>
      <x:c r="O1" s="294" t="str">
        <x:v>访问</x:v>
      </x:c>
      <x:c r="P1" s="294" t="str">
        <x:v>入口</x:v>
      </x:c>
      <x:c r="Q1" s="294" t="str">
        <x:v>稳定标识</x:v>
      </x:c>
      <x:c r="R1" s="295" t="str">
        <x:v>新增</x:v>
      </x:c>
    </x:row>
    <x:row r="2">
      <x:c r="A2" s="305" t="str">
        <x:v>EEG-0005</x:v>
      </x:c>
      <x:c r="B2" s="306" t="str">
        <x:v>疾病/临床</x:v>
      </x:c>
      <x:c r="C2" s="306" t="str">
        <x:v>Epilepsy_and_Abnormalities</x:v>
      </x:c>
      <x:c r="D2" s="306" t="str">
        <x:v>A dataset of neonatal EEG recordings with seizure annotations</x:v>
      </x:c>
      <x:c r="E2" s="306" t="str">
        <x:v>seizure annotation；neonatal seizure annotation / seizure detection</x:v>
      </x:c>
      <x:c r="F2" s="306" t="str">
        <x:v>79</x:v>
      </x:c>
      <x:c r="G2" s="306" t="n">
        <x:v>79</x:v>
      </x:c>
      <x:c r="H2" s="306" t="n">
        <x:v>111.89583333333333</x:v>
      </x:c>
      <x:c r="I2" s="306" t="n">
        <x:v>111.89583333333333</x:v>
      </x:c>
      <x:c r="J2" s="306" t="str">
        <x:v>COMPLETED</x:v>
      </x:c>
      <x:c r="K2" s="306" t="str">
        <x:v>已下载·时长已审计</x:v>
      </x:c>
      <x:c r="L2" s="306" t="str">
        <x:v>完成</x:v>
      </x:c>
      <x:c r="M2" s="306"/>
      <x:c r="N2" s="306" t="str">
        <x:v>无需下载；保持服务器校验记录。</x:v>
      </x:c>
      <x:c r="O2" s="306" t="str">
        <x:v>DOWNLOAD_PUBLIC</x:v>
      </x:c>
      <x:c r="P2" s="306" t="str">
        <x:v>https://zenodo.org/records/4940267</x:v>
      </x:c>
      <x:c r="Q2" s="306" t="str">
        <x:v>Zenodo:4940267 | DOI:10.1038/sdata.2019.39 | Zenodo:2547147</x:v>
      </x:c>
      <x:c r="R2" s="307" t="str">
        <x:v>否</x:v>
      </x:c>
    </x:row>
    <x:row r="3">
      <x:c r="A3" s="226" t="str">
        <x:v>EEG-0006</x:v>
      </x:c>
      <x:c r="B3" s="259" t="str">
        <x:v>疾病/临床</x:v>
      </x:c>
      <x:c r="C3" s="259" t="str">
        <x:v>Epilepsy_and_Abnormalities</x:v>
      </x:c>
      <x:c r="D3" s="259" t="str">
        <x:v>American Epilepsy Society Seizure Prediction Challenge</x:v>
      </x:c>
      <x:c r="E3" s="259" t="str">
        <x:v>preictal vs interictal seizure prediction</x:v>
      </x:c>
      <x:c r="F3" s="259" t="str">
        <x:v>未给出</x:v>
      </x:c>
      <x:c r="G3" s="259" t="n">
        <x:v>7</x:v>
      </x:c>
      <x:c r="H3" s="259" t="n">
        <x:v>1333.6666666666667</x:v>
      </x:c>
      <x:c r="I3" s="259" t="n">
        <x:v>1333.6666666666667</x:v>
      </x:c>
      <x:c r="J3" s="259" t="str">
        <x:v>COMPLETED</x:v>
      </x:c>
      <x:c r="K3" s="259" t="str">
        <x:v>已下载·时长已审计</x:v>
      </x:c>
      <x:c r="L3" s="259" t="str">
        <x:v>完成</x:v>
      </x:c>
      <x:c r="M3" s="259"/>
      <x:c r="N3" s="259" t="str">
        <x:v>无需下载；保持服务器校验记录。</x:v>
      </x:c>
      <x:c r="O3" s="259" t="str">
        <x:v>DOWNLOAD_PUBLIC</x:v>
      </x:c>
      <x:c r="P3" s="259" t="str">
        <x:v>https://www.kaggle.com/c/seizure-prediction</x:v>
      </x:c>
      <x:c r="Q3" s="259"/>
      <x:c r="R3" s="215" t="str">
        <x:v>否</x:v>
      </x:c>
    </x:row>
    <x:row r="4">
      <x:c r="A4" s="308" t="str">
        <x:v>EEG-0007</x:v>
      </x:c>
      <x:c r="B4" s="309" t="str">
        <x:v>疾病/临床</x:v>
      </x:c>
      <x:c r="C4" s="309" t="str">
        <x:v>Epilepsy_and_Abnormalities</x:v>
      </x:c>
      <x:c r="D4" s="309" t="str">
        <x:v>BEED</x:v>
      </x:c>
      <x:c r="E4" s="309" t="str">
        <x:v>epileptic seizure / interictal EEG classification</x:v>
      </x:c>
      <x:c r="F4" s="309" t="str">
        <x:v>未给出</x:v>
      </x:c>
      <x:c r="G4" s="309" t="n">
        <x:v>80</x:v>
      </x:c>
      <x:c r="H4" s="309"/>
      <x:c r="I4" s="309" t="n">
        <x:v>88.88888888888889</x:v>
      </x:c>
      <x:c r="J4" s="309" t="str">
        <x:v>COMPLETED</x:v>
      </x:c>
      <x:c r="K4" s="309" t="str">
        <x:v>已下载·非独立 raw</x:v>
      </x:c>
      <x:c r="L4" s="309" t="str">
        <x:v>排除</x:v>
      </x:c>
      <x:c r="M4" s="309"/>
      <x:c r="N4" s="309" t="str">
        <x:v>仅有 processed features/protocol；不计入 raw EEG 主指标。</x:v>
      </x:c>
      <x:c r="O4" s="309" t="str">
        <x:v>DOWNLOAD_PUBLIC</x:v>
      </x:c>
      <x:c r="P4" s="309" t="str">
        <x:v>https://github.com/renan-cunha/BEED</x:v>
      </x:c>
      <x:c r="Q4" s="309"/>
      <x:c r="R4" s="310" t="str">
        <x:v>否</x:v>
      </x:c>
    </x:row>
    <x:row r="5">
      <x:c r="A5" s="226" t="str">
        <x:v>EEG-0008</x:v>
      </x:c>
      <x:c r="B5" s="259" t="str">
        <x:v>疾病/临床</x:v>
      </x:c>
      <x:c r="C5" s="259" t="str">
        <x:v>Epilepsy_and_Abnormalities</x:v>
      </x:c>
      <x:c r="D5" s="259" t="str">
        <x:v>Bonn EEG Seizure Dataset</x:v>
      </x:c>
      <x:c r="E5" s="259" t="str">
        <x:v>seizure vs non-seizure / epilepsy classification；Epileptic seizure classification</x:v>
      </x:c>
      <x:c r="F5" s="259" t="str">
        <x:v>未给出</x:v>
      </x:c>
      <x:c r="G5" s="259" t="n">
        <x:v>10</x:v>
      </x:c>
      <x:c r="H5" s="259" t="n">
        <x:v>3.277620976774251</x:v>
      </x:c>
      <x:c r="I5" s="259" t="n">
        <x:v>3.277620976774251</x:v>
      </x:c>
      <x:c r="J5" s="259" t="str">
        <x:v>COMPLETED</x:v>
      </x:c>
      <x:c r="K5" s="259" t="str">
        <x:v>已下载·时长已审计</x:v>
      </x:c>
      <x:c r="L5" s="259" t="str">
        <x:v>完成</x:v>
      </x:c>
      <x:c r="M5" s="259"/>
      <x:c r="N5" s="259" t="str">
        <x:v>无需下载；保持服务器校验记录。</x:v>
      </x:c>
      <x:c r="O5" s="259" t="str">
        <x:v>DOWNLOAD_PUBLIC</x:v>
      </x:c>
      <x:c r="P5" s="259" t="str">
        <x:v>https://www.ukbonn.de/epileptologie/arbeitsgruppen/ag-lehnertz-neurophysik/downloads/</x:v>
      </x:c>
      <x:c r="Q5" s="259"/>
      <x:c r="R5" s="215" t="str">
        <x:v>否</x:v>
      </x:c>
    </x:row>
    <x:row r="6">
      <x:c r="A6" s="308" t="str">
        <x:v>EEG-0009</x:v>
      </x:c>
      <x:c r="B6" s="309" t="str">
        <x:v>疾病/临床</x:v>
      </x:c>
      <x:c r="C6" s="309" t="str">
        <x:v>Epilepsy_and_Abnormalities</x:v>
      </x:c>
      <x:c r="D6" s="309" t="str">
        <x:v>CHB-MIT</x:v>
      </x:c>
      <x:c r="E6" s="309" t="str">
        <x:v>Seizure detection (binary); no seizure-type classification (dataset does not include seizure types)</x:v>
      </x:c>
      <x:c r="F6" s="309" t="str">
        <x:v>22 subjects (5M/17F; ages 1.5-22); 23 standard cases + chb24 (added Dec 2010)</x:v>
      </x:c>
      <x:c r="G6" s="309" t="n">
        <x:v>24</x:v>
      </x:c>
      <x:c r="H6" s="309" t="n">
        <x:v>982.9352777777777</x:v>
      </x:c>
      <x:c r="I6" s="309" t="n">
        <x:v>982.9352777777777</x:v>
      </x:c>
      <x:c r="J6" s="309" t="str">
        <x:v>COMPLETED</x:v>
      </x:c>
      <x:c r="K6" s="309" t="str">
        <x:v>已下载·时长已审计</x:v>
      </x:c>
      <x:c r="L6" s="309" t="str">
        <x:v>完成</x:v>
      </x:c>
      <x:c r="M6" s="309"/>
      <x:c r="N6" s="309" t="str">
        <x:v>无需下载；保持服务器校验记录。</x:v>
      </x:c>
      <x:c r="O6" s="309" t="str">
        <x:v>DOWNLOAD_PUBLIC</x:v>
      </x:c>
      <x:c r="P6" s="309" t="str">
        <x:v>https://physionet.org/content/chbmit/1.0.0/</x:v>
      </x:c>
      <x:c r="Q6" s="309" t="str">
        <x:v>PhysioNet:chbmit</x:v>
      </x:c>
      <x:c r="R6" s="310" t="str">
        <x:v>否</x:v>
      </x:c>
    </x:row>
    <x:row r="7">
      <x:c r="A7" s="226" t="str">
        <x:v>EEG-0010</x:v>
      </x:c>
      <x:c r="B7" s="259" t="str">
        <x:v>疾病/临床</x:v>
      </x:c>
      <x:c r="C7" s="259" t="str">
        <x:v>Epilepsy_and_Abnormalities</x:v>
      </x:c>
      <x:c r="D7" s="259" t="str">
        <x:v>Criteria for defining interictal epileptiform discharges in EEG: a clinical validation study</x:v>
      </x:c>
      <x:c r="E7" s="259" t="str">
        <x:v>EEG interictal epileptiform discharge</x:v>
      </x:c>
      <x:c r="F7" s="259" t="str">
        <x:v>100</x:v>
      </x:c>
      <x:c r="G7" s="259" t="n">
        <x:v>100</x:v>
      </x:c>
      <x:c r="H7" s="259" t="n">
        <x:v>0.35083333333333333</x:v>
      </x:c>
      <x:c r="I7" s="259" t="n">
        <x:v>0.35083333333333333</x:v>
      </x:c>
      <x:c r="J7" s="259" t="str">
        <x:v>COMPLETED</x:v>
      </x:c>
      <x:c r="K7" s="259" t="str">
        <x:v>已下载·时长已审计</x:v>
      </x:c>
      <x:c r="L7" s="259" t="str">
        <x:v>完成</x:v>
      </x:c>
      <x:c r="M7" s="259"/>
      <x:c r="N7" s="259" t="str">
        <x:v>无需下载；保持服务器校验记录。</x:v>
      </x:c>
      <x:c r="O7" s="259" t="str">
        <x:v>DOWNLOAD_PUBLIC</x:v>
      </x:c>
      <x:c r="P7" s="259" t="str">
        <x:v>https://zenodo.org/records/4688758</x:v>
      </x:c>
      <x:c r="Q7" s="259" t="str">
        <x:v>Zenodo:4688758 | DOI:10.1212/WNL.0000000000009439</x:v>
      </x:c>
      <x:c r="R7" s="215" t="str">
        <x:v>否</x:v>
      </x:c>
    </x:row>
    <x:row r="8">
      <x:c r="A8" s="308" t="str">
        <x:v>EEG-0011</x:v>
      </x:c>
      <x:c r="B8" s="309" t="str">
        <x:v>疾病/临床</x:v>
      </x:c>
      <x:c r="C8" s="309" t="str">
        <x:v>Epilepsy_and_Abnormalities</x:v>
      </x:c>
      <x:c r="D8" s="309" t="str">
        <x:v>EPILEPSIAE European Epilepsy Database</x:v>
      </x:c>
      <x:c r="E8" s="309" t="str">
        <x:v>seizure detection / prediction; long-term epilepsy monitoring</x:v>
      </x:c>
      <x:c r="F8" s="309" t="str">
        <x:v>未给出</x:v>
      </x:c>
      <x:c r="G8" s="309"/>
      <x:c r="H8" s="309"/>
      <x:c r="I8" s="309"/>
      <x:c r="J8" s="309" t="str">
        <x:v>MANUAL_APPLICATION_OR_LOGIN</x:v>
      </x:c>
      <x:c r="K8" s="309" t="str">
        <x:v>舍弃</x:v>
      </x:c>
      <x:c r="L8" s="309" t="str">
        <x:v>舍弃</x:v>
      </x:c>
      <x:c r="M8" s="309"/>
      <x:c r="N8" s="309" t="str">
        <x:v>舍弃下载：EPILEPSIAE 为付费/受限申请；保留目录证据，不进入本轮执行队列。</x:v>
      </x:c>
      <x:c r="O8" s="309" t="str">
        <x:v>DOWNLOAD_APPLICATION_REQUIRED</x:v>
      </x:c>
      <x:c r="P8" s="309" t="str">
        <x:v>https://www.epilepsiae.eu/</x:v>
      </x:c>
      <x:c r="Q8" s="309"/>
      <x:c r="R8" s="310" t="str">
        <x:v>否</x:v>
      </x:c>
    </x:row>
    <x:row r="9">
      <x:c r="A9" s="226" t="str">
        <x:v>EEG-0012</x:v>
      </x:c>
      <x:c r="B9" s="259" t="str">
        <x:v>疾病/临床</x:v>
      </x:c>
      <x:c r="C9" s="259" t="str">
        <x:v>Epilepsy_and_Abnormalities</x:v>
      </x:c>
      <x:c r="D9" s="259" t="str">
        <x:v>Harvard EEG Database</x:v>
      </x:c>
      <x:c r="E9" s="259" t="str">
        <x:v>large-scale clinical EEG for abnormality, epilepsy, encephalopathy, prognosis</x:v>
      </x:c>
      <x:c r="F9" s="259" t="str">
        <x:v>100,000+</x:v>
      </x:c>
      <x:c r="G9" s="259"/>
      <x:c r="H9" s="259"/>
      <x:c r="I9" s="259"/>
      <x:c r="J9" s="259" t="str">
        <x:v>MANUAL_APPLICATION_OR_LOGIN</x:v>
      </x:c>
      <x:c r="K9" s="259" t="str">
        <x:v>已申请·等待访问</x:v>
      </x:c>
      <x:c r="L9" s="259" t="str">
        <x:v>P2</x:v>
      </x:c>
      <x:c r="M9" s="259"/>
      <x:c r="N9" s="259" t="str">
        <x:v>已提交 BDSP credentialing/DUA；等待 Harvard EEG 权限。</x:v>
      </x:c>
      <x:c r="O9" s="259" t="str">
        <x:v>DOWNLOAD_APPLICATION_REQUIRED</x:v>
      </x:c>
      <x:c r="P9" s="259" t="str">
        <x:v>https://bdsp.io/content/harvard-eeg-db/</x:v>
      </x:c>
      <x:c r="Q9" s="259"/>
      <x:c r="R9" s="215" t="str">
        <x:v>否</x:v>
      </x:c>
    </x:row>
    <x:row r="10">
      <x:c r="A10" s="308" t="str">
        <x:v>EEG-0013</x:v>
      </x:c>
      <x:c r="B10" s="309" t="str">
        <x:v>疾病/临床</x:v>
      </x:c>
      <x:c r="C10" s="309" t="str">
        <x:v>Epilepsy_and_Abnormalities</x:v>
      </x:c>
      <x:c r="D10" s="309" t="str">
        <x:v>HFO (High-Frequency Oscillations)</x:v>
      </x:c>
      <x:c r="E10" s="309" t="str">
        <x:v>Scalp HFO (ripple) detection in pediatric epilepsy</x:v>
      </x:c>
      <x:c r="F10" s="309" t="str">
        <x:v>30</x:v>
      </x:c>
      <x:c r="G10" s="309" t="n">
        <x:v>30</x:v>
      </x:c>
      <x:c r="H10" s="309" t="n">
        <x:v>89.00694444444444</x:v>
      </x:c>
      <x:c r="I10" s="309" t="n">
        <x:v>89.00694444444444</x:v>
      </x:c>
      <x:c r="J10" s="309" t="str">
        <x:v>COMPLETED</x:v>
      </x:c>
      <x:c r="K10" s="309" t="str">
        <x:v>已下载·时长已审计</x:v>
      </x:c>
      <x:c r="L10" s="309" t="str">
        <x:v>完成</x:v>
      </x:c>
      <x:c r="M10" s="309"/>
      <x:c r="N10" s="309" t="str">
        <x:v>无需下载；保持服务器校验记录。</x:v>
      </x:c>
      <x:c r="O10" s="309" t="str">
        <x:v>DOWNLOAD_PUBLIC</x:v>
      </x:c>
      <x:c r="P10" s="309" t="str">
        <x:v>https://openneuro.org/datasets/ds003555</x:v>
      </x:c>
      <x:c r="Q10" s="309" t="str">
        <x:v>OpenNeuro:ds003555 | BNCI:256-2000</x:v>
      </x:c>
      <x:c r="R10" s="310" t="str">
        <x:v>否</x:v>
      </x:c>
    </x:row>
    <x:row r="11">
      <x:c r="A11" s="226" t="str">
        <x:v>EEG-0014</x:v>
      </x:c>
      <x:c r="B11" s="259" t="str">
        <x:v>疾病/临床</x:v>
      </x:c>
      <x:c r="C11" s="259" t="str">
        <x:v>Epilepsy_and_Abnormalities</x:v>
      </x:c>
      <x:c r="D11" s="259" t="str">
        <x:v>HMS Harmful Brain Activity Classification</x:v>
      </x:c>
      <x:c r="E11" s="259" t="str">
        <x:v>seizure / LPD / GPD / LRDA / GRDA / other</x:v>
      </x:c>
      <x:c r="F11" s="259" t="str">
        <x:v>1950</x:v>
      </x:c>
      <x:c r="G11" s="259" t="n">
        <x:v>1951</x:v>
      </x:c>
      <x:c r="H11" s="259" t="n">
        <x:v>390.16</x:v>
      </x:c>
      <x:c r="I11" s="259" t="n">
        <x:v>390.16</x:v>
      </x:c>
      <x:c r="J11" s="259" t="str">
        <x:v>COMPLETED</x:v>
      </x:c>
      <x:c r="K11" s="259" t="str">
        <x:v>已下载·时长已审计</x:v>
      </x:c>
      <x:c r="L11" s="259" t="str">
        <x:v>完成</x:v>
      </x:c>
      <x:c r="M11" s="259"/>
      <x:c r="N11" s="259" t="str">
        <x:v>无需下载；保持服务器校验记录。</x:v>
      </x:c>
      <x:c r="O11" s="259" t="str">
        <x:v>DOWNLOAD_APPLICATION_REQUIRED</x:v>
      </x:c>
      <x:c r="P11" s="259" t="str">
        <x:v>https://www.kaggle.com/competitions/hms-harmful-brain-activity-classification/data</x:v>
      </x:c>
      <x:c r="Q11" s="259"/>
      <x:c r="R11" s="215" t="str">
        <x:v>否</x:v>
      </x:c>
    </x:row>
    <x:row r="12">
      <x:c r="A12" s="308" t="str">
        <x:v>EEG-0015</x:v>
      </x:c>
      <x:c r="B12" s="309" t="str">
        <x:v>疾病/临床</x:v>
      </x:c>
      <x:c r="C12" s="309" t="str">
        <x:v>Epilepsy_and_Abnormalities</x:v>
      </x:c>
      <x:c r="D12" s="309" t="str">
        <x:v>HUP iEEG Epilepsy Dataset</x:v>
      </x:c>
      <x:c r="E12" s="309" t="str">
        <x:v>drug-resistant epilepsy iEEG / seizure localization research</x:v>
      </x:c>
      <x:c r="F12" s="309" t="str">
        <x:v>未给出</x:v>
      </x:c>
      <x:c r="G12" s="309" t="n">
        <x:v>58</x:v>
      </x:c>
      <x:c r="H12" s="309" t="n">
        <x:v>49.769444444444446</x:v>
      </x:c>
      <x:c r="I12" s="309" t="n">
        <x:v>49.769444444444446</x:v>
      </x:c>
      <x:c r="J12" s="309" t="str">
        <x:v>COMPLETED</x:v>
      </x:c>
      <x:c r="K12" s="309" t="str">
        <x:v>已下载·时长已审计</x:v>
      </x:c>
      <x:c r="L12" s="309" t="str">
        <x:v>完成</x:v>
      </x:c>
      <x:c r="M12" s="309"/>
      <x:c r="N12" s="309" t="str">
        <x:v>无需下载；保持服务器校验记录。</x:v>
      </x:c>
      <x:c r="O12" s="309" t="str">
        <x:v>DOWNLOAD_PUBLIC</x:v>
      </x:c>
      <x:c r="P12" s="309" t="str">
        <x:v>https://openneuro.org/datasets/ds004100</x:v>
      </x:c>
      <x:c r="Q12" s="309" t="str">
        <x:v>OpenNeuro:ds004100</x:v>
      </x:c>
      <x:c r="R12" s="310" t="str">
        <x:v>否</x:v>
      </x:c>
    </x:row>
    <x:row r="13">
      <x:c r="A13" s="226" t="str">
        <x:v>EEG-0016</x:v>
      </x:c>
      <x:c r="B13" s="259" t="str">
        <x:v>疾病/临床</x:v>
      </x:c>
      <x:c r="C13" s="259" t="str">
        <x:v>Epilepsy_and_Abnormalities</x:v>
      </x:c>
      <x:c r="D13" s="259" t="str">
        <x:v>vEpiSet (Interictal Epileptiform Discharge EEG Dataset)</x:v>
      </x:c>
      <x:c r="E13" s="259" t="str">
        <x:v>interictal epileptiform discharge detection；epilepsy event classification；spatial distribution analysis；Epilepsy (IED)；Interictal epileptiform discharge (IED) detection</x:v>
      </x:c>
      <x:c r="F13" s="259" t="str">
        <x:v>84 (52 IED + 32 normal)</x:v>
      </x:c>
      <x:c r="G13" s="259" t="n">
        <x:v>84</x:v>
      </x:c>
      <x:c r="H13" s="259" t="n">
        <x:v>28.241666666666667</x:v>
      </x:c>
      <x:c r="I13" s="259" t="n">
        <x:v>28.241666666666667</x:v>
      </x:c>
      <x:c r="J13" s="259" t="str">
        <x:v>COMPLETED</x:v>
      </x:c>
      <x:c r="K13" s="259" t="str">
        <x:v>已下载·时长已审计</x:v>
      </x:c>
      <x:c r="L13" s="259" t="str">
        <x:v>完成</x:v>
      </x:c>
      <x:c r="M13" s="259"/>
      <x:c r="N13" s="259" t="str">
        <x:v>无需下载；保持服务器校验记录。</x:v>
      </x:c>
      <x:c r="O13" s="259" t="str">
        <x:v>DOWNLOAD_PUBLIC</x:v>
      </x:c>
      <x:c r="P13" s="259" t="str">
        <x:v>https://springernature.figshare.com/articles/dataset/28069568</x:v>
      </x:c>
      <x:c r="Q13" s="259" t="str">
        <x:v>Figshare:28069568 | DOI:10.6084/m9.figshare.28069568</x:v>
      </x:c>
      <x:c r="R13" s="215" t="str">
        <x:v>否</x:v>
      </x:c>
    </x:row>
    <x:row r="14">
      <x:c r="A14" s="308" t="str">
        <x:v>EEG-0017</x:v>
      </x:c>
      <x:c r="B14" s="309" t="str">
        <x:v>疾病/临床</x:v>
      </x:c>
      <x:c r="C14" s="309" t="str">
        <x:v>Epilepsy_and_Abnormalities</x:v>
      </x:c>
      <x:c r="D14" s="309" t="str">
        <x:v>Intracranial entrainment reveals statistical learning across levels of abstraction</x:v>
      </x:c>
      <x:c r="E14" s="309" t="str">
        <x:v>epilepsy/seizure</x:v>
      </x:c>
      <x:c r="F14" s="309" t="str">
        <x:v>8</x:v>
      </x:c>
      <x:c r="G14" s="309" t="n">
        <x:v>8</x:v>
      </x:c>
      <x:c r="H14" s="309" t="n">
        <x:v>1.2263498263888888</x:v>
      </x:c>
      <x:c r="I14" s="309" t="n">
        <x:v>1.2263498263888888</x:v>
      </x:c>
      <x:c r="J14" s="309" t="str">
        <x:v>COMPLETED</x:v>
      </x:c>
      <x:c r="K14" s="309" t="str">
        <x:v>已下载·时长已审计</x:v>
      </x:c>
      <x:c r="L14" s="309" t="str">
        <x:v>完成</x:v>
      </x:c>
      <x:c r="M14" s="309"/>
      <x:c r="N14" s="309" t="str">
        <x:v>无需下载；保持服务器校验记录。</x:v>
      </x:c>
      <x:c r="O14" s="309" t="str">
        <x:v>DOWNLOAD_PUBLIC</x:v>
      </x:c>
      <x:c r="P14" s="309" t="str">
        <x:v>https://zenodo.org/records/8018664</x:v>
      </x:c>
      <x:c r="Q14" s="309" t="str">
        <x:v>Zenodo:8018664 | DOI:10.1162/jocn_a_02012</x:v>
      </x:c>
      <x:c r="R14" s="310" t="str">
        <x:v>否</x:v>
      </x:c>
    </x:row>
    <x:row r="15">
      <x:c r="A15" s="226" t="str">
        <x:v>EEG-0018</x:v>
      </x:c>
      <x:c r="B15" s="259" t="str">
        <x:v>疾病/临床</x:v>
      </x:c>
      <x:c r="C15" s="259" t="str">
        <x:v>Epilepsy_and_Abnormalities</x:v>
      </x:c>
      <x:c r="D15" s="259" t="str">
        <x:v>Kaggle UPenn and Mayo Clinic Seizure Detection</x:v>
      </x:c>
      <x:c r="E15" s="259" t="str">
        <x:v>seizure vs non-seizure detection from intracranial EEG clips</x:v>
      </x:c>
      <x:c r="F15" s="259" t="str">
        <x:v>4</x:v>
      </x:c>
      <x:c r="G15" s="259" t="n">
        <x:v>12</x:v>
      </x:c>
      <x:c r="H15" s="259" t="n">
        <x:v>16.350194145529045</x:v>
      </x:c>
      <x:c r="I15" s="259" t="n">
        <x:v>16.350194145529045</x:v>
      </x:c>
      <x:c r="J15" s="259" t="str">
        <x:v>COMPLETED</x:v>
      </x:c>
      <x:c r="K15" s="259" t="str">
        <x:v>已下载·时长已审计</x:v>
      </x:c>
      <x:c r="L15" s="259" t="str">
        <x:v>完成</x:v>
      </x:c>
      <x:c r="M15" s="259"/>
      <x:c r="N15" s="259" t="str">
        <x:v>无需下载；保持服务器校验记录。</x:v>
      </x:c>
      <x:c r="O15" s="259" t="str">
        <x:v>DOWNLOAD_PUBLIC</x:v>
      </x:c>
      <x:c r="P15" s="259" t="str">
        <x:v>https://www.kaggle.com/c/seizure-detection/data</x:v>
      </x:c>
      <x:c r="Q15" s="259"/>
      <x:c r="R15" s="215" t="str">
        <x:v>否</x:v>
      </x:c>
    </x:row>
    <x:row r="16">
      <x:c r="A16" s="308" t="str">
        <x:v>EEG-0020</x:v>
      </x:c>
      <x:c r="B16" s="309" t="str">
        <x:v>疾病/临床</x:v>
      </x:c>
      <x:c r="C16" s="309" t="str">
        <x:v>Epilepsy_and_Abnormalities</x:v>
      </x:c>
      <x:c r="D16" s="309" t="str">
        <x:v>MORGOTH HEP</x:v>
      </x:c>
      <x:c r="E16" s="309" t="str">
        <x:v>1-second spike detection external validation</x:v>
      </x:c>
      <x:c r="F16" s="309" t="str">
        <x:v>143</x:v>
      </x:c>
      <x:c r="G16" s="309"/>
      <x:c r="H16" s="309"/>
      <x:c r="I16" s="309"/>
      <x:c r="J16" s="309" t="str">
        <x:v>MANUAL_APPLICATION_OR_LOGIN</x:v>
      </x:c>
      <x:c r="K16" s="309" t="str">
        <x:v>已申请·等待访问</x:v>
      </x:c>
      <x:c r="L16" s="309" t="str">
        <x:v>P2</x:v>
      </x:c>
      <x:c r="M16" s="309"/>
      <x:c r="N16" s="309" t="str">
        <x:v>已提交 BDSP credentialing/DUA；获批后用 credentialed S3 入口同步 MORGOTH。</x:v>
      </x:c>
      <x:c r="O16" s="309" t="str">
        <x:v>DOWNLOAD_PUBLIC</x:v>
      </x:c>
      <x:c r="P16" s="309" t="str">
        <x:v>https://bdsp.io/content/morgoth1/1.0.0/</x:v>
      </x:c>
      <x:c r="Q16" s="309"/>
      <x:c r="R16" s="310" t="str">
        <x:v>否</x:v>
      </x:c>
    </x:row>
    <x:row r="17">
      <x:c r="A17" s="226" t="str">
        <x:v>EEG-0021</x:v>
      </x:c>
      <x:c r="B17" s="259" t="str">
        <x:v>疾病/临床</x:v>
      </x:c>
      <x:c r="C17" s="259" t="str">
        <x:v>Epilepsy_and_Abnormalities</x:v>
      </x:c>
      <x:c r="D17" s="259" t="str">
        <x:v>MORGOTH IIIC-Test</x:v>
      </x:c>
      <x:c r="E17" s="259" t="str">
        <x:v>seizure and 4 IIIC pattern classification: seizure, LPD, GPD, LRDA, GRDA</x:v>
      </x:c>
      <x:c r="F17" s="259" t="str">
        <x:v>758</x:v>
      </x:c>
      <x:c r="G17" s="259"/>
      <x:c r="H17" s="259"/>
      <x:c r="I17" s="259"/>
      <x:c r="J17" s="259" t="str">
        <x:v>MANUAL_APPLICATION_OR_LOGIN</x:v>
      </x:c>
      <x:c r="K17" s="259" t="str">
        <x:v>已申请·等待访问</x:v>
      </x:c>
      <x:c r="L17" s="259" t="str">
        <x:v>P2</x:v>
      </x:c>
      <x:c r="M17" s="259"/>
      <x:c r="N17" s="259" t="str">
        <x:v>已提交 BDSP credentialing/DUA；获批后用 credentialed S3 入口同步 MORGOTH。</x:v>
      </x:c>
      <x:c r="O17" s="259" t="str">
        <x:v>DOWNLOAD_PUBLIC</x:v>
      </x:c>
      <x:c r="P17" s="259" t="str">
        <x:v>https://bdsp.io/content/morgoth1/1.0.0/</x:v>
      </x:c>
      <x:c r="Q17" s="259"/>
      <x:c r="R17" s="215" t="str">
        <x:v>否</x:v>
      </x:c>
    </x:row>
    <x:row r="18">
      <x:c r="A18" s="308" t="str">
        <x:v>EEG-0022</x:v>
      </x:c>
      <x:c r="B18" s="309" t="str">
        <x:v>疾病/临床</x:v>
      </x:c>
      <x:c r="C18" s="309" t="str">
        <x:v>Epilepsy_and_Abnormalities</x:v>
      </x:c>
      <x:c r="D18" s="309" t="str">
        <x:v>MORGOTH IIIC-Train</x:v>
      </x:c>
      <x:c r="E18" s="309" t="str">
        <x:v>seizure and 4 IIIC pattern classification: seizure, LPD, GPD, LRDA, GRDA</x:v>
      </x:c>
      <x:c r="F18" s="309" t="str">
        <x:v>1,940</x:v>
      </x:c>
      <x:c r="G18" s="309"/>
      <x:c r="H18" s="309"/>
      <x:c r="I18" s="309"/>
      <x:c r="J18" s="309" t="str">
        <x:v>MANUAL_APPLICATION_OR_LOGIN</x:v>
      </x:c>
      <x:c r="K18" s="309" t="str">
        <x:v>已申请·等待访问</x:v>
      </x:c>
      <x:c r="L18" s="309" t="str">
        <x:v>P2</x:v>
      </x:c>
      <x:c r="M18" s="309"/>
      <x:c r="N18" s="309" t="str">
        <x:v>已提交 BDSP credentialing/DUA；获批后用 credentialed S3 入口同步 MORGOTH。</x:v>
      </x:c>
      <x:c r="O18" s="309" t="str">
        <x:v>DOWNLOAD_PUBLIC</x:v>
      </x:c>
      <x:c r="P18" s="309" t="str">
        <x:v>https://bdsp.io/content/morgoth1/1.0.0/</x:v>
      </x:c>
      <x:c r="Q18" s="309"/>
      <x:c r="R18" s="310" t="str">
        <x:v>否</x:v>
      </x:c>
    </x:row>
    <x:row r="19">
      <x:c r="A19" s="226" t="str">
        <x:v>EEG-0023</x:v>
      </x:c>
      <x:c r="B19" s="259" t="str">
        <x:v>疾病/临床</x:v>
      </x:c>
      <x:c r="C19" s="259" t="str">
        <x:v>Epilepsy_and_Abnormalities</x:v>
      </x:c>
      <x:c r="D19" s="259" t="str">
        <x:v>MORGOTH MoE-External</x:v>
      </x:c>
      <x:c r="E19" s="259" t="str">
        <x:v>multi-expert external validation: slowing, burst suppression, spike location, seizure+IIIC, awake/N1/N2</x:v>
      </x:c>
      <x:c r="F19" s="259" t="str">
        <x:v>409</x:v>
      </x:c>
      <x:c r="G19" s="259"/>
      <x:c r="H19" s="259"/>
      <x:c r="I19" s="259"/>
      <x:c r="J19" s="259" t="str">
        <x:v>MANUAL_APPLICATION_OR_LOGIN</x:v>
      </x:c>
      <x:c r="K19" s="259" t="str">
        <x:v>已申请·等待访问</x:v>
      </x:c>
      <x:c r="L19" s="259" t="str">
        <x:v>P2</x:v>
      </x:c>
      <x:c r="M19" s="259"/>
      <x:c r="N19" s="259" t="str">
        <x:v>已提交 BDSP credentialing/DUA；获批后用 credentialed S3 入口同步 MORGOTH。</x:v>
      </x:c>
      <x:c r="O19" s="259" t="str">
        <x:v>DOWNLOAD_PUBLIC</x:v>
      </x:c>
      <x:c r="P19" s="259" t="str">
        <x:v>https://bdsp.io/content/morgoth1/1.0.0/</x:v>
      </x:c>
      <x:c r="Q19" s="259"/>
      <x:c r="R19" s="215" t="str">
        <x:v>否</x:v>
      </x:c>
    </x:row>
    <x:row r="20">
      <x:c r="A20" s="308" t="str">
        <x:v>EEG-0024</x:v>
      </x:c>
      <x:c r="B20" s="309" t="str">
        <x:v>疾病/临床</x:v>
      </x:c>
      <x:c r="C20" s="309" t="str">
        <x:v>Epilepsy_and_Abnormalities</x:v>
      </x:c>
      <x:c r="D20" s="309" t="str">
        <x:v>MORGOTH MoE-Internal</x:v>
      </x:c>
      <x:c r="E20" s="309" t="str">
        <x:v>multi-expert internal validation: slowing, burst suppression, spike location, seizure+IIIC, awake/N1/N2</x:v>
      </x:c>
      <x:c r="F20" s="309" t="str">
        <x:v>1,841</x:v>
      </x:c>
      <x:c r="G20" s="309"/>
      <x:c r="H20" s="309"/>
      <x:c r="I20" s="309"/>
      <x:c r="J20" s="309" t="str">
        <x:v>MANUAL_APPLICATION_OR_LOGIN</x:v>
      </x:c>
      <x:c r="K20" s="309" t="str">
        <x:v>已申请·等待访问</x:v>
      </x:c>
      <x:c r="L20" s="309" t="str">
        <x:v>P2</x:v>
      </x:c>
      <x:c r="M20" s="309"/>
      <x:c r="N20" s="309" t="str">
        <x:v>已提交 BDSP credentialing/DUA；获批后用 credentialed S3 入口同步 MORGOTH。</x:v>
      </x:c>
      <x:c r="O20" s="309" t="str">
        <x:v>DOWNLOAD_PUBLIC</x:v>
      </x:c>
      <x:c r="P20" s="309" t="str">
        <x:v>https://bdsp.io/content/morgoth1/1.0.0/</x:v>
      </x:c>
      <x:c r="Q20" s="309"/>
      <x:c r="R20" s="310" t="str">
        <x:v>否</x:v>
      </x:c>
    </x:row>
    <x:row r="21">
      <x:c r="A21" s="226" t="str">
        <x:v>EEG-0025</x:v>
      </x:c>
      <x:c r="B21" s="259" t="str">
        <x:v>疾病/临床</x:v>
      </x:c>
      <x:c r="C21" s="259" t="str">
        <x:v>Epilepsy_and_Abnormalities</x:v>
      </x:c>
      <x:c r="D21" s="259" t="str">
        <x:v>MORGOTH ON</x:v>
      </x:c>
      <x:c r="E21" s="259" t="str">
        <x:v>slowing and spike location external validation</x:v>
      </x:c>
      <x:c r="F21" s="259" t="str">
        <x:v>100</x:v>
      </x:c>
      <x:c r="G21" s="259"/>
      <x:c r="H21" s="259"/>
      <x:c r="I21" s="259"/>
      <x:c r="J21" s="259" t="str">
        <x:v>MANUAL_APPLICATION_OR_LOGIN</x:v>
      </x:c>
      <x:c r="K21" s="259" t="str">
        <x:v>已申请·等待访问</x:v>
      </x:c>
      <x:c r="L21" s="259" t="str">
        <x:v>P2</x:v>
      </x:c>
      <x:c r="M21" s="259"/>
      <x:c r="N21" s="259" t="str">
        <x:v>已提交 BDSP credentialing/DUA；获批后用 credentialed S3 入口同步 MORGOTH。</x:v>
      </x:c>
      <x:c r="O21" s="259" t="str">
        <x:v>DOWNLOAD_PUBLIC</x:v>
      </x:c>
      <x:c r="P21" s="259" t="str">
        <x:v>https://bdsp.io/content/morgoth1/1.0.0/</x:v>
      </x:c>
      <x:c r="Q21" s="259"/>
      <x:c r="R21" s="215" t="str">
        <x:v>否</x:v>
      </x:c>
    </x:row>
    <x:row r="22">
      <x:c r="A22" s="308" t="str">
        <x:v>EEG-0026</x:v>
      </x:c>
      <x:c r="B22" s="309" t="str">
        <x:v>疾病/临床</x:v>
      </x:c>
      <x:c r="C22" s="309" t="str">
        <x:v>Epilepsy_and_Abnormalities</x:v>
      </x:c>
      <x:c r="D22" s="309" t="str">
        <x:v>MORGOTH SAI</x:v>
      </x:c>
      <x:c r="E22" s="309" t="str">
        <x:v>normal, slowing, spike location external validation</x:v>
      </x:c>
      <x:c r="F22" s="309" t="str">
        <x:v>100</x:v>
      </x:c>
      <x:c r="G22" s="309"/>
      <x:c r="H22" s="309"/>
      <x:c r="I22" s="309"/>
      <x:c r="J22" s="309" t="str">
        <x:v>MANUAL_APPLICATION_OR_LOGIN</x:v>
      </x:c>
      <x:c r="K22" s="309" t="str">
        <x:v>已申请·等待访问</x:v>
      </x:c>
      <x:c r="L22" s="309" t="str">
        <x:v>P2</x:v>
      </x:c>
      <x:c r="M22" s="309"/>
      <x:c r="N22" s="309" t="str">
        <x:v>已提交 BDSP credentialing/DUA；获批后用 credentialed S3 入口同步 MORGOTH。</x:v>
      </x:c>
      <x:c r="O22" s="309" t="str">
        <x:v>DOWNLOAD_PUBLIC</x:v>
      </x:c>
      <x:c r="P22" s="309" t="str">
        <x:v>https://bdsp.io/content/morgoth1/1.0.0/</x:v>
      </x:c>
      <x:c r="Q22" s="309"/>
      <x:c r="R22" s="310" t="str">
        <x:v>否</x:v>
      </x:c>
    </x:row>
    <x:row r="23">
      <x:c r="A23" s="226" t="str">
        <x:v>EEG-0027</x:v>
      </x:c>
      <x:c r="B23" s="259" t="str">
        <x:v>疾病/临床</x:v>
      </x:c>
      <x:c r="C23" s="259" t="str">
        <x:v>Epilepsy_and_Abnormalities</x:v>
      </x:c>
      <x:c r="D23" s="259" t="str">
        <x:v>MORGOTH SN2-Test</x:v>
      </x:c>
      <x:c r="E23" s="259" t="str">
        <x:v>1-second spike detection</x:v>
      </x:c>
      <x:c r="F23" s="259" t="str">
        <x:v>208</x:v>
      </x:c>
      <x:c r="G23" s="259"/>
      <x:c r="H23" s="259"/>
      <x:c r="I23" s="259"/>
      <x:c r="J23" s="259" t="str">
        <x:v>MANUAL_APPLICATION_OR_LOGIN</x:v>
      </x:c>
      <x:c r="K23" s="259" t="str">
        <x:v>已申请·等待访问</x:v>
      </x:c>
      <x:c r="L23" s="259" t="str">
        <x:v>P2</x:v>
      </x:c>
      <x:c r="M23" s="259"/>
      <x:c r="N23" s="259" t="str">
        <x:v>已提交 BDSP credentialing/DUA；获批后用 credentialed S3 入口同步 MORGOTH。</x:v>
      </x:c>
      <x:c r="O23" s="259" t="str">
        <x:v>DOWNLOAD_PUBLIC</x:v>
      </x:c>
      <x:c r="P23" s="259" t="str">
        <x:v>https://bdsp.io/content/morgoth1/1.0.0/</x:v>
      </x:c>
      <x:c r="Q23" s="259"/>
      <x:c r="R23" s="215" t="str">
        <x:v>否</x:v>
      </x:c>
    </x:row>
    <x:row r="24">
      <x:c r="A24" s="308" t="str">
        <x:v>EEG-0028</x:v>
      </x:c>
      <x:c r="B24" s="309" t="str">
        <x:v>疾病/临床</x:v>
      </x:c>
      <x:c r="C24" s="309" t="str">
        <x:v>Epilepsy_and_Abnormalities</x:v>
      </x:c>
      <x:c r="D24" s="309" t="str">
        <x:v>MORGOTH SN2-Train</x:v>
      </x:c>
      <x:c r="E24" s="309" t="str">
        <x:v>1-second spike detection</x:v>
      </x:c>
      <x:c r="F24" s="309" t="str">
        <x:v>4,886</x:v>
      </x:c>
      <x:c r="G24" s="309"/>
      <x:c r="H24" s="309"/>
      <x:c r="I24" s="309"/>
      <x:c r="J24" s="309" t="str">
        <x:v>MANUAL_APPLICATION_OR_LOGIN</x:v>
      </x:c>
      <x:c r="K24" s="309" t="str">
        <x:v>已申请·等待访问</x:v>
      </x:c>
      <x:c r="L24" s="309" t="str">
        <x:v>P2</x:v>
      </x:c>
      <x:c r="M24" s="309"/>
      <x:c r="N24" s="309" t="str">
        <x:v>已提交 BDSP credentialing/DUA；获批后用 credentialed S3 入口同步 MORGOTH。</x:v>
      </x:c>
      <x:c r="O24" s="309" t="str">
        <x:v>DOWNLOAD_PUBLIC</x:v>
      </x:c>
      <x:c r="P24" s="309" t="str">
        <x:v>https://bdsp.io/content/morgoth1/1.0.0/</x:v>
      </x:c>
      <x:c r="Q24" s="309"/>
      <x:c r="R24" s="310" t="str">
        <x:v>否</x:v>
      </x:c>
    </x:row>
    <x:row r="25">
      <x:c r="A25" s="226" t="str">
        <x:v>EEG-0030</x:v>
      </x:c>
      <x:c r="B25" s="259" t="str">
        <x:v>疾病/临床</x:v>
      </x:c>
      <x:c r="C25" s="259" t="str">
        <x:v>Epilepsy_and_Abnormalities</x:v>
      </x:c>
      <x:c r="D25" s="259" t="str">
        <x:v>OpenNeuro ds003029 Epilepsy iEEG Multicenter</x:v>
      </x:c>
      <x:c r="E25" s="259" t="str">
        <x:v>epileptiform activity / seizure-related iEEG analysis</x:v>
      </x:c>
      <x:c r="F25" s="259" t="str">
        <x:v>100</x:v>
      </x:c>
      <x:c r="G25" s="259" t="n">
        <x:v>35</x:v>
      </x:c>
      <x:c r="H25" s="259" t="n">
        <x:v>7.958339006721048</x:v>
      </x:c>
      <x:c r="I25" s="259" t="n">
        <x:v>7.958339006721048</x:v>
      </x:c>
      <x:c r="J25" s="259" t="str">
        <x:v>COMPLETED</x:v>
      </x:c>
      <x:c r="K25" s="259" t="str">
        <x:v>已下载·时长已审计</x:v>
      </x:c>
      <x:c r="L25" s="259" t="str">
        <x:v>完成</x:v>
      </x:c>
      <x:c r="M25" s="259"/>
      <x:c r="N25" s="259" t="str">
        <x:v>无需下载；保持服务器校验记录。</x:v>
      </x:c>
      <x:c r="O25" s="259" t="str">
        <x:v>DOWNLOAD_PUBLIC</x:v>
      </x:c>
      <x:c r="P25" s="259" t="str">
        <x:v>https://openneuro.org/datasets/ds003029</x:v>
      </x:c>
      <x:c r="Q25" s="259" t="str">
        <x:v>OpenNeuro:ds003029</x:v>
      </x:c>
      <x:c r="R25" s="215" t="str">
        <x:v>否</x:v>
      </x:c>
    </x:row>
    <x:row r="26">
      <x:c r="A26" s="308" t="str">
        <x:v>EEG-0031</x:v>
      </x:c>
      <x:c r="B26" s="309" t="str">
        <x:v>疾病/临床</x:v>
      </x:c>
      <x:c r="C26" s="309" t="str">
        <x:v>Epilepsy_and_Abnormalities</x:v>
      </x:c>
      <x:c r="D26" s="309" t="str">
        <x:v>SeizeIT2</x:v>
      </x:c>
      <x:c r="E26" s="309" t="str">
        <x:v>seizure monitoring；wearable / behind-the-ear low-channel EEG</x:v>
      </x:c>
      <x:c r="F26" s="309" t="str">
        <x:v>125</x:v>
      </x:c>
      <x:c r="G26" s="309" t="n">
        <x:v>125</x:v>
      </x:c>
      <x:c r="H26" s="309" t="n">
        <x:v>11626.24888888889</x:v>
      </x:c>
      <x:c r="I26" s="309" t="n">
        <x:v>11626.24888888889</x:v>
      </x:c>
      <x:c r="J26" s="309" t="str">
        <x:v>COMPLETED</x:v>
      </x:c>
      <x:c r="K26" s="309" t="str">
        <x:v>已下载·时长已审计</x:v>
      </x:c>
      <x:c r="L26" s="309" t="str">
        <x:v>完成</x:v>
      </x:c>
      <x:c r="M26" s="309"/>
      <x:c r="N26" s="309" t="str">
        <x:v>无需下载；保持服务器校验记录。</x:v>
      </x:c>
      <x:c r="O26" s="309" t="str">
        <x:v>DOWNLOAD_PUBLIC</x:v>
      </x:c>
      <x:c r="P26" s="309" t="str">
        <x:v>https://openneuro.org/datasets/ds005873/versions/1.1.0</x:v>
      </x:c>
      <x:c r="Q26" s="309" t="str">
        <x:v>OpenNeuro:ds005873</x:v>
      </x:c>
      <x:c r="R26" s="310" t="str">
        <x:v>否</x:v>
      </x:c>
    </x:row>
    <x:row r="27">
      <x:c r="A27" s="226" t="str">
        <x:v>EEG-0032</x:v>
      </x:c>
      <x:c r="B27" s="259" t="str">
        <x:v>疾病/临床</x:v>
      </x:c>
      <x:c r="C27" s="259" t="str">
        <x:v>Epilepsy_and_Abnormalities</x:v>
      </x:c>
      <x:c r="D27" s="259" t="str">
        <x:v>Siena Scalp EEG</x:v>
      </x:c>
      <x:c r="E27" s="259" t="str">
        <x:v>Seizure detection (focal epilepsy)</x:v>
      </x:c>
      <x:c r="F27" s="259" t="str">
        <x:v>14</x:v>
      </x:c>
      <x:c r="G27" s="259" t="n">
        <x:v>14</x:v>
      </x:c>
      <x:c r="H27" s="259" t="n">
        <x:v>141.02055555555555</x:v>
      </x:c>
      <x:c r="I27" s="259" t="n">
        <x:v>141.02055555555555</x:v>
      </x:c>
      <x:c r="J27" s="259" t="str">
        <x:v>COMPLETED</x:v>
      </x:c>
      <x:c r="K27" s="259" t="str">
        <x:v>已下载·时长已审计</x:v>
      </x:c>
      <x:c r="L27" s="259" t="str">
        <x:v>完成</x:v>
      </x:c>
      <x:c r="M27" s="259"/>
      <x:c r="N27" s="259" t="str">
        <x:v>无需下载；保持服务器校验记录。</x:v>
      </x:c>
      <x:c r="O27" s="259" t="str">
        <x:v>DOWNLOAD_PUBLIC</x:v>
      </x:c>
      <x:c r="P27" s="259" t="str">
        <x:v>https://physionet.org/content/siena-scalp-eeg/1.0.0/</x:v>
      </x:c>
      <x:c r="Q27" s="259" t="str">
        <x:v>PhysioNet:siena-scalp-eeg</x:v>
      </x:c>
      <x:c r="R27" s="215" t="str">
        <x:v>否</x:v>
      </x:c>
    </x:row>
    <x:row r="28">
      <x:c r="A28" s="308" t="str">
        <x:v>EEG-0033</x:v>
      </x:c>
      <x:c r="B28" s="309" t="str">
        <x:v>疾病/临床</x:v>
      </x:c>
      <x:c r="C28" s="309" t="str">
        <x:v>Epilepsy_and_Abnormalities</x:v>
      </x:c>
      <x:c r="D28" s="309" t="str">
        <x:v>TUEP (TUH Epilepsy)</x:v>
      </x:c>
      <x:c r="E28" s="309" t="str">
        <x:v>Epilepsy vs non-epilepsy</x:v>
      </x:c>
      <x:c r="F28" s="309" t="str">
        <x:v>200 (~1,648 recordings)</x:v>
      </x:c>
      <x:c r="G28" s="309" t="n">
        <x:v>200</x:v>
      </x:c>
      <x:c r="H28" s="309" t="n">
        <x:v>626.7663888888889</x:v>
      </x:c>
      <x:c r="I28" s="309" t="n">
        <x:v>626.7663888888889</x:v>
      </x:c>
      <x:c r="J28" s="309" t="str">
        <x:v>COMPLETED</x:v>
      </x:c>
      <x:c r="K28" s="309" t="str">
        <x:v>已下载·TUEG 重叠</x:v>
      </x:c>
      <x:c r="L28" s="309" t="str">
        <x:v>排除</x:v>
      </x:c>
      <x:c r="M28" s="309"/>
      <x:c r="N28" s="309" t="str">
        <x:v>保留子集目录，但总时长/人数不与 TUEG 父库重复相加。</x:v>
      </x:c>
      <x:c r="O28" s="309" t="str">
        <x:v>DOWNLOAD_APPLICATION_REQUIRED</x:v>
      </x:c>
      <x:c r="P28" s="309" t="str">
        <x:v>https://isip.piconepress.com/projects/nedc/html/tuh_eeg/</x:v>
      </x:c>
      <x:c r="Q28" s="309" t="str">
        <x:v>TUH:TUEP:v3.1.0</x:v>
      </x:c>
      <x:c r="R28" s="310" t="str">
        <x:v>否</x:v>
      </x:c>
    </x:row>
    <x:row r="29">
      <x:c r="A29" s="226" t="str">
        <x:v>EEG-0034</x:v>
      </x:c>
      <x:c r="B29" s="259" t="str">
        <x:v>疾病/临床</x:v>
      </x:c>
      <x:c r="C29" s="259" t="str">
        <x:v>Epilepsy_and_Abnormalities</x:v>
      </x:c>
      <x:c r="D29" s="259" t="str">
        <x:v>TUEV (TUH Events)</x:v>
      </x:c>
      <x:c r="E29" s="259" t="str">
        <x:v>EEG event classification (6 classes: SPSW/GPED/PLED/EYEM/ARTF/BCKG)</x:v>
      </x:c>
      <x:c r="F29" s="259" t="str">
        <x:v>370 (518 recordings)</x:v>
      </x:c>
      <x:c r="G29" s="259" t="n">
        <x:v>370</x:v>
      </x:c>
      <x:c r="H29" s="259" t="n">
        <x:v>148.7447222222222</x:v>
      </x:c>
      <x:c r="I29" s="259" t="n">
        <x:v>148.7447222222222</x:v>
      </x:c>
      <x:c r="J29" s="259" t="str">
        <x:v>COMPLETED</x:v>
      </x:c>
      <x:c r="K29" s="259" t="str">
        <x:v>已下载·TUEG 重叠</x:v>
      </x:c>
      <x:c r="L29" s="259" t="str">
        <x:v>排除</x:v>
      </x:c>
      <x:c r="M29" s="259"/>
      <x:c r="N29" s="259" t="str">
        <x:v>保留子集目录，但总时长/人数不与 TUEG 父库重复相加。</x:v>
      </x:c>
      <x:c r="O29" s="259" t="str">
        <x:v>DOWNLOAD_APPLICATION_REQUIRED</x:v>
      </x:c>
      <x:c r="P29" s="259" t="str">
        <x:v>https://isip.piconepress.com/projects/nedc/html/tuh_eeg/</x:v>
      </x:c>
      <x:c r="Q29" s="259" t="str">
        <x:v>TUH:TUEV:v2.0.1</x:v>
      </x:c>
      <x:c r="R29" s="215" t="str">
        <x:v>否</x:v>
      </x:c>
    </x:row>
    <x:row r="30">
      <x:c r="A30" s="308" t="str">
        <x:v>EEG-0035</x:v>
      </x:c>
      <x:c r="B30" s="309" t="str">
        <x:v>疾病/临床</x:v>
      </x:c>
      <x:c r="C30" s="309" t="str">
        <x:v>Epilepsy_and_Abnormalities</x:v>
      </x:c>
      <x:c r="D30" s="309" t="str">
        <x:v>TUSL (TUH Slowing)</x:v>
      </x:c>
      <x:c r="E30" s="309" t="str">
        <x:v>EEG slowing vs seizure vs background (3-class)</x:v>
      </x:c>
      <x:c r="F30" s="309" t="str">
        <x:v>38 (112 files; 300 samples)</x:v>
      </x:c>
      <x:c r="G30" s="309" t="n">
        <x:v>38</x:v>
      </x:c>
      <x:c r="H30" s="309" t="n">
        <x:v>27.59638888888889</x:v>
      </x:c>
      <x:c r="I30" s="309" t="n">
        <x:v>27.59638888888889</x:v>
      </x:c>
      <x:c r="J30" s="309" t="str">
        <x:v>COMPLETED</x:v>
      </x:c>
      <x:c r="K30" s="309" t="str">
        <x:v>已下载·TUEG 重叠</x:v>
      </x:c>
      <x:c r="L30" s="309" t="str">
        <x:v>排除</x:v>
      </x:c>
      <x:c r="M30" s="309"/>
      <x:c r="N30" s="309" t="str">
        <x:v>保留子集目录，但总时长/人数不与 TUEG 父库重复相加。</x:v>
      </x:c>
      <x:c r="O30" s="309" t="str">
        <x:v>DOWNLOAD_APPLICATION_REQUIRED</x:v>
      </x:c>
      <x:c r="P30" s="309" t="str">
        <x:v>https://isip.piconepress.com/projects/nedc/html/tuh_eeg/</x:v>
      </x:c>
      <x:c r="Q30" s="309" t="str">
        <x:v>TUH:TUSL:v2.0.1</x:v>
      </x:c>
      <x:c r="R30" s="310" t="str">
        <x:v>否</x:v>
      </x:c>
    </x:row>
    <x:row r="31">
      <x:c r="A31" s="226" t="str">
        <x:v>EEG-0036</x:v>
      </x:c>
      <x:c r="B31" s="259" t="str">
        <x:v>疾病/临床</x:v>
      </x:c>
      <x:c r="C31" s="259" t="str">
        <x:v>Epilepsy_and_Abnormalities</x:v>
      </x:c>
      <x:c r="D31" s="259" t="str">
        <x:v>TUSZ (TUH Seizure)</x:v>
      </x:c>
      <x:c r="E31" s="259" t="str">
        <x:v>Seizure detection (start/stop/channel/type)</x:v>
      </x:c>
      <x:c r="F31" s="259" t="str">
        <x:v>675 (315 in core; 822 sessions)</x:v>
      </x:c>
      <x:c r="G31" s="259" t="n">
        <x:v>675</x:v>
      </x:c>
      <x:c r="H31" s="259" t="n">
        <x:v>1474.7872222222222</x:v>
      </x:c>
      <x:c r="I31" s="259" t="n">
        <x:v>1474.7872222222222</x:v>
      </x:c>
      <x:c r="J31" s="259" t="str">
        <x:v>COMPLETED</x:v>
      </x:c>
      <x:c r="K31" s="259" t="str">
        <x:v>已下载·TUEG 重叠</x:v>
      </x:c>
      <x:c r="L31" s="259" t="str">
        <x:v>排除</x:v>
      </x:c>
      <x:c r="M31" s="259"/>
      <x:c r="N31" s="259" t="str">
        <x:v>保留子集目录，但总时长/人数不与 TUEG 父库重复相加。</x:v>
      </x:c>
      <x:c r="O31" s="259" t="str">
        <x:v>DOWNLOAD_APPLICATION_REQUIRED</x:v>
      </x:c>
      <x:c r="P31" s="259" t="str">
        <x:v>https://isip.piconepress.com/projects/nedc/html/tuh_eeg/</x:v>
      </x:c>
      <x:c r="Q31" s="259" t="str">
        <x:v>TUH:TUSZ:v2.0.6</x:v>
      </x:c>
      <x:c r="R31" s="215" t="str">
        <x:v>否</x:v>
      </x:c>
    </x:row>
    <x:row r="32">
      <x:c r="A32" s="308" t="str">
        <x:v>EEG-0039</x:v>
      </x:c>
      <x:c r="B32" s="309" t="str">
        <x:v>疾病/临床</x:v>
      </x:c>
      <x:c r="C32" s="309" t="str">
        <x:v>Neurodegenerative_Disorders</x:v>
      </x:c>
      <x:c r="D32" s="309" t="str">
        <x:v>AD-Auditory</x:v>
      </x:c>
      <x:c r="E32" s="309" t="str">
        <x:v>AD / MCI / healthy control classification；auditory steady-state response / entrainment biomarkers</x:v>
      </x:c>
      <x:c r="F32" s="309" t="str">
        <x:v>未给出</x:v>
      </x:c>
      <x:c r="G32" s="309" t="n">
        <x:v>35</x:v>
      </x:c>
      <x:c r="H32" s="309" t="n">
        <x:v>5.2027777777777775</x:v>
      </x:c>
      <x:c r="I32" s="309" t="n">
        <x:v>5.2027777777777775</x:v>
      </x:c>
      <x:c r="J32" s="309" t="str">
        <x:v>COMPLETED</x:v>
      </x:c>
      <x:c r="K32" s="309" t="str">
        <x:v>已下载·时长已审计</x:v>
      </x:c>
      <x:c r="L32" s="309" t="str">
        <x:v>完成</x:v>
      </x:c>
      <x:c r="M32" s="309"/>
      <x:c r="N32" s="309" t="str">
        <x:v>无需下载；保持服务器校验记录。</x:v>
      </x:c>
      <x:c r="O32" s="309" t="str">
        <x:v>DOWNLOAD_PUBLIC</x:v>
      </x:c>
      <x:c r="P32" s="309" t="str">
        <x:v>https://openneuro.org/datasets/ds005048</x:v>
      </x:c>
      <x:c r="Q32" s="309" t="str">
        <x:v>OpenNeuro:ds005048</x:v>
      </x:c>
      <x:c r="R32" s="310" t="str">
        <x:v>否</x:v>
      </x:c>
    </x:row>
    <x:row r="33">
      <x:c r="A33" s="226" t="str">
        <x:v>EEG-0040</x:v>
      </x:c>
      <x:c r="B33" s="259" t="str">
        <x:v>疾病/临床</x:v>
      </x:c>
      <x:c r="C33" s="259" t="str">
        <x:v>Neurodegenerative_Disorders</x:v>
      </x:c>
      <x:c r="D33" s="259" t="str">
        <x:v>AD65 (Alzheimer/FTD)</x:v>
      </x:c>
      <x:c r="E33" s="259" t="str">
        <x:v>Alzheimer vs frontotemporal dementia vs healthy (resting EC)</x:v>
      </x:c>
      <x:c r="F33" s="259" t="str">
        <x:v>88 (36 AD/23 FTD/29 CN)</x:v>
      </x:c>
      <x:c r="G33" s="259" t="n">
        <x:v>88</x:v>
      </x:c>
      <x:c r="H33" s="259" t="n">
        <x:v>39.00595000000006</x:v>
      </x:c>
      <x:c r="I33" s="259" t="n">
        <x:v>39.00595000000006</x:v>
      </x:c>
      <x:c r="J33" s="259" t="str">
        <x:v>COMPLETED</x:v>
      </x:c>
      <x:c r="K33" s="259" t="str">
        <x:v>已下载·时长已审计</x:v>
      </x:c>
      <x:c r="L33" s="259" t="str">
        <x:v>完成</x:v>
      </x:c>
      <x:c r="M33" s="259"/>
      <x:c r="N33" s="259" t="str">
        <x:v>无需下载；保持服务器校验记录。</x:v>
      </x:c>
      <x:c r="O33" s="259" t="str">
        <x:v>DOWNLOAD_PUBLIC</x:v>
      </x:c>
      <x:c r="P33" s="259" t="str">
        <x:v>https://openneuro.org/datasets/ds004504</x:v>
      </x:c>
      <x:c r="Q33" s="259" t="str">
        <x:v>OpenNeuro:ds004504</x:v>
      </x:c>
      <x:c r="R33" s="215" t="str">
        <x:v>否</x:v>
      </x:c>
    </x:row>
    <x:row r="34">
      <x:c r="A34" s="308" t="str">
        <x:v>EEG-0041</x:v>
      </x:c>
      <x:c r="B34" s="309" t="str">
        <x:v>疾病/临床</x:v>
      </x:c>
      <x:c r="C34" s="309" t="str">
        <x:v>Neurodegenerative_Disorders</x:v>
      </x:c>
      <x:c r="D34" s="309" t="str">
        <x:v>Alzheimer Risk Classification Sample-enrichment EEG</x:v>
      </x:c>
      <x:c r="E34" s="309" t="str">
        <x:v>Alzheimer’s risk classification；sample enrichment；cognitive / resting EEG biomarkers</x:v>
      </x:c>
      <x:c r="F34" s="309" t="str">
        <x:v>44</x:v>
      </x:c>
      <x:c r="G34" s="309" t="n">
        <x:v>138</x:v>
      </x:c>
      <x:c r="H34" s="309" t="n">
        <x:v>3.9115555555555552</x:v>
      </x:c>
      <x:c r="I34" s="309" t="n">
        <x:v>3.9115555555555552</x:v>
      </x:c>
      <x:c r="J34" s="309" t="str">
        <x:v>COMPLETED</x:v>
      </x:c>
      <x:c r="K34" s="309" t="str">
        <x:v>已下载·时长已审计</x:v>
      </x:c>
      <x:c r="L34" s="309" t="str">
        <x:v>完成</x:v>
      </x:c>
      <x:c r="M34" s="309"/>
      <x:c r="N34" s="309" t="str">
        <x:v>无需下载；保持服务器校验记录。</x:v>
      </x:c>
      <x:c r="O34" s="309" t="str">
        <x:v>DOWNLOAD_PUBLIC</x:v>
      </x:c>
      <x:c r="P34" s="309" t="str">
        <x:v>https://openneuro.org/datasets/ds007427/versions/1.0.1</x:v>
      </x:c>
      <x:c r="Q34" s="309" t="str">
        <x:v>OpenNeuro:ds007427</x:v>
      </x:c>
      <x:c r="R34" s="310" t="str">
        <x:v>否</x:v>
      </x:c>
    </x:row>
    <x:row r="35">
      <x:c r="A35" s="226" t="str">
        <x:v>EEG-0042</x:v>
      </x:c>
      <x:c r="B35" s="259" t="str">
        <x:v>疾病/临床</x:v>
      </x:c>
      <x:c r="C35" s="259" t="str">
        <x:v>Neurodegenerative_Disorders</x:v>
      </x:c>
      <x:c r="D35" s="259" t="str">
        <x:v>APAVA</x:v>
      </x:c>
      <x:c r="E35" s="259" t="str">
        <x:v>Alzheimer's disease classification (binary: Alzheimer's disease vs. healthy control); subject-independent and subject-dependent MedTS classification</x:v>
      </x:c>
      <x:c r="F35" s="259" t="str">
        <x:v>23.0</x:v>
      </x:c>
      <x:c r="G35" s="259" t="n">
        <x:v>23</x:v>
      </x:c>
      <x:c r="H35" s="259" t="n">
        <x:v>0.9208333333333333</x:v>
      </x:c>
      <x:c r="I35" s="259" t="n">
        <x:v>0.9208333333333333</x:v>
      </x:c>
      <x:c r="J35" s="259" t="str">
        <x:v>COMPLETED</x:v>
      </x:c>
      <x:c r="K35" s="259" t="str">
        <x:v>已下载·时长已审计</x:v>
      </x:c>
      <x:c r="L35" s="259" t="str">
        <x:v>完成</x:v>
      </x:c>
      <x:c r="M35" s="259"/>
      <x:c r="N35" s="259" t="str">
        <x:v>无需下载；保持服务器校验记录。</x:v>
      </x:c>
      <x:c r="O35" s="259" t="str">
        <x:v>DOWNLOAD_APPLICATION_REQUIRED</x:v>
      </x:c>
      <x:c r="P35" s="259" t="str"/>
      <x:c r="Q35" s="259"/>
      <x:c r="R35" s="215" t="str">
        <x:v>否</x:v>
      </x:c>
    </x:row>
    <x:row r="36">
      <x:c r="A36" s="308" t="str">
        <x:v>EEG-0043</x:v>
      </x:c>
      <x:c r="B36" s="309" t="str">
        <x:v>疾病/临床</x:v>
      </x:c>
      <x:c r="C36" s="309" t="str">
        <x:v>Neurodegenerative_Disorders</x:v>
      </x:c>
      <x:c r="D36" s="309" t="str">
        <x:v>CAUEEG</x:v>
      </x:c>
      <x:c r="E36" s="309" t="str">
        <x:v>Dementia diagnosis (classification of normal / mild cognitive impairment (MCI) / dementia)</x:v>
      </x:c>
      <x:c r="F36" s="309" t="str">
        <x:v>1379.0</x:v>
      </x:c>
      <x:c r="G36" s="309"/>
      <x:c r="H36" s="309"/>
      <x:c r="I36" s="309"/>
      <x:c r="J36" s="309" t="str">
        <x:v>MANUAL_REVIEW_REQUIRED</x:v>
      </x:c>
      <x:c r="K36" s="309" t="str">
        <x:v>已申请·等待访问</x:v>
      </x:c>
      <x:c r="L36" s="309" t="str">
        <x:v>P2</x:v>
      </x:c>
      <x:c r="M36" s="309"/>
      <x:c r="N36" s="309" t="str">
        <x:v>已提交 CAUEEG 申请；需本地伦理批准，等待邮件下载链接和密码。</x:v>
      </x:c>
      <x:c r="O36" s="309" t="str">
        <x:v>DOWNLOAD_PUBLIC</x:v>
      </x:c>
      <x:c r="P36" s="309" t="str">
        <x:v>https://github.com/ipis-mjkim/caueeg-dataset</x:v>
      </x:c>
      <x:c r="Q36" s="309"/>
      <x:c r="R36" s="310" t="str">
        <x:v>否</x:v>
      </x:c>
    </x:row>
    <x:row r="37">
      <x:c r="A37" s="226" t="str">
        <x:v>EEG-0044</x:v>
      </x:c>
      <x:c r="B37" s="259" t="str">
        <x:v>疾病/临床</x:v>
      </x:c>
      <x:c r="C37" s="259" t="str">
        <x:v>Neurodegenerative_Disorders</x:v>
      </x:c>
      <x:c r="D37" s="259" t="str">
        <x:v>Dementia Photo-stimulation Open-eyes EEG</x:v>
      </x:c>
      <x:c r="E37" s="259" t="str">
        <x:v>open-eyes EEG in photo-stimulation setting</x:v>
      </x:c>
      <x:c r="F37" s="259" t="str">
        <x:v>88</x:v>
      </x:c>
      <x:c r="G37" s="259" t="n">
        <x:v>88</x:v>
      </x:c>
      <x:c r="H37" s="259" t="n">
        <x:v>14.963480000000004</x:v>
      </x:c>
      <x:c r="I37" s="259" t="n">
        <x:v>14.963480000000004</x:v>
      </x:c>
      <x:c r="J37" s="259" t="str">
        <x:v>COMPLETED</x:v>
      </x:c>
      <x:c r="K37" s="259" t="str">
        <x:v>已下载·时长已审计</x:v>
      </x:c>
      <x:c r="L37" s="259" t="str">
        <x:v>完成</x:v>
      </x:c>
      <x:c r="M37" s="259"/>
      <x:c r="N37" s="259" t="str">
        <x:v>无需下载；保持服务器校验记录。</x:v>
      </x:c>
      <x:c r="O37" s="259" t="str">
        <x:v>DOWNLOAD_PUBLIC</x:v>
      </x:c>
      <x:c r="P37" s="259" t="str">
        <x:v>https://openneuro.org/datasets/ds006036/versions/1.0.6</x:v>
      </x:c>
      <x:c r="Q37" s="259" t="str">
        <x:v>OpenNeuro:ds006036</x:v>
      </x:c>
      <x:c r="R37" s="215" t="str">
        <x:v>否</x:v>
      </x:c>
    </x:row>
    <x:row r="38">
      <x:c r="A38" s="308" t="str">
        <x:v>EEG-0045</x:v>
      </x:c>
      <x:c r="B38" s="309" t="str">
        <x:v>疾病/临床</x:v>
      </x:c>
      <x:c r="C38" s="309" t="str">
        <x:v>Neurodegenerative_Disorders</x:v>
      </x:c>
      <x:c r="D38" s="309" t="str">
        <x:v>EEG p-adic quantum potential accurately identifies depression, schizophrenia and cognitive decline</x:v>
      </x:c>
      <x:c r="E38" s="309" t="str">
        <x:v>Resting-state；AD / MCI / healthy control / schizophrenia / depression classification；可构造 neurodegeneration vs psychiatric differential diagnosis</x:v>
      </x:c>
      <x:c r="F38" s="309" t="str">
        <x:v>230/249 (source-version scope differs; see duplicate evidence)</x:v>
      </x:c>
      <x:c r="G38" s="309" t="n">
        <x:v>230</x:v>
      </x:c>
      <x:c r="H38" s="309" t="n">
        <x:v>84.29973722222223</x:v>
      </x:c>
      <x:c r="I38" s="309" t="n">
        <x:v>84.29973722222223</x:v>
      </x:c>
      <x:c r="J38" s="309" t="str">
        <x:v>COMPLETED</x:v>
      </x:c>
      <x:c r="K38" s="309" t="str">
        <x:v>已下载·时长已审计</x:v>
      </x:c>
      <x:c r="L38" s="309" t="str">
        <x:v>完成</x:v>
      </x:c>
      <x:c r="M38" s="309"/>
      <x:c r="N38" s="309" t="str">
        <x:v>无需下载；保持服务器校验记录。</x:v>
      </x:c>
      <x:c r="O38" s="309" t="str">
        <x:v>DOWNLOAD_PUBLIC</x:v>
      </x:c>
      <x:c r="P38" s="309" t="str">
        <x:v>https://zenodo.org/records/7258868</x:v>
      </x:c>
      <x:c r="Q38" s="309" t="str">
        <x:v>Zenodo:7258868 | DOI:10.1371/journal.pone.0255529 | DOI:10.5061/dryad.8gtht76pw</x:v>
      </x:c>
      <x:c r="R38" s="310" t="str">
        <x:v>否</x:v>
      </x:c>
    </x:row>
    <x:row r="39">
      <x:c r="A39" s="226" t="str">
        <x:v>EEG-0047</x:v>
      </x:c>
      <x:c r="B39" s="259" t="str">
        <x:v>疾病/临床</x:v>
      </x:c>
      <x:c r="C39" s="259" t="str">
        <x:v>Neurodegenerative_Disorders</x:v>
      </x:c>
      <x:c r="D39" s="259" t="str">
        <x:v>Resting-state high-density EEG using EGI GES 300 for healthy elders, SCD, MCI and Alzheimer's disease</x:v>
      </x:c>
      <x:c r="E39" s="259" t="str">
        <x:v>including 4 samples of resting-state EEG recording for Alzheimer's Disease (AD), Mild Cognitive Impairment (MCI), Subjective Cognitive Decline (SCD), and Healthy Controls (HC) using the HD-EEG EGI GES 300.</x:v>
      </x:c>
      <x:c r="F39" s="259" t="str">
        <x:v>230</x:v>
      </x:c>
      <x:c r="G39" s="259" t="n">
        <x:v>230</x:v>
      </x:c>
      <x:c r="H39" s="259" t="n">
        <x:v>1.5</x:v>
      </x:c>
      <x:c r="I39" s="259" t="n">
        <x:v>1.5</x:v>
      </x:c>
      <x:c r="J39" s="259" t="str">
        <x:v>COMPLETED</x:v>
      </x:c>
      <x:c r="K39" s="259" t="str">
        <x:v>已下载·时长已审计</x:v>
      </x:c>
      <x:c r="L39" s="259" t="str">
        <x:v>完成</x:v>
      </x:c>
      <x:c r="M39" s="259"/>
      <x:c r="N39" s="259" t="str">
        <x:v>无需下载；保持服务器校验记录。</x:v>
      </x:c>
      <x:c r="O39" s="259" t="str">
        <x:v>DOWNLOAD_APPLICATION_REQUIRED</x:v>
      </x:c>
      <x:c r="P39" s="259" t="str">
        <x:v>https://doi.org/10.5281/zenodo.4316608</x:v>
      </x:c>
      <x:c r="Q39" s="259" t="str">
        <x:v>Zenodo:4316608 | DOI:10.3390/brainsci10060392,10.5281/zenodo.4316608</x:v>
      </x:c>
      <x:c r="R39" s="215" t="str">
        <x:v>否</x:v>
      </x:c>
    </x:row>
    <x:row r="40">
      <x:c r="A40" s="308" t="str">
        <x:v>EEG-0048</x:v>
      </x:c>
      <x:c r="B40" s="309" t="str">
        <x:v>疾病/临床</x:v>
      </x:c>
      <x:c r="C40" s="309" t="str">
        <x:v>Mental_and_Developmental_Disorders</x:v>
      </x:c>
      <x:c r="D40" s="309" t="str">
        <x:v>Adult ADHD EEG</x:v>
      </x:c>
      <x:c r="E40" s="309" t="str">
        <x:v>ADHD vs control (rest / cognitive / sound listening)；ADHD vs healthy control；eyes-open/eyes-closed；cognitive challenge；sound listening</x:v>
      </x:c>
      <x:c r="F40" s="309" t="str">
        <x:v>79 (42 control, 37 ADHD)</x:v>
      </x:c>
      <x:c r="G40" s="309" t="n">
        <x:v>79</x:v>
      </x:c>
      <x:c r="H40" s="309" t="n">
        <x:v>7.111111111111111</x:v>
      </x:c>
      <x:c r="I40" s="309" t="n">
        <x:v>7.111111111111111</x:v>
      </x:c>
      <x:c r="J40" s="309" t="str">
        <x:v>COMPLETED</x:v>
      </x:c>
      <x:c r="K40" s="309" t="str">
        <x:v>已下载·时长已审计</x:v>
      </x:c>
      <x:c r="L40" s="309" t="str">
        <x:v>完成</x:v>
      </x:c>
      <x:c r="M40" s="309"/>
      <x:c r="N40" s="309" t="str">
        <x:v>无需下载；保持服务器校验记录。</x:v>
      </x:c>
      <x:c r="O40" s="309" t="str">
        <x:v>DOWNLOAD_PUBLIC</x:v>
      </x:c>
      <x:c r="P40" s="309" t="str">
        <x:v>https://data.mendeley.com/datasets/6k4g25fhzg/1</x:v>
      </x:c>
      <x:c r="Q40" s="309"/>
      <x:c r="R40" s="310" t="str">
        <x:v>否</x:v>
      </x:c>
    </x:row>
    <x:row r="41">
      <x:c r="A41" s="226" t="str">
        <x:v>EEG-0050</x:v>
      </x:c>
      <x:c r="B41" s="259" t="str">
        <x:v>疾病/临床</x:v>
      </x:c>
      <x:c r="C41" s="259" t="str">
        <x:v>Mental_and_Developmental_Disorders</x:v>
      </x:c>
      <x:c r="D41" s="259" t="str">
        <x:v>Autism Detection Dataset</x:v>
      </x:c>
      <x:c r="E41" s="259" t="str">
        <x:v>Pupillary response and eye-tracking visual paradigm for autism spectrum disorder detection</x:v>
      </x:c>
      <x:c r="F41" s="259" t="str">
        <x:v>75</x:v>
      </x:c>
      <x:c r="G41" s="259" t="n">
        <x:v>75</x:v>
      </x:c>
      <x:c r="H41" s="259"/>
      <x:c r="I41" s="259"/>
      <x:c r="J41" s="259" t="str">
        <x:v>COMPLETED</x:v>
      </x:c>
      <x:c r="K41" s="259" t="str">
        <x:v>已下载·非独立 raw</x:v>
      </x:c>
      <x:c r="L41" s="259" t="str">
        <x:v>排除</x:v>
      </x:c>
      <x:c r="M41" s="259"/>
      <x:c r="N41" s="259" t="str">
        <x:v>下载内容未确认可用 EEG signal；不计入 raw EEG 主指标。</x:v>
      </x:c>
      <x:c r="O41" s="259" t="str">
        <x:v>DOWNLOAD_PUBLIC</x:v>
      </x:c>
      <x:c r="P41" s="259" t="str">
        <x:v>https://bci.med.tsinghua.edu.cn/download.html</x:v>
      </x:c>
      <x:c r="Q41" s="259"/>
      <x:c r="R41" s="215" t="str">
        <x:v>否</x:v>
      </x:c>
    </x:row>
    <x:row r="42">
      <x:c r="A42" s="308" t="str">
        <x:v>EEG-0051</x:v>
      </x:c>
      <x:c r="B42" s="309" t="str">
        <x:v>疾病/临床</x:v>
      </x:c>
      <x:c r="C42" s="309" t="str">
        <x:v>Mental_and_Developmental_Disorders</x:v>
      </x:c>
      <x:c r="D42" s="309" t="str">
        <x:v>B-SNIP1</x:v>
      </x:c>
      <x:c r="E42" s="309" t="str">
        <x:v>resting EEG / auditory-task EEG; psychosis biotypes / schizophrenia-bipolar spectrum</x:v>
      </x:c>
      <x:c r="F42" s="309" t="str">
        <x:v>985 in B-SNIP1 replication paper; EEG subset release-dependent</x:v>
      </x:c>
      <x:c r="G42" s="309"/>
      <x:c r="H42" s="309"/>
      <x:c r="I42" s="309"/>
      <x:c r="J42" s="309" t="str">
        <x:v>MANUAL_APPLICATION_OR_LOGIN</x:v>
      </x:c>
      <x:c r="K42" s="309" t="str">
        <x:v>舍弃</x:v>
      </x:c>
      <x:c r="L42" s="309" t="str">
        <x:v>舍弃</x:v>
      </x:c>
      <x:c r="M42" s="309"/>
      <x:c r="N42" s="309" t="str">
        <x:v>舍弃下载：NIMH NDA 登录/受控访问未能打通；保留 B-SNIP1 目录记录。</x:v>
      </x:c>
      <x:c r="O42" s="309" t="str">
        <x:v>DOWNLOAD_PUBLIC</x:v>
      </x:c>
      <x:c r="P42" s="309" t="str">
        <x:v>https://nda.nih.gov/edit_collection.html?id=2274</x:v>
      </x:c>
      <x:c r="Q42" s="309"/>
      <x:c r="R42" s="310" t="str">
        <x:v>否</x:v>
      </x:c>
    </x:row>
    <x:row r="43">
      <x:c r="A43" s="226" t="str">
        <x:v>EEG-0052</x:v>
      </x:c>
      <x:c r="B43" s="259" t="str">
        <x:v>疾病/临床</x:v>
      </x:c>
      <x:c r="C43" s="259" t="str">
        <x:v>Mental_and_Developmental_Disorders</x:v>
      </x:c>
      <x:c r="D43" s="259" t="str">
        <x:v>Depression resting (BDI)</x:v>
      </x:c>
      <x:c r="E43" s="259" t="str">
        <x:v>Depression severity (high vs low BDI) resting EEG</x:v>
      </x:c>
      <x:c r="F43" s="259" t="str">
        <x:v>122</x:v>
      </x:c>
      <x:c r="G43" s="259" t="n">
        <x:v>122</x:v>
      </x:c>
      <x:c r="H43" s="259" t="n">
        <x:v>23.359657777777795</x:v>
      </x:c>
      <x:c r="I43" s="259" t="n">
        <x:v>23.359657777777795</x:v>
      </x:c>
      <x:c r="J43" s="259" t="str">
        <x:v>COMPLETED</x:v>
      </x:c>
      <x:c r="K43" s="259" t="str">
        <x:v>已下载·时长已审计</x:v>
      </x:c>
      <x:c r="L43" s="259" t="str">
        <x:v>完成</x:v>
      </x:c>
      <x:c r="M43" s="259"/>
      <x:c r="N43" s="259" t="str">
        <x:v>无需下载；保持服务器校验记录。</x:v>
      </x:c>
      <x:c r="O43" s="259" t="str">
        <x:v>DOWNLOAD_PUBLIC</x:v>
      </x:c>
      <x:c r="P43" s="259" t="str">
        <x:v>https://openneuro.org/datasets/ds003478</x:v>
      </x:c>
      <x:c r="Q43" s="259" t="str">
        <x:v>OpenNeuro:ds003478</x:v>
      </x:c>
      <x:c r="R43" s="215" t="str">
        <x:v>否</x:v>
      </x:c>
    </x:row>
    <x:row r="44">
      <x:c r="A44" s="308" t="str">
        <x:v>EEG-0053</x:v>
      </x:c>
      <x:c r="B44" s="309" t="str">
        <x:v>疾病/临床</x:v>
      </x:c>
      <x:c r="C44" s="309" t="str">
        <x:v>Mental_and_Developmental_Disorders</x:v>
      </x:c>
      <x:c r="D44" s="309" t="str">
        <x:v>EEG Data for ADHD</x:v>
      </x:c>
      <x:c r="E44" s="309" t="str">
        <x:v>ADHD vs healthy control classification</x:v>
      </x:c>
      <x:c r="F44" s="309" t="str">
        <x:v>121</x:v>
      </x:c>
      <x:c r="G44" s="309"/>
      <x:c r="H44" s="309"/>
      <x:c r="I44" s="309"/>
      <x:c r="J44" s="309" t="str">
        <x:v>MANUAL_APPLICATION_OR_LOGIN</x:v>
      </x:c>
      <x:c r="K44" s="309" t="str">
        <x:v>舍弃</x:v>
      </x:c>
      <x:c r="L44" s="309" t="str">
        <x:v>舍弃</x:v>
      </x:c>
      <x:c r="M44" s="309"/>
      <x:c r="N44" s="309" t="str">
        <x:v>舍弃下载：IEEE DataPort 需要学校订阅且当前无法取得；保留 ADHD 目录记录。</x:v>
      </x:c>
      <x:c r="O44" s="309" t="str">
        <x:v>DOWNLOAD_PUBLIC</x:v>
      </x:c>
      <x:c r="P44" s="309" t="str">
        <x:v>https://ieee-dataport.org/open-access/eeg-data-adhd-control-children</x:v>
      </x:c>
      <x:c r="Q44" s="309" t="str">
        <x:v>DOI:10.21227/rzfh-zn36</x:v>
      </x:c>
      <x:c r="R44" s="310" t="str">
        <x:v>否</x:v>
      </x:c>
    </x:row>
    <x:row r="45">
      <x:c r="A45" s="226" t="str">
        <x:v>EEG-0054</x:v>
      </x:c>
      <x:c r="B45" s="259" t="str">
        <x:v>疾病/临床</x:v>
      </x:c>
      <x:c r="C45" s="259" t="str">
        <x:v>Mental_and_Developmental_Disorders</x:v>
      </x:c>
      <x:c r="D45" s="259" t="str">
        <x:v>EEG in schizophrenia</x:v>
      </x:c>
      <x:c r="E45" s="259" t="str">
        <x:v>resting-state schizophrenia vs healthy control</x:v>
      </x:c>
      <x:c r="F45" s="259" t="str">
        <x:v>28</x:v>
      </x:c>
      <x:c r="G45" s="259" t="n">
        <x:v>28</x:v>
      </x:c>
      <x:c r="H45" s="259" t="n">
        <x:v>8.0175</x:v>
      </x:c>
      <x:c r="I45" s="259" t="n">
        <x:v>8.0175</x:v>
      </x:c>
      <x:c r="J45" s="259" t="str">
        <x:v>COMPLETED</x:v>
      </x:c>
      <x:c r="K45" s="259" t="str">
        <x:v>已下载·时长已审计</x:v>
      </x:c>
      <x:c r="L45" s="259" t="str">
        <x:v>完成</x:v>
      </x:c>
      <x:c r="M45" s="259"/>
      <x:c r="N45" s="259" t="str">
        <x:v>无需下载；保持服务器校验记录。</x:v>
      </x:c>
      <x:c r="O45" s="259" t="str">
        <x:v>DOWNLOAD_PUBLIC</x:v>
      </x:c>
      <x:c r="P45" s="259" t="str">
        <x:v>https://repod.icm.edu.pl/dataset.xhtml?persistentId=doi%3A10.18150%2Frepod.0107441</x:v>
      </x:c>
      <x:c r="Q45" s="259"/>
      <x:c r="R45" s="215" t="str">
        <x:v>否</x:v>
      </x:c>
    </x:row>
    <x:row r="46">
      <x:c r="A46" s="308" t="str">
        <x:v>EEG-0055</x:v>
      </x:c>
      <x:c r="B46" s="309" t="str">
        <x:v>疾病/临床</x:v>
      </x:c>
      <x:c r="C46" s="309" t="str">
        <x:v>Mental_and_Developmental_Disorders</x:v>
      </x:c>
      <x:c r="D46" s="309" t="str">
        <x:v>FEPCR</x:v>
      </x:c>
      <x:c r="E46" s="309" t="str">
        <x:v>clinical / first-episode psychosis related EEG; LEAD pretraining source</x:v>
      </x:c>
      <x:c r="F46" s="309" t="str">
        <x:v>82</x:v>
      </x:c>
      <x:c r="G46" s="309" t="n">
        <x:v>82</x:v>
      </x:c>
      <x:c r="H46" s="309" t="n">
        <x:v>12.265277302055557</x:v>
      </x:c>
      <x:c r="I46" s="309" t="n">
        <x:v>12.265277302055557</x:v>
      </x:c>
      <x:c r="J46" s="309" t="str">
        <x:v>COMPLETED</x:v>
      </x:c>
      <x:c r="K46" s="309" t="str">
        <x:v>已下载·时长已审计</x:v>
      </x:c>
      <x:c r="L46" s="309" t="str">
        <x:v>完成</x:v>
      </x:c>
      <x:c r="M46" s="309"/>
      <x:c r="N46" s="309" t="str">
        <x:v>无需下载；保持服务器校验记录。</x:v>
      </x:c>
      <x:c r="O46" s="309" t="str">
        <x:v>DOWNLOAD_PUBLIC</x:v>
      </x:c>
      <x:c r="P46" s="309" t="str">
        <x:v>https://huggingface.co/datasets/EEGDash/ds003944</x:v>
      </x:c>
      <x:c r="Q46" s="309" t="str">
        <x:v>OpenNeuro:ds003944,ds003947</x:v>
      </x:c>
      <x:c r="R46" s="310" t="str">
        <x:v>否</x:v>
      </x:c>
    </x:row>
    <x:row r="47">
      <x:c r="A47" s="226" t="str">
        <x:v>EEG-0056</x:v>
      </x:c>
      <x:c r="B47" s="259" t="str">
        <x:v>疾病/临床</x:v>
      </x:c>
      <x:c r="C47" s="259" t="str">
        <x:v>Mental_and_Developmental_Disorders</x:v>
      </x:c>
      <x:c r="D47" s="259" t="str">
        <x:v>Fribourg Ultimatum Game in Schizophrenia Study</x:v>
      </x:c>
      <x:c r="E47" s="259" t="str">
        <x:v>Schizophrenia / psychosis</x:v>
      </x:c>
      <x:c r="F47" s="259" t="str">
        <x:v>43</x:v>
      </x:c>
      <x:c r="G47" s="259" t="n">
        <x:v>43</x:v>
      </x:c>
      <x:c r="H47" s="259" t="n">
        <x:v>12.056666666666667</x:v>
      </x:c>
      <x:c r="I47" s="259" t="n">
        <x:v>12.056666666666667</x:v>
      </x:c>
      <x:c r="J47" s="259" t="str">
        <x:v>COMPLETED</x:v>
      </x:c>
      <x:c r="K47" s="259" t="str">
        <x:v>已下载·时长已审计</x:v>
      </x:c>
      <x:c r="L47" s="259" t="str">
        <x:v>完成</x:v>
      </x:c>
      <x:c r="M47" s="259"/>
      <x:c r="N47" s="259" t="str">
        <x:v>无需下载；保持服务器校验记录。</x:v>
      </x:c>
      <x:c r="O47" s="259" t="str">
        <x:v>DOWNLOAD_APPLICATION_REQUIRED</x:v>
      </x:c>
      <x:c r="P47" s="259" t="str">
        <x:v>https://huggingface.co/datasets/EEGDash/ds004000</x:v>
      </x:c>
      <x:c r="Q47" s="259" t="str">
        <x:v>OpenNeuro:ds004000 | DOI:10.1016/j.schres.2017.05.037</x:v>
      </x:c>
      <x:c r="R47" s="215" t="str">
        <x:v>否</x:v>
      </x:c>
    </x:row>
    <x:row r="48">
      <x:c r="A48" s="308" t="str">
        <x:v>EEG-0057</x:v>
      </x:c>
      <x:c r="B48" s="309" t="str">
        <x:v>疾病/临床</x:v>
      </x:c>
      <x:c r="C48" s="309" t="str">
        <x:v>Mental_and_Developmental_Disorders</x:v>
      </x:c>
      <x:c r="D48" s="309" t="str">
        <x:v>MDD (Mumtaz)</x:v>
      </x:c>
      <x:c r="E48" s="309" t="str">
        <x:v>Depression (MDD) vs healthy (EO/EC + P300); OmniEEG: MDD classification</x:v>
      </x:c>
      <x:c r="F48" s="309" t="str">
        <x:v>64 (34 MDD + 30 HC)</x:v>
      </x:c>
      <x:c r="G48" s="309" t="n">
        <x:v>64</x:v>
      </x:c>
      <x:c r="H48" s="309" t="n">
        <x:v>20.555833333333332</x:v>
      </x:c>
      <x:c r="I48" s="309" t="n">
        <x:v>20.555833333333332</x:v>
      </x:c>
      <x:c r="J48" s="309" t="str">
        <x:v>COMPLETED</x:v>
      </x:c>
      <x:c r="K48" s="309" t="str">
        <x:v>已下载·时长已审计</x:v>
      </x:c>
      <x:c r="L48" s="309" t="str">
        <x:v>完成</x:v>
      </x:c>
      <x:c r="M48" s="309"/>
      <x:c r="N48" s="309" t="str">
        <x:v>无需下载；保持服务器校验记录。</x:v>
      </x:c>
      <x:c r="O48" s="309" t="str">
        <x:v>DOWNLOAD_APPLICATION_REQUIRED</x:v>
      </x:c>
      <x:c r="P48" s="309" t="str">
        <x:v>https://doi.org/10.6084/m9.figshare.4244171</x:v>
      </x:c>
      <x:c r="Q48" s="309" t="str">
        <x:v>Figshare:3385168,Figshare:4244171 | DOI:10.6084/m9.figshare.4244171</x:v>
      </x:c>
      <x:c r="R48" s="310" t="str">
        <x:v>否</x:v>
      </x:c>
    </x:row>
    <x:row r="49">
      <x:c r="A49" s="226" t="str">
        <x:v>EEG-0058</x:v>
      </x:c>
      <x:c r="B49" s="259" t="str">
        <x:v>疾病/临床</x:v>
      </x:c>
      <x:c r="C49" s="259" t="str">
        <x:v>Mental_and_Developmental_Disorders</x:v>
      </x:c>
      <x:c r="D49" s="259" t="str">
        <x:v>MODMA</x:v>
      </x:c>
      <x:c r="E49" s="259" t="str">
        <x:v>Mental disorder (depression) vs control; rest + dot-probe</x:v>
      </x:c>
      <x:c r="F49" s="259" t="str">
        <x:v>53 (128-ch) / 55 (3-ch)</x:v>
      </x:c>
      <x:c r="G49" s="259"/>
      <x:c r="H49" s="259"/>
      <x:c r="I49" s="259"/>
      <x:c r="J49" s="259" t="str">
        <x:v>MANUAL_APPLICATION_OR_LOGIN</x:v>
      </x:c>
      <x:c r="K49" s="259" t="str">
        <x:v>已申请·等待访问</x:v>
      </x:c>
      <x:c r="L49" s="259" t="str">
        <x:v>P2</x:v>
      </x:c>
      <x:c r="M49" s="259"/>
      <x:c r="N49" s="259" t="str">
        <x:v>MODMA 已申请；登录个人页确认授权，获批后立即下载。</x:v>
      </x:c>
      <x:c r="O49" s="259" t="str">
        <x:v>DOWNLOAD_APPLICATION_REQUIRED</x:v>
      </x:c>
      <x:c r="P49" s="259" t="str">
        <x:v>http://modma.lzu.edu.cn/data/index/</x:v>
      </x:c>
      <x:c r="Q49" s="259"/>
      <x:c r="R49" s="215" t="str">
        <x:v>否</x:v>
      </x:c>
    </x:row>
    <x:row r="50">
      <x:c r="A50" s="308" t="str">
        <x:v>EEG-0059</x:v>
      </x:c>
      <x:c r="B50" s="309" t="str">
        <x:v>疾病/临床</x:v>
      </x:c>
      <x:c r="C50" s="309" t="str">
        <x:v>Mental_and_Developmental_Disorders</x:v>
      </x:c>
      <x:c r="D50" s="309" t="str">
        <x:v>Power Spectral Density-Based Resting-State EEG Classification of First-Episode Psychosis</x:v>
      </x:c>
      <x:c r="E50" s="309" t="str">
        <x:v>Resting-state EEG</x:v>
      </x:c>
      <x:c r="F50" s="309" t="str">
        <x:v>72</x:v>
      </x:c>
      <x:c r="G50" s="309" t="n">
        <x:v>72</x:v>
      </x:c>
      <x:c r="H50" s="309" t="n">
        <x:v>6.05</x:v>
      </x:c>
      <x:c r="I50" s="309" t="n">
        <x:v>6.05</x:v>
      </x:c>
      <x:c r="J50" s="309" t="str">
        <x:v>COMPLETED</x:v>
      </x:c>
      <x:c r="K50" s="309" t="str">
        <x:v>已下载·时长已审计</x:v>
      </x:c>
      <x:c r="L50" s="309" t="str">
        <x:v>完成</x:v>
      </x:c>
      <x:c r="M50" s="309"/>
      <x:c r="N50" s="309" t="str">
        <x:v>无需下载；保持服务器校验记录。</x:v>
      </x:c>
      <x:c r="O50" s="309" t="str">
        <x:v>DOWNLOAD_PUBLIC</x:v>
      </x:c>
      <x:c r="P50" s="309" t="str">
        <x:v>https://zenodo.org/records/7315010</x:v>
      </x:c>
      <x:c r="Q50" s="309" t="str">
        <x:v>Zenodo:7315010 | DOI:10.1016/j.bpsc.2019.06.010</x:v>
      </x:c>
      <x:c r="R50" s="310" t="str">
        <x:v>否</x:v>
      </x:c>
    </x:row>
    <x:row r="51">
      <x:c r="A51" s="226" t="str">
        <x:v>EEG-0060</x:v>
      </x:c>
      <x:c r="B51" s="259" t="str">
        <x:v>疾病/临床</x:v>
      </x:c>
      <x:c r="C51" s="259" t="str">
        <x:v>Mental_and_Developmental_Disorders</x:v>
      </x:c>
      <x:c r="D51" s="259" t="str">
        <x:v>Schizophrenia-81</x:v>
      </x:c>
      <x:c r="E51" s="259" t="str">
        <x:v>schizophrenia vs control; button press / auditory tone ERP</x:v>
      </x:c>
      <x:c r="F51" s="259" t="str">
        <x:v>81</x:v>
      </x:c>
      <x:c r="G51" s="259" t="n">
        <x:v>81</x:v>
      </x:c>
      <x:c r="H51" s="259" t="n">
        <x:v>9.605833333333333</x:v>
      </x:c>
      <x:c r="I51" s="259" t="n">
        <x:v>9.605833333333333</x:v>
      </x:c>
      <x:c r="J51" s="259" t="str">
        <x:v>COMPLETED</x:v>
      </x:c>
      <x:c r="K51" s="259" t="str">
        <x:v>已下载·时长已审计</x:v>
      </x:c>
      <x:c r="L51" s="259" t="str">
        <x:v>完成</x:v>
      </x:c>
      <x:c r="M51" s="259"/>
      <x:c r="N51" s="259" t="str">
        <x:v>无需下载；保持服务器校验记录。</x:v>
      </x:c>
      <x:c r="O51" s="259" t="str">
        <x:v>DOWNLOAD_PUBLIC</x:v>
      </x:c>
      <x:c r="P51" s="259" t="str">
        <x:v>https://www.kaggle.com/datasets/broach/button-tone-sz</x:v>
      </x:c>
      <x:c r="Q51" s="259"/>
      <x:c r="R51" s="215" t="str">
        <x:v>否</x:v>
      </x:c>
    </x:row>
    <x:row r="52">
      <x:c r="A52" s="308" t="str">
        <x:v>EEG-0061</x:v>
      </x:c>
      <x:c r="B52" s="309" t="str">
        <x:v>疾病/临床</x:v>
      </x:c>
      <x:c r="C52" s="309" t="str">
        <x:v>Mental_and_Developmental_Disorders</x:v>
      </x:c>
      <x:c r="D52" s="309" t="str">
        <x:v>TDBRAIN</x:v>
      </x:c>
      <x:c r="E52" s="309" t="str">
        <x:v>Resting-state (EO/EC); OmniEEG: psychiatric phenotype (4-class)</x:v>
      </x:c>
      <x:c r="F52" s="309" t="str">
        <x:v>1,274</x:v>
      </x:c>
      <x:c r="G52" s="309" t="n">
        <x:v>1464</x:v>
      </x:c>
      <x:c r="H52" s="309" t="n">
        <x:v>120.51638888888888</x:v>
      </x:c>
      <x:c r="I52" s="309" t="n">
        <x:v>120.51638888888888</x:v>
      </x:c>
      <x:c r="J52" s="309" t="str">
        <x:v>COMPLETED</x:v>
      </x:c>
      <x:c r="K52" s="309" t="str">
        <x:v>已下载·时长已审计</x:v>
      </x:c>
      <x:c r="L52" s="309" t="str">
        <x:v>完成</x:v>
      </x:c>
      <x:c r="M52" s="309"/>
      <x:c r="N52" s="309" t="str">
        <x:v>无需下载；保持服务器校验记录。</x:v>
      </x:c>
      <x:c r="O52" s="309" t="str">
        <x:v>DOWNLOAD_APPLICATION_REQUIRED</x:v>
      </x:c>
      <x:c r="P52" s="309" t="str">
        <x:v>https://brainclinics.com/resources/</x:v>
      </x:c>
      <x:c r="Q52" s="309"/>
      <x:c r="R52" s="310" t="str">
        <x:v>否</x:v>
      </x:c>
    </x:row>
    <x:row r="53">
      <x:c r="A53" s="226" t="str">
        <x:v>EEG-0062</x:v>
      </x:c>
      <x:c r="B53" s="259" t="str">
        <x:v>疾病/临床</x:v>
      </x:c>
      <x:c r="C53" s="259" t="str">
        <x:v>Neurological_Disorders</x:v>
      </x:c>
      <x:c r="D53" s="259" t="str">
        <x:v>Acute Mild TBI DPX Cognitive-control EEG</x:v>
      </x:c>
      <x:c r="E53" s="259" t="str">
        <x:v>DPX cognitive-control task；acute mild traumatic brain injury</x:v>
      </x:c>
      <x:c r="F53" s="259" t="str">
        <x:v>91</x:v>
      </x:c>
      <x:c r="G53" s="259" t="n">
        <x:v>91</x:v>
      </x:c>
      <x:c r="H53" s="259" t="n">
        <x:v>124.27265277777778</x:v>
      </x:c>
      <x:c r="I53" s="259" t="n">
        <x:v>124.27265277777778</x:v>
      </x:c>
      <x:c r="J53" s="259" t="str">
        <x:v>COMPLETED</x:v>
      </x:c>
      <x:c r="K53" s="259" t="str">
        <x:v>已下载·时长已审计</x:v>
      </x:c>
      <x:c r="L53" s="259" t="str">
        <x:v>完成</x:v>
      </x:c>
      <x:c r="M53" s="259"/>
      <x:c r="N53" s="259" t="str">
        <x:v>无需下载；保持服务器校验记录。</x:v>
      </x:c>
      <x:c r="O53" s="259" t="str">
        <x:v>DOWNLOAD_PUBLIC</x:v>
      </x:c>
      <x:c r="P53" s="259" t="str">
        <x:v>https://openneuro.org/datasets/ds005114/versions/1.0.0</x:v>
      </x:c>
      <x:c r="Q53" s="259" t="str">
        <x:v>OpenNeuro:ds005114</x:v>
      </x:c>
      <x:c r="R53" s="215" t="str">
        <x:v>否</x:v>
      </x:c>
    </x:row>
    <x:row r="54">
      <x:c r="A54" s="308" t="str">
        <x:v>EEG-0063</x:v>
      </x:c>
      <x:c r="B54" s="309" t="str">
        <x:v>疾病/临床</x:v>
      </x:c>
      <x:c r="C54" s="309" t="str">
        <x:v>Neurological_Disorders</x:v>
      </x:c>
      <x:c r="D54" s="309" t="str">
        <x:v>Clinical BCI Challenge WCCI 2020 (Stroke Motor Attempt)</x:v>
      </x:c>
      <x:c r="E54" s="309" t="str">
        <x:v>Left-versus-right hand motor attempt in hemiparetic stroke; within- and cross-subject classification</x:v>
      </x:c>
      <x:c r="F54" s="309" t="str">
        <x:v>10 hemiparetic stroke patients (P01-P10; training labels P01-P08)</x:v>
      </x:c>
      <x:c r="G54" s="309" t="n">
        <x:v>50</x:v>
      </x:c>
      <x:c r="H54" s="309" t="n">
        <x:v>2.6666666666666665</x:v>
      </x:c>
      <x:c r="I54" s="309" t="n">
        <x:v>2.6666666666666665</x:v>
      </x:c>
      <x:c r="J54" s="309" t="str">
        <x:v>COMPLETED</x:v>
      </x:c>
      <x:c r="K54" s="309" t="str">
        <x:v>已下载·时长已审计</x:v>
      </x:c>
      <x:c r="L54" s="309" t="str">
        <x:v>完成</x:v>
      </x:c>
      <x:c r="M54" s="309"/>
      <x:c r="N54" s="309" t="str">
        <x:v>无需下载；保持服务器校验记录。</x:v>
      </x:c>
      <x:c r="O54" s="309" t="str">
        <x:v>DOWNLOAD_PUBLIC</x:v>
      </x:c>
      <x:c r="P54" s="309" t="str">
        <x:v>https://github.com/5anirban9/Clinical-Brain-Computer-Interfaces-Challenge-WCCI-2020-Glasgow</x:v>
      </x:c>
      <x:c r="Q54" s="309" t="str">
        <x:v>GitHub:5anirban9/Clinical-Brain-Computer-Interfaces-Challenge-WCCI-2020-Glasgow</x:v>
      </x:c>
      <x:c r="R54" s="310" t="str">
        <x:v>否</x:v>
      </x:c>
    </x:row>
    <x:row r="55">
      <x:c r="A55" s="226" t="str">
        <x:v>EEG-0064</x:v>
      </x:c>
      <x:c r="B55" s="259" t="str">
        <x:v>疾病/临床</x:v>
      </x:c>
      <x:c r="C55" s="259" t="str">
        <x:v>Neurological_Disorders</x:v>
      </x:c>
      <x:c r="D55" s="259" t="str">
        <x:v>bigP3BCI</x:v>
      </x:c>
      <x:c r="E55" s="259" t="str">
        <x:v>spelling BCI；ALS assistive communication；clinical BCI target selection</x:v>
      </x:c>
      <x:c r="F55" s="259" t="str">
        <x:v>336 个 study-participant 条目（20 项研究表内合计；跨研究唯一人数未声明）</x:v>
      </x:c>
      <x:c r="G55" s="259" t="n">
        <x:v>178</x:v>
      </x:c>
      <x:c r="H55" s="259" t="n">
        <x:v>267.14497044443334</x:v>
      </x:c>
      <x:c r="I55" s="259" t="n">
        <x:v>267.14497044443334</x:v>
      </x:c>
      <x:c r="J55" s="259" t="str">
        <x:v>COMPLETED</x:v>
      </x:c>
      <x:c r="K55" s="259" t="str">
        <x:v>已下载·时长已审计</x:v>
      </x:c>
      <x:c r="L55" s="259" t="str">
        <x:v>完成</x:v>
      </x:c>
      <x:c r="M55" s="259"/>
      <x:c r="N55" s="259" t="str">
        <x:v>无需下载；保持服务器校验记录。</x:v>
      </x:c>
      <x:c r="O55" s="259" t="str">
        <x:v>DOWNLOAD_PUBLIC</x:v>
      </x:c>
      <x:c r="P55" s="259" t="str">
        <x:v>https://physionet.org/content/bigp3bci/1.0.0/</x:v>
      </x:c>
      <x:c r="Q55" s="259" t="str">
        <x:v>PhysioNet:bigp3bci:v1.0.0 | DOI:10.13026/0byy-ry86</x:v>
      </x:c>
      <x:c r="R55" s="215" t="str">
        <x:v>否</x:v>
      </x:c>
    </x:row>
    <x:row r="56">
      <x:c r="A56" s="308" t="str">
        <x:v>EEG-0065</x:v>
      </x:c>
      <x:c r="B56" s="309" t="str">
        <x:v>疾病/临床</x:v>
      </x:c>
      <x:c r="C56" s="309" t="str">
        <x:v>Neurological_Disorders</x:v>
      </x:c>
      <x:c r="D56" s="309" t="str">
        <x:v>ALS-Spelling (EEG-ET)</x:v>
      </x:c>
      <x:c r="E56" s="309" t="str">
        <x:v>Eye-tracking spelling system usage (ALS)</x:v>
      </x:c>
      <x:c r="F56" s="309" t="str">
        <x:v>176（6 ALS + 170 healthy）</x:v>
      </x:c>
      <x:c r="G56" s="309" t="n">
        <x:v>178</x:v>
      </x:c>
      <x:c r="H56" s="309" t="n">
        <x:v>66.32305555555556</x:v>
      </x:c>
      <x:c r="I56" s="309" t="n">
        <x:v>66.32305555555556</x:v>
      </x:c>
      <x:c r="J56" s="309" t="str">
        <x:v>COMPLETED</x:v>
      </x:c>
      <x:c r="K56" s="309" t="str">
        <x:v>已下载·时长已审计</x:v>
      </x:c>
      <x:c r="L56" s="309" t="str">
        <x:v>完成</x:v>
      </x:c>
      <x:c r="M56" s="309"/>
      <x:c r="N56" s="309" t="str">
        <x:v>无需下载；保持服务器校验记录。</x:v>
      </x:c>
      <x:c r="O56" s="309" t="str">
        <x:v>DOWNLOAD_PUBLIC</x:v>
      </x:c>
      <x:c r="P56" s="309" t="str">
        <x:v>https://doi.org/10.6084/m9.figshare.24485689.v1</x:v>
      </x:c>
      <x:c r="Q56" s="309" t="str">
        <x:v>DOI:10.6084/m9.figshare.c.6910027.v1 | DOI:10.6084/m9.figshare.24485689.v1</x:v>
      </x:c>
      <x:c r="R56" s="310" t="str">
        <x:v>否</x:v>
      </x:c>
    </x:row>
    <x:row r="57">
      <x:c r="A57" s="226" t="str">
        <x:v>EEG-0070</x:v>
      </x:c>
      <x:c r="B57" s="259" t="str">
        <x:v>疾病/临床</x:v>
      </x:c>
      <x:c r="C57" s="259" t="str">
        <x:v>Neurological_Disorders</x:v>
      </x:c>
      <x:c r="D57" s="259" t="str">
        <x:v>BNCI 006-2014 (SCP training in stroke)</x:v>
      </x:c>
      <x:c r="E57" s="259" t="str">
        <x:v>Slow Cortical Potentials (SCP) self-regulation training</x:v>
      </x:c>
      <x:c r="F57" s="259" t="str">
        <x:v>2</x:v>
      </x:c>
      <x:c r="G57" s="259" t="n">
        <x:v>2</x:v>
      </x:c>
      <x:c r="H57" s="259" t="n">
        <x:v>21.875555555555554</x:v>
      </x:c>
      <x:c r="I57" s="259" t="n">
        <x:v>21.875555555555554</x:v>
      </x:c>
      <x:c r="J57" s="259" t="str">
        <x:v>COMPLETED</x:v>
      </x:c>
      <x:c r="K57" s="259" t="str">
        <x:v>已下载·时长已审计</x:v>
      </x:c>
      <x:c r="L57" s="259" t="str">
        <x:v>完成</x:v>
      </x:c>
      <x:c r="M57" s="259"/>
      <x:c r="N57" s="259" t="str">
        <x:v>无需下载；保持服务器校验记录。</x:v>
      </x:c>
      <x:c r="O57" s="259" t="str">
        <x:v>DOWNLOAD_PUBLIC</x:v>
      </x:c>
      <x:c r="P57" s="259" t="str">
        <x:v>http://bnci-horizon-2020.eu/database/data-sets</x:v>
      </x:c>
      <x:c r="Q57" s="259" t="str">
        <x:v>BNCI:BNCI 006-2014</x:v>
      </x:c>
      <x:c r="R57" s="215" t="str">
        <x:v>否</x:v>
      </x:c>
    </x:row>
    <x:row r="58">
      <x:c r="A58" s="308" t="str">
        <x:v>EEG-0071</x:v>
      </x:c>
      <x:c r="B58" s="309" t="str">
        <x:v>疾病/临床</x:v>
      </x:c>
      <x:c r="C58" s="309" t="str">
        <x:v>Neurological_Disorders</x:v>
      </x:c>
      <x:c r="D58" s="309" t="str">
        <x:v>BNCI 008-2014 (P300 speller, ALS)</x:v>
      </x:c>
      <x:c r="E58" s="309" t="str">
        <x:v>Visual P300 speller matrix spelling task；P300 / ERP target vs non-target; ALS P300 speller</x:v>
      </x:c>
      <x:c r="F58" s="309" t="str">
        <x:v>8</x:v>
      </x:c>
      <x:c r="G58" s="309" t="n">
        <x:v>8</x:v>
      </x:c>
      <x:c r="H58" s="309" t="n">
        <x:v>3.018263888888889</x:v>
      </x:c>
      <x:c r="I58" s="309" t="n">
        <x:v>3.018263888888889</x:v>
      </x:c>
      <x:c r="J58" s="309" t="str">
        <x:v>COMPLETED</x:v>
      </x:c>
      <x:c r="K58" s="309" t="str">
        <x:v>已下载·时长已审计</x:v>
      </x:c>
      <x:c r="L58" s="309" t="str">
        <x:v>完成</x:v>
      </x:c>
      <x:c r="M58" s="309"/>
      <x:c r="N58" s="309" t="str">
        <x:v>无需下载；保持服务器校验记录。</x:v>
      </x:c>
      <x:c r="O58" s="309" t="str">
        <x:v>DOWNLOAD_PUBLIC</x:v>
      </x:c>
      <x:c r="P58" s="309" t="str">
        <x:v>http://bnci-horizon-2020.eu/database/data-sets</x:v>
      </x:c>
      <x:c r="Q58" s="309" t="str">
        <x:v>BNCI:BNCI 008-2014 | BNCI:008-2014 | DOI:10.3389/fnhum.2013.00732</x:v>
      </x:c>
      <x:c r="R58" s="310" t="str">
        <x:v>否</x:v>
      </x:c>
    </x:row>
    <x:row r="59">
      <x:c r="A59" s="226" t="str">
        <x:v>EEG-0074</x:v>
      </x:c>
      <x:c r="B59" s="259" t="str">
        <x:v>疾病/临床</x:v>
      </x:c>
      <x:c r="C59" s="259" t="str">
        <x:v>Neurological_Disorders</x:v>
      </x:c>
      <x:c r="D59" s="259" t="str">
        <x:v>CCEP ECoG Dataset across age 4-51</x:v>
      </x:c>
      <x:c r="E59" s="259" t="str">
        <x:v>cortico-cortical evoked potentials; SPESclin / developmental transmission speed</x:v>
      </x:c>
      <x:c r="F59" s="259" t="str">
        <x:v>74</x:v>
      </x:c>
      <x:c r="G59" s="259" t="n">
        <x:v>74</x:v>
      </x:c>
      <x:c r="H59" s="259" t="n">
        <x:v>89.39102118458145</x:v>
      </x:c>
      <x:c r="I59" s="259" t="n">
        <x:v>89.39102118458145</x:v>
      </x:c>
      <x:c r="J59" s="259" t="str">
        <x:v>COMPLETED</x:v>
      </x:c>
      <x:c r="K59" s="259" t="str">
        <x:v>已下载·时长已审计</x:v>
      </x:c>
      <x:c r="L59" s="259" t="str">
        <x:v>完成</x:v>
      </x:c>
      <x:c r="M59" s="259"/>
      <x:c r="N59" s="259" t="str">
        <x:v>无需下载；保持服务器校验记录。</x:v>
      </x:c>
      <x:c r="O59" s="259" t="str">
        <x:v>DOWNLOAD_PUBLIC</x:v>
      </x:c>
      <x:c r="P59" s="259" t="str">
        <x:v>https://openneuro.org/datasets/ds004080/versions/1.2.4</x:v>
      </x:c>
      <x:c r="Q59" s="259" t="str">
        <x:v>OpenNeuro:ds004080</x:v>
      </x:c>
      <x:c r="R59" s="215" t="str">
        <x:v>否</x:v>
      </x:c>
    </x:row>
    <x:row r="60">
      <x:c r="A60" s="308" t="str">
        <x:v>EEG-0075</x:v>
      </x:c>
      <x:c r="B60" s="309" t="str">
        <x:v>疾病/临床</x:v>
      </x:c>
      <x:c r="C60" s="309" t="str">
        <x:v>Neurological_Disorders</x:v>
      </x:c>
      <x:c r="D60" s="309" t="str">
        <x:v>Dataset of electrophysiological signals (EEG, ECG, EMG) during Music therapy with adult burn patients in the Intensive Care Unit.</x:v>
      </x:c>
      <x:c r="E60" s="309" t="str">
        <x:v>task-musicTherapy; task-postMusicTherapy; task-preMusicTherapy</x:v>
      </x:c>
      <x:c r="F60" s="309" t="str">
        <x:v>9</x:v>
      </x:c>
      <x:c r="G60" s="309" t="n">
        <x:v>9</x:v>
      </x:c>
      <x:c r="H60" s="309" t="n">
        <x:v>10.940555555555555</x:v>
      </x:c>
      <x:c r="I60" s="309" t="n">
        <x:v>10.940555555555555</x:v>
      </x:c>
      <x:c r="J60" s="309" t="str">
        <x:v>COMPLETED</x:v>
      </x:c>
      <x:c r="K60" s="309" t="str">
        <x:v>已下载·时长已审计</x:v>
      </x:c>
      <x:c r="L60" s="309" t="str">
        <x:v>完成</x:v>
      </x:c>
      <x:c r="M60" s="309"/>
      <x:c r="N60" s="309" t="str">
        <x:v>无需下载；保持服务器校验记录。</x:v>
      </x:c>
      <x:c r="O60" s="309" t="str">
        <x:v>DOWNLOAD_PUBLIC</x:v>
      </x:c>
      <x:c r="P60" s="309" t="str">
        <x:v>https://openneuro.org/datasets/ds004840/versions/1.0.1</x:v>
      </x:c>
      <x:c r="Q60" s="309" t="str">
        <x:v>OpenNeuro:ds004840 | DOI:10.18112/openneuro.ds004840.v1.0.1</x:v>
      </x:c>
      <x:c r="R60" s="310" t="str">
        <x:v>否</x:v>
      </x:c>
    </x:row>
    <x:row r="61">
      <x:c r="A61" s="226" t="str">
        <x:v>EEG-0078</x:v>
      </x:c>
      <x:c r="B61" s="259" t="str">
        <x:v>疾病/临床</x:v>
      </x:c>
      <x:c r="C61" s="259" t="str">
        <x:v>Neurological_Disorders</x:v>
      </x:c>
      <x:c r="D61" s="259" t="str">
        <x:v>EEG: 3-Stim Auditory Oddball and Rest in Parkinson’s</x:v>
      </x:c>
      <x:c r="E61" s="259" t="str">
        <x:v>Parkinson’s disease</x:v>
      </x:c>
      <x:c r="F61" s="259" t="str">
        <x:v>50</x:v>
      </x:c>
      <x:c r="G61" s="259" t="n">
        <x:v>50</x:v>
      </x:c>
      <x:c r="H61" s="259" t="n">
        <x:v>12.759916666666669</x:v>
      </x:c>
      <x:c r="I61" s="259" t="n">
        <x:v>12.759916666666669</x:v>
      </x:c>
      <x:c r="J61" s="259" t="str">
        <x:v>COMPLETED</x:v>
      </x:c>
      <x:c r="K61" s="259" t="str">
        <x:v>已下载·时长已审计</x:v>
      </x:c>
      <x:c r="L61" s="259" t="str">
        <x:v>完成</x:v>
      </x:c>
      <x:c r="M61" s="259"/>
      <x:c r="N61" s="259" t="str">
        <x:v>无需下载；保持服务器校验记录。</x:v>
      </x:c>
      <x:c r="O61" s="259" t="str">
        <x:v>DOWNLOAD_APPLICATION_REQUIRED</x:v>
      </x:c>
      <x:c r="P61" s="259" t="str">
        <x:v>https://huggingface.co/datasets/EEGDash/ds003490</x:v>
      </x:c>
      <x:c r="Q61" s="259" t="str">
        <x:v>OpenNeuro:ds003490 | DOI:10.1016/j.clinph.2017.11.023</x:v>
      </x:c>
      <x:c r="R61" s="215" t="str">
        <x:v>否</x:v>
      </x:c>
    </x:row>
    <x:row r="62">
      <x:c r="A62" s="308" t="str">
        <x:v>EEG-0079</x:v>
      </x:c>
      <x:c r="B62" s="309" t="str">
        <x:v>疾病/临床</x:v>
      </x:c>
      <x:c r="C62" s="309" t="str">
        <x:v>Neurological_Disorders</x:v>
      </x:c>
      <x:c r="D62" s="309" t="str">
        <x:v>EEG: Reinforcement Learning in Parkinson’s</x:v>
      </x:c>
      <x:c r="E62" s="309" t="str">
        <x:v>Parkinson’s disease / reinforcement learning task</x:v>
      </x:c>
      <x:c r="F62" s="309" t="str">
        <x:v>56</x:v>
      </x:c>
      <x:c r="G62" s="309" t="n">
        <x:v>56</x:v>
      </x:c>
      <x:c r="H62" s="309" t="n">
        <x:v>35.38127777777776</x:v>
      </x:c>
      <x:c r="I62" s="309" t="n">
        <x:v>35.38127777777776</x:v>
      </x:c>
      <x:c r="J62" s="309" t="str">
        <x:v>COMPLETED</x:v>
      </x:c>
      <x:c r="K62" s="309" t="str">
        <x:v>已下载·时长已审计</x:v>
      </x:c>
      <x:c r="L62" s="309" t="str">
        <x:v>完成</x:v>
      </x:c>
      <x:c r="M62" s="309"/>
      <x:c r="N62" s="309" t="str">
        <x:v>无需下载；保持服务器校验记录。</x:v>
      </x:c>
      <x:c r="O62" s="309" t="str">
        <x:v>DOWNLOAD_APPLICATION_REQUIRED</x:v>
      </x:c>
      <x:c r="P62" s="309" t="str">
        <x:v>https://huggingface.co/datasets/EEGDash/ds003506</x:v>
      </x:c>
      <x:c r="Q62" s="309" t="str">
        <x:v>OpenNeuro:ds003506 | DOI:10.1016/j.brainres.2019.146541</x:v>
      </x:c>
      <x:c r="R62" s="310" t="str">
        <x:v>否</x:v>
      </x:c>
    </x:row>
    <x:row r="63">
      <x:c r="A63" s="226" t="str">
        <x:v>EEG-0080</x:v>
      </x:c>
      <x:c r="B63" s="259" t="str">
        <x:v>疾病/临床</x:v>
      </x:c>
      <x:c r="C63" s="259" t="str">
        <x:v>Neurological_Disorders</x:v>
      </x:c>
      <x:c r="D63" s="259" t="str">
        <x:v>EEG: Simon Conflict in Parkinson's</x:v>
      </x:c>
      <x:c r="E63" s="259" t="str">
        <x:v>Simon conflict task；cognitive control；Parkinson medication/session effects</x:v>
      </x:c>
      <x:c r="F63" s="259" t="str">
        <x:v>56</x:v>
      </x:c>
      <x:c r="G63" s="259" t="n">
        <x:v>56</x:v>
      </x:c>
      <x:c r="H63" s="259" t="n">
        <x:v>48.53486111111113</x:v>
      </x:c>
      <x:c r="I63" s="259" t="n">
        <x:v>48.53486111111113</x:v>
      </x:c>
      <x:c r="J63" s="259" t="str">
        <x:v>COMPLETED</x:v>
      </x:c>
      <x:c r="K63" s="259" t="str">
        <x:v>已下载·时长已审计</x:v>
      </x:c>
      <x:c r="L63" s="259" t="str">
        <x:v>完成</x:v>
      </x:c>
      <x:c r="M63" s="259"/>
      <x:c r="N63" s="259" t="str">
        <x:v>无需下载；保持服务器校验记录。</x:v>
      </x:c>
      <x:c r="O63" s="259" t="str">
        <x:v>DOWNLOAD_PUBLIC</x:v>
      </x:c>
      <x:c r="P63" s="259" t="str">
        <x:v>https://huggingface.co/datasets/EEGDash/ds003509</x:v>
      </x:c>
      <x:c r="Q63" s="259" t="str">
        <x:v>OpenNeuro:ds003509</x:v>
      </x:c>
      <x:c r="R63" s="215" t="str">
        <x:v>否</x:v>
      </x:c>
    </x:row>
    <x:row r="64">
      <x:c r="A64" s="308" t="str">
        <x:v>EEG-0081</x:v>
      </x:c>
      <x:c r="B64" s="309" t="str">
        <x:v>疾病/临床</x:v>
      </x:c>
      <x:c r="C64" s="309" t="str">
        <x:v>Neurological_Disorders</x:v>
      </x:c>
      <x:c r="D64" s="309" t="str">
        <x:v>EEG: Three-Stim Auditory Oddball and Rest in Acute and Chronic TBI</x:v>
      </x:c>
      <x:c r="E64" s="309" t="str">
        <x:v>three-stim auditory oddball；rest；visual working memory in acute / chronic TBI</x:v>
      </x:c>
      <x:c r="F64" s="309" t="str">
        <x:v>96</x:v>
      </x:c>
      <x:c r="G64" s="309" t="n">
        <x:v>96</x:v>
      </x:c>
      <x:c r="H64" s="309" t="n">
        <x:v>140.79954166666658</x:v>
      </x:c>
      <x:c r="I64" s="309" t="n">
        <x:v>140.79954166666658</x:v>
      </x:c>
      <x:c r="J64" s="309" t="str">
        <x:v>COMPLETED</x:v>
      </x:c>
      <x:c r="K64" s="309" t="str">
        <x:v>已下载·时长已审计</x:v>
      </x:c>
      <x:c r="L64" s="309" t="str">
        <x:v>完成</x:v>
      </x:c>
      <x:c r="M64" s="309"/>
      <x:c r="N64" s="309" t="str">
        <x:v>无需下载；保持服务器校验记录。</x:v>
      </x:c>
      <x:c r="O64" s="309" t="str">
        <x:v>DOWNLOAD_PUBLIC</x:v>
      </x:c>
      <x:c r="P64" s="309" t="str">
        <x:v>https://huggingface.co/datasets/EEGDash/ds003522</x:v>
      </x:c>
      <x:c r="Q64" s="309" t="str">
        <x:v>OpenNeuro:ds003522,ds003523 | DOI:10.18112/openneuro.ds003522.v1.1.0</x:v>
      </x:c>
      <x:c r="R64" s="310" t="str">
        <x:v>否</x:v>
      </x:c>
    </x:row>
    <x:row r="65">
      <x:c r="A65" s="226" t="str">
        <x:v>EEG-0082</x:v>
      </x:c>
      <x:c r="B65" s="259" t="str">
        <x:v>健康/人群</x:v>
      </x:c>
      <x:c r="C65" s="259" t="str">
        <x:v>Sensory_Physiology</x:v>
      </x:c>
      <x:c r="D65" s="259" t="str">
        <x:v>Human Spinal-cord Somatosensory Evoked Potentials EEG</x:v>
      </x:c>
      <x:c r="E65" s="259" t="str">
        <x:v>mixed nerve stimulation；spinal cord SEP；EEG/ESG/ENG physiology</x:v>
      </x:c>
      <x:c r="F65" s="259" t="str">
        <x:v>40</x:v>
      </x:c>
      <x:c r="G65" s="259" t="n">
        <x:v>40</x:v>
      </x:c>
      <x:c r="H65" s="259" t="n">
        <x:v>43.48990400000004</x:v>
      </x:c>
      <x:c r="I65" s="259" t="n">
        <x:v>43.48990400000004</x:v>
      </x:c>
      <x:c r="J65" s="259" t="str">
        <x:v>COMPLETED</x:v>
      </x:c>
      <x:c r="K65" s="259" t="str">
        <x:v>已下载·时长已审计</x:v>
      </x:c>
      <x:c r="L65" s="259" t="str">
        <x:v>完成</x:v>
      </x:c>
      <x:c r="M65" s="259"/>
      <x:c r="N65" s="259" t="str">
        <x:v>无需下载；保持服务器校验记录。</x:v>
      </x:c>
      <x:c r="O65" s="259" t="str">
        <x:v>DOWNLOAD_PUBLIC</x:v>
      </x:c>
      <x:c r="P65" s="259" t="str">
        <x:v>https://openneuro.org/datasets/ds004388/versions/1.0.0</x:v>
      </x:c>
      <x:c r="Q65" s="259" t="str">
        <x:v>OpenNeuro:ds004388</x:v>
      </x:c>
      <x:c r="R65" s="215" t="str">
        <x:v>否</x:v>
      </x:c>
    </x:row>
    <x:row r="66">
      <x:c r="A66" s="308" t="str">
        <x:v>EEG-0083</x:v>
      </x:c>
      <x:c r="B66" s="309" t="str">
        <x:v>疾病/临床</x:v>
      </x:c>
      <x:c r="C66" s="309" t="str">
        <x:v>Neurological_Disorders</x:v>
      </x:c>
      <x:c r="D66" s="309" t="str">
        <x:v>Intraoperative Medianus-tibialis Stimulation EEG</x:v>
      </x:c>
      <x:c r="E66" s="309" t="str">
        <x:v>intraoperative somatosensory evoked potentials；medianus/tibialis stimulation rates</x:v>
      </x:c>
      <x:c r="F66" s="309" t="str">
        <x:v>18</x:v>
      </x:c>
      <x:c r="G66" s="309" t="n">
        <x:v>18</x:v>
      </x:c>
      <x:c r="H66" s="309" t="n">
        <x:v>11.763055555555555</x:v>
      </x:c>
      <x:c r="I66" s="309" t="n">
        <x:v>11.763055555555555</x:v>
      </x:c>
      <x:c r="J66" s="309" t="str">
        <x:v>COMPLETED</x:v>
      </x:c>
      <x:c r="K66" s="309" t="str">
        <x:v>已下载·时长已审计</x:v>
      </x:c>
      <x:c r="L66" s="309" t="str">
        <x:v>完成</x:v>
      </x:c>
      <x:c r="M66" s="309"/>
      <x:c r="N66" s="309" t="str">
        <x:v>无需下载；保持服务器校验记录。</x:v>
      </x:c>
      <x:c r="O66" s="309" t="str">
        <x:v>DOWNLOAD_PUBLIC</x:v>
      </x:c>
      <x:c r="P66" s="309" t="str">
        <x:v>https://openneuro.org/datasets/ds004381/versions/1.0.2</x:v>
      </x:c>
      <x:c r="Q66" s="309" t="str">
        <x:v>OpenNeuro:ds004381</x:v>
      </x:c>
      <x:c r="R66" s="310" t="str">
        <x:v>否</x:v>
      </x:c>
    </x:row>
    <x:row r="67">
      <x:c r="A67" s="226" t="str">
        <x:v>EEG-0084</x:v>
      </x:c>
      <x:c r="B67" s="259" t="str">
        <x:v>疾病/临床</x:v>
      </x:c>
      <x:c r="C67" s="259" t="str">
        <x:v>Neurological_Disorders</x:v>
      </x:c>
      <x:c r="D67" s="259" t="str">
        <x:v>Liu2024</x:v>
      </x:c>
      <x:c r="E67" s="259" t="str">
        <x:v>acute-stroke motor imagery: left/right hand-grip imagination</x:v>
      </x:c>
      <x:c r="F67" s="259" t="str">
        <x:v>50</x:v>
      </x:c>
      <x:c r="G67" s="259" t="n">
        <x:v>50</x:v>
      </x:c>
      <x:c r="H67" s="259" t="n">
        <x:v>4.444444444444445</x:v>
      </x:c>
      <x:c r="I67" s="259" t="n">
        <x:v>4.444444444444445</x:v>
      </x:c>
      <x:c r="J67" s="259" t="str">
        <x:v>COMPLETED</x:v>
      </x:c>
      <x:c r="K67" s="259" t="str">
        <x:v>已下载·时长已审计</x:v>
      </x:c>
      <x:c r="L67" s="259" t="str">
        <x:v>完成</x:v>
      </x:c>
      <x:c r="M67" s="259"/>
      <x:c r="N67" s="259" t="str">
        <x:v>无需下载；保持服务器校验记录。</x:v>
      </x:c>
      <x:c r="O67" s="259" t="str">
        <x:v>DOWNLOAD_APPLICATION_REQUIRED</x:v>
      </x:c>
      <x:c r="P67" s="259" t="str">
        <x:v>https://moabb.neurotechx.com/docs/generated/moabb.datasets.Liu2024.html</x:v>
      </x:c>
      <x:c r="Q67" s="259" t="str">
        <x:v>Figshare:21679035 | DOI:10.1038/s41597-023-02787-8,10.6084/m9.figshare.21679035,10.6084/m9.figshare.21679035.v5</x:v>
      </x:c>
      <x:c r="R67" s="215" t="str">
        <x:v>否</x:v>
      </x:c>
    </x:row>
    <x:row r="68">
      <x:c r="A68" s="308" t="str">
        <x:v>EEG-0085</x:v>
      </x:c>
      <x:c r="B68" s="309" t="str">
        <x:v>疾病/临床</x:v>
      </x:c>
      <x:c r="C68" s="309" t="str">
        <x:v>Neurological_Disorders</x:v>
      </x:c>
      <x:c r="D68" s="309" t="str">
        <x:v>Lower-Limb-MI (stroke)</x:v>
      </x:c>
      <x:c r="E68" s="309" t="str">
        <x:v>Lower-limb motor imagery (stroke rehab)；MI</x:v>
      </x:c>
      <x:c r="F68" s="309" t="str">
        <x:v>27</x:v>
      </x:c>
      <x:c r="G68" s="309" t="n">
        <x:v>27</x:v>
      </x:c>
      <x:c r="H68" s="309" t="n">
        <x:v>33.448055555555555</x:v>
      </x:c>
      <x:c r="I68" s="309" t="n">
        <x:v>33.448055555555555</x:v>
      </x:c>
      <x:c r="J68" s="309" t="str">
        <x:v>COMPLETED</x:v>
      </x:c>
      <x:c r="K68" s="309" t="str">
        <x:v>已下载·时长已审计</x:v>
      </x:c>
      <x:c r="L68" s="309" t="str">
        <x:v>完成</x:v>
      </x:c>
      <x:c r="M68" s="309"/>
      <x:c r="N68" s="309" t="str">
        <x:v>无需下载；保持服务器校验记录。</x:v>
      </x:c>
      <x:c r="O68" s="309" t="str">
        <x:v>DOWNLOAD_PUBLIC</x:v>
      </x:c>
      <x:c r="P68" s="309" t="str">
        <x:v>https://springernature.figshare.com/articles/dataset/Lower_limb_motor_imagery_EEG.../27130299</x:v>
      </x:c>
      <x:c r="Q68" s="309" t="str">
        <x:v>Figshare:27130299 | DOI:10.6084/m9.figshare.27130299</x:v>
      </x:c>
      <x:c r="R68" s="310" t="str">
        <x:v>否</x:v>
      </x:c>
    </x:row>
    <x:row r="69">
      <x:c r="A69" s="226" t="str">
        <x:v>EEG-0086</x:v>
      </x:c>
      <x:c r="B69" s="259" t="str">
        <x:v>健康/人群</x:v>
      </x:c>
      <x:c r="C69" s="259" t="str">
        <x:v>Sleep_and_Cardiometabolic</x:v>
      </x:c>
      <x:c r="D69" s="259" t="str">
        <x:v>MESA Sleep</x:v>
      </x:c>
      <x:c r="E69" s="259" t="str">
        <x:v>Sleep stages, arousals, respiratory events；并有 cardiometabolic / atherosclerosis / demographic covariates</x:v>
      </x:c>
      <x:c r="F69" s="259" t="str">
        <x:v>2,056 个含原始 PSG/EEG 的参与者（父睡眠检查 2,237 人）</x:v>
      </x:c>
      <x:c r="G69" s="259"/>
      <x:c r="H69" s="259"/>
      <x:c r="I69" s="259"/>
      <x:c r="J69" s="259" t="str">
        <x:v>MANUAL_APPLICATION_OR_LOGIN</x:v>
      </x:c>
      <x:c r="K69" s="259" t="str">
        <x:v>已申请·等待访问</x:v>
      </x:c>
      <x:c r="L69" s="259" t="str">
        <x:v>P2</x:v>
      </x:c>
      <x:c r="M69" s="259"/>
      <x:c r="N69" s="259" t="str">
        <x:v>MESA Sleep 已提交 NSRR 申请；等待审批结果，若明确拒绝则转为舍弃。</x:v>
      </x:c>
      <x:c r="O69" s="259" t="str">
        <x:v>DOWNLOAD_PUBLIC</x:v>
      </x:c>
      <x:c r="P69" s="259" t="str">
        <x:v>https://sleepdata.org/datasets/mesa</x:v>
      </x:c>
      <x:c r="Q69" s="259"/>
      <x:c r="R69" s="215" t="str">
        <x:v>否</x:v>
      </x:c>
    </x:row>
    <x:row r="70">
      <x:c r="A70" s="308" t="str">
        <x:v>EEG-0087</x:v>
      </x:c>
      <x:c r="B70" s="309" t="str">
        <x:v>疾病/临床</x:v>
      </x:c>
      <x:c r="C70" s="309" t="str">
        <x:v>Neurological_Disorders</x:v>
      </x:c>
      <x:c r="D70" s="309" t="str">
        <x:v>Ultra High-Density EEG of Interictal Migraine and Controls</x:v>
      </x:c>
      <x:c r="E70" s="309" t="str">
        <x:v>Rest, 4/6 Hz visual SSVEP, and 4/6 Hz auditory SSAEP in interictal migraine versus controls</x:v>
      </x:c>
      <x:c r="F70" s="309" t="str">
        <x:v>35 (17 migraine + 18 controls)</x:v>
      </x:c>
      <x:c r="G70" s="309" t="n">
        <x:v>39</x:v>
      </x:c>
      <x:c r="H70" s="309" t="n">
        <x:v>21.232222222222223</x:v>
      </x:c>
      <x:c r="I70" s="309" t="n">
        <x:v>21.232222222222223</x:v>
      </x:c>
      <x:c r="J70" s="309" t="str">
        <x:v>COMPLETED</x:v>
      </x:c>
      <x:c r="K70" s="309" t="str">
        <x:v>已下载·时长已审计</x:v>
      </x:c>
      <x:c r="L70" s="309" t="str">
        <x:v>完成</x:v>
      </x:c>
      <x:c r="M70" s="309"/>
      <x:c r="N70" s="309" t="str">
        <x:v>无需下载；保持服务器校验记录。</x:v>
      </x:c>
      <x:c r="O70" s="309" t="str">
        <x:v>DOWNLOAD_PUBLIC</x:v>
      </x:c>
      <x:c r="P70" s="309" t="str">
        <x:v>https://kilthub.cmu.edu/articles/dataset/Ultra_high-density_EEG_recording_of_interictal_migraine_and_controls_sensory_and_rest/12636731</x:v>
      </x:c>
      <x:c r="Q70" s="309" t="str">
        <x:v>DOI:10.1184/R1/12636731</x:v>
      </x:c>
      <x:c r="R70" s="310" t="str">
        <x:v>否</x:v>
      </x:c>
    </x:row>
    <x:row r="71">
      <x:c r="A71" s="226" t="str">
        <x:v>EEG-0089</x:v>
      </x:c>
      <x:c r="B71" s="259" t="str">
        <x:v>疾病/临床</x:v>
      </x:c>
      <x:c r="C71" s="259" t="str">
        <x:v>Neurological_Disorders</x:v>
      </x:c>
      <x:c r="D71" s="259" t="str">
        <x:v>Mu and Beta Oscillatory Changes during a motor task following Rehabilitation in Chronic MCA Stroke: Insights from EEG</x:v>
      </x:c>
      <x:c r="E71" s="259" t="str">
        <x:v>resting state eyes closed 5 minutes, motor imagery, active hand movements motor tasks</x:v>
      </x:c>
      <x:c r="F71" s="259" t="str">
        <x:v>17</x:v>
      </x:c>
      <x:c r="G71" s="259" t="n">
        <x:v>17</x:v>
      </x:c>
      <x:c r="H71" s="259" t="n">
        <x:v>12.290877777777778</x:v>
      </x:c>
      <x:c r="I71" s="259" t="n">
        <x:v>12.290877777777778</x:v>
      </x:c>
      <x:c r="J71" s="259" t="str">
        <x:v>COMPLETED</x:v>
      </x:c>
      <x:c r="K71" s="259" t="str">
        <x:v>已下载·时长已审计</x:v>
      </x:c>
      <x:c r="L71" s="259" t="str">
        <x:v>完成</x:v>
      </x:c>
      <x:c r="M71" s="259"/>
      <x:c r="N71" s="259" t="str">
        <x:v>无需下载；保持服务器校验记录。</x:v>
      </x:c>
      <x:c r="O71" s="259" t="str">
        <x:v>DOWNLOAD_PUBLIC</x:v>
      </x:c>
      <x:c r="P71" s="259" t="str">
        <x:v>https://zenodo.org/records/19599466</x:v>
      </x:c>
      <x:c r="Q71" s="259" t="str">
        <x:v>Zenodo:19599466 | DOI:10.31428/10317/13645</x:v>
      </x:c>
      <x:c r="R71" s="215" t="str">
        <x:v>否</x:v>
      </x:c>
    </x:row>
    <x:row r="72">
      <x:c r="A72" s="308" t="str">
        <x:v>EEG-0092</x:v>
      </x:c>
      <x:c r="B72" s="309" t="str">
        <x:v>疾病/临床</x:v>
      </x:c>
      <x:c r="C72" s="309" t="str">
        <x:v>Neurological_Disorders</x:v>
      </x:c>
      <x:c r="D72" s="309" t="str">
        <x:v>PD-EEG Resting-State &amp; Walking EEG</x:v>
      </x:c>
      <x:c r="E72" s="309" t="str">
        <x:v>Parkinson disease resting EEG and walking EEG；gait / motor biomarkers</x:v>
      </x:c>
      <x:c r="F72" s="309" t="str">
        <x:v>144</x:v>
      </x:c>
      <x:c r="G72" s="309" t="n">
        <x:v>144</x:v>
      </x:c>
      <x:c r="H72" s="309" t="n">
        <x:v>19.488683333333334</x:v>
      </x:c>
      <x:c r="I72" s="309" t="n">
        <x:v>19.488683333333334</x:v>
      </x:c>
      <x:c r="J72" s="309" t="str">
        <x:v>COMPLETED</x:v>
      </x:c>
      <x:c r="K72" s="309" t="str">
        <x:v>已下载·时长已审计</x:v>
      </x:c>
      <x:c r="L72" s="309" t="str">
        <x:v>完成</x:v>
      </x:c>
      <x:c r="M72" s="309"/>
      <x:c r="N72" s="309" t="str">
        <x:v>无需下载；保持服务器校验记录。</x:v>
      </x:c>
      <x:c r="O72" s="309" t="str">
        <x:v>DOWNLOAD_PUBLIC</x:v>
      </x:c>
      <x:c r="P72" s="309" t="str">
        <x:v>https://openneuro.org/datasets/ds007526/versions/1.0.2</x:v>
      </x:c>
      <x:c r="Q72" s="309" t="str">
        <x:v>OpenNeuro:ds007526</x:v>
      </x:c>
      <x:c r="R72" s="310" t="str">
        <x:v>否</x:v>
      </x:c>
    </x:row>
    <x:row r="73">
      <x:c r="A73" s="226" t="str">
        <x:v>EEG-0093</x:v>
      </x:c>
      <x:c r="B73" s="259" t="str">
        <x:v>疾病/临床</x:v>
      </x:c>
      <x:c r="C73" s="259" t="str">
        <x:v>Neurological_Disorders</x:v>
      </x:c>
      <x:c r="D73" s="259" t="str">
        <x:v>PD-Mortality</x:v>
      </x:c>
      <x:c r="E73" s="259" t="str">
        <x:v>Parkinson 3-year mortality prognosis from resting EEG</x:v>
      </x:c>
      <x:c r="F73" s="259" t="str">
        <x:v>94 (22 deceased &lt;3 yr)</x:v>
      </x:c>
      <x:c r="G73" s="259"/>
      <x:c r="H73" s="259"/>
      <x:c r="I73" s="259"/>
      <x:c r="J73" s="259" t="str">
        <x:v>MANUAL_APPLICATION_OR_LOGIN</x:v>
      </x:c>
      <x:c r="K73" s="259" t="str">
        <x:v>需要申请/登录</x:v>
      </x:c>
      <x:c r="L73" s="259" t="str">
        <x:v>P3</x:v>
      </x:c>
      <x:c r="M73" s="259"/>
      <x:c r="N73" s="259" t="str">
        <x:v>尚未进入已申请名单；先确认研究价值与审批成本，再决定是否提交。</x:v>
      </x:c>
      <x:c r="O73" s="259" t="str">
        <x:v>DOWNLOAD_APPLICATION_REQUIRED</x:v>
      </x:c>
      <x:c r="P73" s="259" t="str">
        <x:v>https://www.medrxiv.org/content/10.1101/2025.07.07.25331047</x:v>
      </x:c>
      <x:c r="Q73" s="259" t="str">
        <x:v>DOI:10.1101/2025.07.07.25331047</x:v>
      </x:c>
      <x:c r="R73" s="215" t="str">
        <x:v>否</x:v>
      </x:c>
    </x:row>
    <x:row r="74">
      <x:c r="A74" s="308" t="str">
        <x:v>EEG-0094</x:v>
      </x:c>
      <x:c r="B74" s="309" t="str">
        <x:v>疾病/临床</x:v>
      </x:c>
      <x:c r="C74" s="309" t="str">
        <x:v>Neurological_Disorders</x:v>
      </x:c>
      <x:c r="D74" s="309" t="str">
        <x:v>PD31 (Parkinson)</x:v>
      </x:c>
      <x:c r="E74" s="309" t="str">
        <x:v>Parkinson vs control resting EEG (on/off medication)</x:v>
      </x:c>
      <x:c r="F74" s="309" t="str">
        <x:v>31 (15 PD/16 control)</x:v>
      </x:c>
      <x:c r="G74" s="309" t="n">
        <x:v>31</x:v>
      </x:c>
      <x:c r="H74" s="309" t="n">
        <x:v>2.517777777777778</x:v>
      </x:c>
      <x:c r="I74" s="309" t="n">
        <x:v>2.517777777777778</x:v>
      </x:c>
      <x:c r="J74" s="309" t="str">
        <x:v>COMPLETED</x:v>
      </x:c>
      <x:c r="K74" s="309" t="str">
        <x:v>已下载·时长已审计</x:v>
      </x:c>
      <x:c r="L74" s="309" t="str">
        <x:v>完成</x:v>
      </x:c>
      <x:c r="M74" s="309"/>
      <x:c r="N74" s="309" t="str">
        <x:v>无需下载；保持服务器校验记录。</x:v>
      </x:c>
      <x:c r="O74" s="309" t="str">
        <x:v>DOWNLOAD_PUBLIC</x:v>
      </x:c>
      <x:c r="P74" s="309" t="str">
        <x:v>https://openneuro.org/datasets/ds002778</x:v>
      </x:c>
      <x:c r="Q74" s="309" t="str">
        <x:v>OpenNeuro:ds002778</x:v>
      </x:c>
      <x:c r="R74" s="310" t="str">
        <x:v>否</x:v>
      </x:c>
    </x:row>
    <x:row r="75">
      <x:c r="A75" s="226" t="str">
        <x:v>EEG-0098</x:v>
      </x:c>
      <x:c r="B75" s="259" t="str">
        <x:v>疾病/临床</x:v>
      </x:c>
      <x:c r="C75" s="259" t="str">
        <x:v>Neurological_Disorders</x:v>
      </x:c>
      <x:c r="D75" s="259" t="str">
        <x:v>Tinnitus Acoustic Therapy EEG Database</x:v>
      </x:c>
      <x:c r="E75" s="259" t="str">
        <x:v>tinnitus；auditory therapy response；clinical auditory EEG biomarkers；Acoustic therapy for tinnitus (longitudinal)；Resting-state (eyes-open/closed) + passive music + acoustic therapy listening + 3 soundscape conditions</x:v>
      </x:c>
      <x:c r="F75" s="259" t="str">
        <x:v>103 enrolled (89 tinnitus + 14 controls); 71 completed full protocol</x:v>
      </x:c>
      <x:c r="G75" s="259" t="n">
        <x:v>89</x:v>
      </x:c>
      <x:c r="H75" s="259" t="n">
        <x:v>8.41</x:v>
      </x:c>
      <x:c r="I75" s="259" t="n">
        <x:v>8.41</x:v>
      </x:c>
      <x:c r="J75" s="259" t="str">
        <x:v>COMPLETED</x:v>
      </x:c>
      <x:c r="K75" s="259" t="str">
        <x:v>已下载·时长已审计</x:v>
      </x:c>
      <x:c r="L75" s="259" t="str">
        <x:v>完成</x:v>
      </x:c>
      <x:c r="M75" s="259"/>
      <x:c r="N75" s="259" t="str">
        <x:v>无需下载；保持服务器校验记录。</x:v>
      </x:c>
      <x:c r="O75" s="259" t="str">
        <x:v>DOWNLOAD_PUBLIC</x:v>
      </x:c>
      <x:c r="P75" s="259" t="str">
        <x:v>https://data.mendeley.com/datasets/kj443jc4yc</x:v>
      </x:c>
      <x:c r="Q75" s="259"/>
      <x:c r="R75" s="215" t="str">
        <x:v>否</x:v>
      </x:c>
    </x:row>
    <x:row r="76">
      <x:c r="A76" s="308" t="str">
        <x:v>EEG-0100</x:v>
      </x:c>
      <x:c r="B76" s="309" t="str">
        <x:v>疾病/临床</x:v>
      </x:c>
      <x:c r="C76" s="309" t="str">
        <x:v>Neurological_Disorders</x:v>
      </x:c>
      <x:c r="D76" s="309" t="str">
        <x:v>UNMDataset</x:v>
      </x:c>
      <x:c r="E76" s="309" t="str">
        <x:v>Parkinson's disease EEG; resting/cognitive task subset reported for BrainWave pretraining</x:v>
      </x:c>
      <x:c r="F76" s="309" t="str">
        <x:v>28</x:v>
      </x:c>
      <x:c r="G76" s="309" t="n">
        <x:v>28</x:v>
      </x:c>
      <x:c r="H76" s="309" t="n">
        <x:v>1.4660000000000002</x:v>
      </x:c>
      <x:c r="I76" s="309" t="n">
        <x:v>1.4660000000000002</x:v>
      </x:c>
      <x:c r="J76" s="309" t="str">
        <x:v>COMPLETED</x:v>
      </x:c>
      <x:c r="K76" s="309" t="str">
        <x:v>已下载·时长已审计</x:v>
      </x:c>
      <x:c r="L76" s="309" t="str">
        <x:v>完成</x:v>
      </x:c>
      <x:c r="M76" s="309"/>
      <x:c r="N76" s="309" t="str">
        <x:v>无需下载；保持服务器校验记录。</x:v>
      </x:c>
      <x:c r="O76" s="309" t="str">
        <x:v>DOWNLOAD_PUBLIC</x:v>
      </x:c>
      <x:c r="P76" s="309" t="str">
        <x:v>https://narayanan.lab.uiowa.edu/datasets</x:v>
      </x:c>
      <x:c r="Q76" s="309"/>
      <x:c r="R76" s="310" t="str">
        <x:v>否</x:v>
      </x:c>
    </x:row>
    <x:row r="77">
      <x:c r="A77" s="226" t="str">
        <x:v>EEG-0102</x:v>
      </x:c>
      <x:c r="B77" s="259" t="str">
        <x:v>疾病/临床</x:v>
      </x:c>
      <x:c r="C77" s="259" t="str">
        <x:v>Clinical_Abnormalities</x:v>
      </x:c>
      <x:c r="D77" s="259" t="str">
        <x:v>BrainLat (Latin American EEG)</x:v>
      </x:c>
      <x:c r="E77" s="259" t="str">
        <x:v>Neurological Disorder Classification (AD / bvFTD / PD / MS / healthy; multi-class) + resting-state research</x:v>
      </x:c>
      <x:c r="F77" s="259" t="str">
        <x:v>780 (across 5 Latin American countries)</x:v>
      </x:c>
      <x:c r="G77" s="259"/>
      <x:c r="H77" s="259"/>
      <x:c r="I77" s="259"/>
      <x:c r="J77" s="259" t="str">
        <x:v>FAILED_DISCOVERY</x:v>
      </x:c>
      <x:c r="K77" s="259" t="str">
        <x:v>登录后可下载</x:v>
      </x:c>
      <x:c r="L77" s="259" t="str">
        <x:v>P1</x:v>
      </x:c>
      <x:c r="M77" s="259"/>
      <x:c r="N77" s="259" t="str">
        <x:v>注册/登录 Synapse；EEG 数据目录可直接取得，MRI 权限另算。</x:v>
      </x:c>
      <x:c r="O77" s="259" t="str">
        <x:v>DOWNLOAD_APPLICATION_REQUIRED</x:v>
      </x:c>
      <x:c r="P77" s="259" t="str">
        <x:v>https://doi.org/10.7303/syn51549340</x:v>
      </x:c>
      <x:c r="Q77" s="259" t="str">
        <x:v>DOI:10.1038/s41597-023-02806-8,10.7303/syn51549340</x:v>
      </x:c>
      <x:c r="R77" s="215" t="str">
        <x:v>否</x:v>
      </x:c>
    </x:row>
    <x:row r="78">
      <x:c r="A78" s="308" t="str">
        <x:v>EEG-0103</x:v>
      </x:c>
      <x:c r="B78" s="309" t="str">
        <x:v>疾病/临床</x:v>
      </x:c>
      <x:c r="C78" s="309" t="str">
        <x:v>Clinical_Abnormalities</x:v>
      </x:c>
      <x:c r="D78" s="309" t="str">
        <x:v>MORGOTH HEEDB-Pretrain</x:v>
      </x:c>
      <x:c r="E78" s="309" t="str">
        <x:v>clinical EEG pretraining; all 17 EEG findings</x:v>
      </x:c>
      <x:c r="F78" s="309" t="str">
        <x:v>14,500</x:v>
      </x:c>
      <x:c r="G78" s="309"/>
      <x:c r="H78" s="309"/>
      <x:c r="I78" s="309"/>
      <x:c r="J78" s="309" t="str">
        <x:v>MANUAL_APPLICATION_OR_LOGIN</x:v>
      </x:c>
      <x:c r="K78" s="309" t="str">
        <x:v>已申请·等待访问</x:v>
      </x:c>
      <x:c r="L78" s="309" t="str">
        <x:v>P2</x:v>
      </x:c>
      <x:c r="M78" s="309"/>
      <x:c r="N78" s="309" t="str">
        <x:v>已提交 BDSP credentialing/DUA；获批后用 credentialed S3 入口同步 MORGOTH。</x:v>
      </x:c>
      <x:c r="O78" s="309" t="str">
        <x:v>DOWNLOAD_PUBLIC</x:v>
      </x:c>
      <x:c r="P78" s="309" t="str">
        <x:v>https://bdsp.io/content/morgoth1/1.0.0/</x:v>
      </x:c>
      <x:c r="Q78" s="309"/>
      <x:c r="R78" s="310" t="str">
        <x:v>否</x:v>
      </x:c>
    </x:row>
    <x:row r="79">
      <x:c r="A79" s="226" t="str">
        <x:v>EEG-0104</x:v>
      </x:c>
      <x:c r="B79" s="259" t="str">
        <x:v>疾病/临床</x:v>
      </x:c>
      <x:c r="C79" s="259" t="str">
        <x:v>Clinical_Abnormalities</x:v>
      </x:c>
      <x:c r="D79" s="259" t="str">
        <x:v>MORGOTH HEEDB-Test</x:v>
      </x:c>
      <x:c r="E79" s="259" t="str">
        <x:v>internal validation clinical EEG; all 17 EEG findings</x:v>
      </x:c>
      <x:c r="F79" s="259" t="str">
        <x:v>8,527</x:v>
      </x:c>
      <x:c r="G79" s="259"/>
      <x:c r="H79" s="259"/>
      <x:c r="I79" s="259"/>
      <x:c r="J79" s="259" t="str">
        <x:v>MANUAL_APPLICATION_OR_LOGIN</x:v>
      </x:c>
      <x:c r="K79" s="259" t="str">
        <x:v>已申请·等待访问</x:v>
      </x:c>
      <x:c r="L79" s="259" t="str">
        <x:v>P2</x:v>
      </x:c>
      <x:c r="M79" s="259"/>
      <x:c r="N79" s="259" t="str">
        <x:v>已提交 BDSP credentialing/DUA；获批后用 credentialed S3 入口同步 MORGOTH。</x:v>
      </x:c>
      <x:c r="O79" s="259" t="str">
        <x:v>DOWNLOAD_PUBLIC</x:v>
      </x:c>
      <x:c r="P79" s="259" t="str">
        <x:v>https://bdsp.io/content/morgoth1/1.0.0/</x:v>
      </x:c>
      <x:c r="Q79" s="259"/>
      <x:c r="R79" s="215" t="str">
        <x:v>否</x:v>
      </x:c>
    </x:row>
    <x:row r="80">
      <x:c r="A80" s="308" t="str">
        <x:v>EEG-0105</x:v>
      </x:c>
      <x:c r="B80" s="309" t="str">
        <x:v>疾病/临床</x:v>
      </x:c>
      <x:c r="C80" s="309" t="str">
        <x:v>Clinical_Abnormalities</x:v>
      </x:c>
      <x:c r="D80" s="309" t="str">
        <x:v>MORGOTH HEEDB-Train</x:v>
      </x:c>
      <x:c r="E80" s="309" t="str">
        <x:v>fine-tuning clinical EEG; all 17 EEG findings</x:v>
      </x:c>
      <x:c r="F80" s="309" t="str">
        <x:v>10,851</x:v>
      </x:c>
      <x:c r="G80" s="309"/>
      <x:c r="H80" s="309"/>
      <x:c r="I80" s="309"/>
      <x:c r="J80" s="309" t="str">
        <x:v>MANUAL_APPLICATION_OR_LOGIN</x:v>
      </x:c>
      <x:c r="K80" s="309" t="str">
        <x:v>已申请·等待访问</x:v>
      </x:c>
      <x:c r="L80" s="309" t="str">
        <x:v>P2</x:v>
      </x:c>
      <x:c r="M80" s="309"/>
      <x:c r="N80" s="309" t="str">
        <x:v>已提交 BDSP credentialing/DUA；获批后用 credentialed S3 入口同步 MORGOTH。</x:v>
      </x:c>
      <x:c r="O80" s="309" t="str">
        <x:v>DOWNLOAD_PUBLIC</x:v>
      </x:c>
      <x:c r="P80" s="309" t="str">
        <x:v>https://bdsp.io/content/morgoth1/1.0.0/</x:v>
      </x:c>
      <x:c r="Q80" s="309"/>
      <x:c r="R80" s="310" t="str">
        <x:v>否</x:v>
      </x:c>
    </x:row>
    <x:row r="81">
      <x:c r="A81" s="226" t="str">
        <x:v>EEG-0106</x:v>
      </x:c>
      <x:c r="B81" s="259" t="str">
        <x:v>疾病/临床</x:v>
      </x:c>
      <x:c r="C81" s="259" t="str">
        <x:v>Clinical_Abnormalities</x:v>
      </x:c>
      <x:c r="D81" s="259" t="str">
        <x:v>NMT Scalp EEG Dataset</x:v>
      </x:c>
      <x:c r="E81" s="259" t="str">
        <x:v>Recording-level abnormality classification (out-of-distribution external validation, no finetuning); linear probing at 1%/10%/100% labels</x:v>
      </x:c>
      <x:c r="F81" s="259" t="str">
        <x:v>2,417 unique subjects (~625h total)</x:v>
      </x:c>
      <x:c r="G81" s="259"/>
      <x:c r="H81" s="259"/>
      <x:c r="I81" s="259"/>
      <x:c r="J81" s="259" t="str">
        <x:v>MANUAL_REVIEW_REQUIRED</x:v>
      </x:c>
      <x:c r="K81" s="259" t="str">
        <x:v>公开入口·需人工复核</x:v>
      </x:c>
      <x:c r="L81" s="259" t="str">
        <x:v>P2</x:v>
      </x:c>
      <x:c r="M81" s="259"/>
      <x:c r="N81" s="259" t="str">
        <x:v>自动下载未完成；人工打开官方入口，确认真实文件链接后再下载。</x:v>
      </x:c>
      <x:c r="O81" s="259" t="str">
        <x:v>DOWNLOAD_PUBLIC</x:v>
      </x:c>
      <x:c r="P81" s="259" t="str">
        <x:v>https://github.com/dll-ncai/eeg_pre-diagnostic_screening</x:v>
      </x:c>
      <x:c r="Q81" s="259"/>
      <x:c r="R81" s="215" t="str">
        <x:v>否</x:v>
      </x:c>
    </x:row>
    <x:row r="82">
      <x:c r="A82" s="308" t="str">
        <x:v>EEG-0107</x:v>
      </x:c>
      <x:c r="B82" s="309" t="str">
        <x:v>疾病/临床</x:v>
      </x:c>
      <x:c r="C82" s="309" t="str">
        <x:v>Clinical_Abnormalities</x:v>
      </x:c>
      <x:c r="D82" s="309" t="str">
        <x:v>TUAB (TUH Abnormal)</x:v>
      </x:c>
      <x:c r="E82" s="309" t="str">
        <x:v>Abnormal vs normal clinical EEG</x:v>
      </x:c>
      <x:c r="F82" s="309" t="str">
        <x:v>2,383 (2,993 sessions)</x:v>
      </x:c>
      <x:c r="G82" s="309" t="n">
        <x:v>2329</x:v>
      </x:c>
      <x:c r="H82" s="309" t="n">
        <x:v>1141.0022222222221</x:v>
      </x:c>
      <x:c r="I82" s="309" t="n">
        <x:v>1141.0022222222221</x:v>
      </x:c>
      <x:c r="J82" s="309" t="str">
        <x:v>COMPLETED</x:v>
      </x:c>
      <x:c r="K82" s="309" t="str">
        <x:v>已下载·TUEG 重叠</x:v>
      </x:c>
      <x:c r="L82" s="309" t="str">
        <x:v>排除</x:v>
      </x:c>
      <x:c r="M82" s="309"/>
      <x:c r="N82" s="309" t="str">
        <x:v>保留子集目录，但总时长/人数不与 TUEG 父库重复相加。</x:v>
      </x:c>
      <x:c r="O82" s="309" t="str">
        <x:v>DOWNLOAD_APPLICATION_REQUIRED</x:v>
      </x:c>
      <x:c r="P82" s="309" t="str">
        <x:v>https://isip.piconepress.com/projects/nedc/html/tuh_eeg/</x:v>
      </x:c>
      <x:c r="Q82" s="309" t="str">
        <x:v>TUH:TUAB:v3.0.1</x:v>
      </x:c>
      <x:c r="R82" s="310" t="str">
        <x:v>否</x:v>
      </x:c>
    </x:row>
    <x:row r="83">
      <x:c r="A83" s="226" t="str">
        <x:v>EEG-0108</x:v>
      </x:c>
      <x:c r="B83" s="259" t="str">
        <x:v>疾病/临床</x:v>
      </x:c>
      <x:c r="C83" s="259" t="str">
        <x:v>Clinical_Sleep_and_PSG</x:v>
      </x:c>
      <x:c r="D83" s="259" t="str">
        <x:v>ABC</x:v>
      </x:c>
      <x:c r="E83" s="259" t="str">
        <x:v>COPD burden；sleep measures；sleep staging / respiratory events</x:v>
      </x:c>
      <x:c r="F83" s="259" t="str">
        <x:v>332</x:v>
      </x:c>
      <x:c r="G83" s="259" t="n">
        <x:v>332</x:v>
      </x:c>
      <x:c r="H83" s="259"/>
      <x:c r="I83" s="259"/>
      <x:c r="J83" s="259" t="str">
        <x:v>MANUAL_APPLICATION_OR_LOGIN</x:v>
      </x:c>
      <x:c r="K83" s="259" t="str">
        <x:v>需要申请/登录</x:v>
      </x:c>
      <x:c r="L83" s="259" t="str">
        <x:v>P3</x:v>
      </x:c>
      <x:c r="M83" s="259"/>
      <x:c r="N83" s="259" t="str">
        <x:v>尚未进入已申请名单；先确认研究价值与审批成本，再决定是否提交。</x:v>
      </x:c>
      <x:c r="O83" s="259" t="str">
        <x:v>DOWNLOAD_PUBLIC</x:v>
      </x:c>
      <x:c r="P83" s="259" t="str">
        <x:v>https://sleepdata.org/datasets/abc</x:v>
      </x:c>
      <x:c r="Q83" s="259"/>
      <x:c r="R83" s="215" t="str">
        <x:v>否</x:v>
      </x:c>
    </x:row>
    <x:row r="84">
      <x:c r="A84" s="308" t="str">
        <x:v>EEG-0110</x:v>
      </x:c>
      <x:c r="B84" s="309" t="str">
        <x:v>健康/人群</x:v>
      </x:c>
      <x:c r="C84" s="309" t="str">
        <x:v>Sleep_Health_and_PSG</x:v>
      </x:c>
      <x:c r="D84" s="309" t="str">
        <x:v>ANPHY-Sleep</x:v>
      </x:c>
      <x:c r="E84" s="309" t="str">
        <x:v>Sleep staging (high-density PSG)</x:v>
      </x:c>
      <x:c r="F84" s="309" t="str">
        <x:v>29</x:v>
      </x:c>
      <x:c r="G84" s="309" t="n">
        <x:v>29</x:v>
      </x:c>
      <x:c r="H84" s="309"/>
      <x:c r="I84" s="309"/>
      <x:c r="J84" s="309" t="str">
        <x:v>FAILED_DISCOVERY</x:v>
      </x:c>
      <x:c r="K84" s="309" t="str">
        <x:v>公开入口·需人工复核</x:v>
      </x:c>
      <x:c r="L84" s="309" t="str">
        <x:v>P2</x:v>
      </x:c>
      <x:c r="M84" s="309"/>
      <x:c r="N84" s="309" t="str">
        <x:v>自动下载未完成；人工打开官方入口，确认真实文件链接后再下载。</x:v>
      </x:c>
      <x:c r="O84" s="309" t="str">
        <x:v>DOWNLOAD_PUBLIC</x:v>
      </x:c>
      <x:c r="P84" s="309" t="str">
        <x:v>https://doi.org/10.17605/OSF.IO/R26FH</x:v>
      </x:c>
      <x:c r="Q84" s="309" t="str">
        <x:v>DOI:10.17605/OSF.IO/R26FH</x:v>
      </x:c>
      <x:c r="R84" s="310" t="str">
        <x:v>否</x:v>
      </x:c>
    </x:row>
    <x:row r="85">
      <x:c r="A85" s="226" t="str">
        <x:v>EEG-0111</x:v>
      </x:c>
      <x:c r="B85" s="259" t="str">
        <x:v>疾病/临床</x:v>
      </x:c>
      <x:c r="C85" s="259" t="str">
        <x:v>Clinical_Sleep_and_PSG</x:v>
      </x:c>
      <x:c r="D85" s="259" t="str">
        <x:v>APPLES</x:v>
      </x:c>
      <x:c r="E85" s="259" t="str">
        <x:v>External validation cohort for sleep staging (unseen during pre-training and fine-tuning)</x:v>
      </x:c>
      <x:c r="F85" s="259" t="str">
        <x:v>1096.0</x:v>
      </x:c>
      <x:c r="G85" s="259" t="n">
        <x:v>1096</x:v>
      </x:c>
      <x:c r="H85" s="259"/>
      <x:c r="I85" s="259"/>
      <x:c r="J85" s="259" t="str">
        <x:v>MANUAL_APPLICATION_OR_LOGIN</x:v>
      </x:c>
      <x:c r="K85" s="259" t="str">
        <x:v>需要申请/登录</x:v>
      </x:c>
      <x:c r="L85" s="259" t="str">
        <x:v>P3</x:v>
      </x:c>
      <x:c r="M85" s="259"/>
      <x:c r="N85" s="259" t="str">
        <x:v>尚未进入已申请名单；先确认研究价值与审批成本，再决定是否提交。</x:v>
      </x:c>
      <x:c r="O85" s="259" t="str">
        <x:v>DOWNLOAD_PUBLIC</x:v>
      </x:c>
      <x:c r="P85" s="259" t="str">
        <x:v>https://sleepdata.org/datasets/apples</x:v>
      </x:c>
      <x:c r="Q85" s="259"/>
      <x:c r="R85" s="215" t="str">
        <x:v>否</x:v>
      </x:c>
    </x:row>
    <x:row r="86">
      <x:c r="A86" s="308" t="str">
        <x:v>EEG-0113</x:v>
      </x:c>
      <x:c r="B86" s="309" t="str">
        <x:v>健康/人群</x:v>
      </x:c>
      <x:c r="C86" s="309" t="str">
        <x:v>Sleep_Health_and_PSG</x:v>
      </x:c>
      <x:c r="D86" s="309" t="str">
        <x:v>BOAS</x:v>
      </x:c>
      <x:c r="E86" s="309" t="str">
        <x:v>Sleep staging (PSG + wearable headband)</x:v>
      </x:c>
      <x:c r="F86" s="309" t="str">
        <x:v>128 recordings (108 participants)</x:v>
      </x:c>
      <x:c r="G86" s="309" t="n">
        <x:v>108</x:v>
      </x:c>
      <x:c r="H86" s="309"/>
      <x:c r="I86" s="309"/>
      <x:c r="J86" s="309" t="str">
        <x:v>COMPLETED</x:v>
      </x:c>
      <x:c r="K86" s="309" t="str">
        <x:v>已下载·待信号/时长审计</x:v>
      </x:c>
      <x:c r="L86" s="309" t="str">
        <x:v>P0</x:v>
      </x:c>
      <x:c r="M86" s="309" t="n">
        <x:v>35.922487667</x:v>
      </x:c>
      <x:c r="N86" s="309" t="str">
        <x:v>无需重复下载；补做 EEG 文件识别、subjects 和 duration 审计。</x:v>
      </x:c>
      <x:c r="O86" s="309" t="str">
        <x:v>DOWNLOAD_PUBLIC</x:v>
      </x:c>
      <x:c r="P86" s="309" t="str">
        <x:v>https://openneuro.org/datasets/ds005555</x:v>
      </x:c>
      <x:c r="Q86" s="309" t="str">
        <x:v>OpenNeuro:ds005555</x:v>
      </x:c>
      <x:c r="R86" s="310" t="str">
        <x:v>否</x:v>
      </x:c>
    </x:row>
    <x:row r="87">
      <x:c r="A87" s="226" t="str">
        <x:v>EEG-0114</x:v>
      </x:c>
      <x:c r="B87" s="259" t="str">
        <x:v>疾病/临床</x:v>
      </x:c>
      <x:c r="C87" s="259" t="str">
        <x:v>Clinical_Sleep_and_PSG</x:v>
      </x:c>
      <x:c r="D87" s="259" t="str">
        <x:v>CAP Sleep Database</x:v>
      </x:c>
      <x:c r="E87" s="259" t="str">
        <x:v>EEG-based sleep staging (5-class: W, N1, N2, N3, REM; originally K&amp;M scoring, S3/S4 merged to N3); source-free UDA under inherent label shifts</x:v>
      </x:c>
      <x:c r="F87" s="259" t="str">
        <x:v>108 recordings (16 healthy + 92 patients)</x:v>
      </x:c>
      <x:c r="G87" s="259" t="n">
        <x:v>108</x:v>
      </x:c>
      <x:c r="H87" s="259"/>
      <x:c r="I87" s="259"/>
      <x:c r="J87" s="259" t="str">
        <x:v>COMPLETED</x:v>
      </x:c>
      <x:c r="K87" s="259" t="str">
        <x:v>已下载·待信号/时长审计</x:v>
      </x:c>
      <x:c r="L87" s="259" t="str">
        <x:v>P0</x:v>
      </x:c>
      <x:c r="M87" s="259" t="n">
        <x:v>43.071893776</x:v>
      </x:c>
      <x:c r="N87" s="259" t="str">
        <x:v>无需重复下载；补做 EEG 文件识别、subjects 和 duration 审计。</x:v>
      </x:c>
      <x:c r="O87" s="259" t="str">
        <x:v>DOWNLOAD_PUBLIC</x:v>
      </x:c>
      <x:c r="P87" s="259" t="str">
        <x:v>https://physionet.org/content/capslpdb/1.0.0/</x:v>
      </x:c>
      <x:c r="Q87" s="259" t="str">
        <x:v>PhysioNet:capslpdb</x:v>
      </x:c>
      <x:c r="R87" s="215" t="str">
        <x:v>否</x:v>
      </x:c>
    </x:row>
    <x:row r="88">
      <x:c r="A88" s="308" t="str">
        <x:v>EEG-0115</x:v>
      </x:c>
      <x:c r="B88" s="309" t="str">
        <x:v>健康/人群</x:v>
      </x:c>
      <x:c r="C88" s="309" t="str">
        <x:v>Sleep_Health_and_PSG</x:v>
      </x:c>
      <x:c r="D88" s="309" t="str">
        <x:v>CCSHS</x:v>
      </x:c>
      <x:c r="E88" s="309" t="str">
        <x:v>Sleep stages, sleep-disordered breathing, blood pressure, neuropsychology and behavioral assessments</x:v>
      </x:c>
      <x:c r="F88" s="309" t="str">
        <x:v>515.0</x:v>
      </x:c>
      <x:c r="G88" s="309" t="n">
        <x:v>515</x:v>
      </x:c>
      <x:c r="H88" s="309"/>
      <x:c r="I88" s="309"/>
      <x:c r="J88" s="309" t="str">
        <x:v>MANUAL_APPLICATION_OR_LOGIN</x:v>
      </x:c>
      <x:c r="K88" s="309" t="str">
        <x:v>需要申请/登录</x:v>
      </x:c>
      <x:c r="L88" s="309" t="str">
        <x:v>P3</x:v>
      </x:c>
      <x:c r="M88" s="309"/>
      <x:c r="N88" s="309" t="str">
        <x:v>尚未进入已申请名单；先确认研究价值与审批成本，再决定是否提交。</x:v>
      </x:c>
      <x:c r="O88" s="309" t="str">
        <x:v>DOWNLOAD_PUBLIC</x:v>
      </x:c>
      <x:c r="P88" s="309" t="str">
        <x:v>https://sleepdata.org/datasets/ccshs</x:v>
      </x:c>
      <x:c r="Q88" s="309"/>
      <x:c r="R88" s="310" t="str">
        <x:v>否</x:v>
      </x:c>
    </x:row>
    <x:row r="89">
      <x:c r="A89" s="226" t="str">
        <x:v>EEG-0116</x:v>
      </x:c>
      <x:c r="B89" s="259" t="str">
        <x:v>健康/人群</x:v>
      </x:c>
      <x:c r="C89" s="259" t="str">
        <x:v>Family_Sleep_and_SDB</x:v>
      </x:c>
      <x:c r="D89" s="259" t="str">
        <x:v>CFS</x:v>
      </x:c>
      <x:c r="E89" s="259" t="str">
        <x:v>Sleep apnea / sleep stages / longitudinal clinical covariates / familial aggregation of sleep apnea</x:v>
      </x:c>
      <x:c r="F89" s="259" t="str">
        <x:v>735</x:v>
      </x:c>
      <x:c r="G89" s="259" t="n">
        <x:v>735</x:v>
      </x:c>
      <x:c r="H89" s="259"/>
      <x:c r="I89" s="259"/>
      <x:c r="J89" s="259" t="str">
        <x:v>MANUAL_APPLICATION_OR_LOGIN</x:v>
      </x:c>
      <x:c r="K89" s="259" t="str">
        <x:v>需要申请/登录</x:v>
      </x:c>
      <x:c r="L89" s="259" t="str">
        <x:v>P3</x:v>
      </x:c>
      <x:c r="M89" s="259"/>
      <x:c r="N89" s="259" t="str">
        <x:v>尚未进入已申请名单；先确认研究价值与审批成本，再决定是否提交。</x:v>
      </x:c>
      <x:c r="O89" s="259" t="str">
        <x:v>DOWNLOAD_PUBLIC</x:v>
      </x:c>
      <x:c r="P89" s="259" t="str">
        <x:v>https://sleepdata.org/datasets/cfs</x:v>
      </x:c>
      <x:c r="Q89" s="259"/>
      <x:c r="R89" s="215" t="str">
        <x:v>否</x:v>
      </x:c>
    </x:row>
    <x:row r="90">
      <x:c r="A90" s="308" t="str">
        <x:v>EEG-0117</x:v>
      </x:c>
      <x:c r="B90" s="309" t="str">
        <x:v>疾病/临床</x:v>
      </x:c>
      <x:c r="C90" s="309" t="str">
        <x:v>Clinical_Sleep_and_PSG</x:v>
      </x:c>
      <x:c r="D90" s="309" t="str">
        <x:v>CHAT</x:v>
      </x:c>
      <x:c r="E90" s="309" t="str">
        <x:v>pediatric OSA; sleep staging; adenotonsillectomy trial PSG</x:v>
      </x:c>
      <x:c r="F90" s="309" t="str">
        <x:v>1232.0</x:v>
      </x:c>
      <x:c r="G90" s="309" t="n">
        <x:v>1232</x:v>
      </x:c>
      <x:c r="H90" s="309"/>
      <x:c r="I90" s="309"/>
      <x:c r="J90" s="309" t="str">
        <x:v>MANUAL_APPLICATION_OR_LOGIN</x:v>
      </x:c>
      <x:c r="K90" s="309" t="str">
        <x:v>需要申请/登录</x:v>
      </x:c>
      <x:c r="L90" s="309" t="str">
        <x:v>P3</x:v>
      </x:c>
      <x:c r="M90" s="309"/>
      <x:c r="N90" s="309" t="str">
        <x:v>尚未进入已申请名单；先确认研究价值与审批成本，再决定是否提交。</x:v>
      </x:c>
      <x:c r="O90" s="309" t="str">
        <x:v>DOWNLOAD_APPLICATION_REQUIRED</x:v>
      </x:c>
      <x:c r="P90" s="309" t="str">
        <x:v>https://sleepdata.org/datasets/chat</x:v>
      </x:c>
      <x:c r="Q90" s="309"/>
      <x:c r="R90" s="310" t="str">
        <x:v>否</x:v>
      </x:c>
    </x:row>
    <x:row r="91">
      <x:c r="A91" s="226" t="str">
        <x:v>EEG-0121</x:v>
      </x:c>
      <x:c r="B91" s="259" t="str">
        <x:v>健康/人群</x:v>
      </x:c>
      <x:c r="C91" s="259" t="str">
        <x:v>Sleep_Health_and_PSG</x:v>
      </x:c>
      <x:c r="D91" s="259" t="str">
        <x:v>DREAMS-SUB (DREAMS Subjects Database)</x:v>
      </x:c>
      <x:c r="E91" s="259" t="str">
        <x:v>Sleep staging</x:v>
      </x:c>
      <x:c r="F91" s="259" t="str">
        <x:v>20.0</x:v>
      </x:c>
      <x:c r="G91" s="259" t="n">
        <x:v>20</x:v>
      </x:c>
      <x:c r="H91" s="259"/>
      <x:c r="I91" s="259"/>
      <x:c r="J91" s="259" t="str">
        <x:v>COMPLETED</x:v>
      </x:c>
      <x:c r="K91" s="259" t="str">
        <x:v>已下载·待信号/时长审计</x:v>
      </x:c>
      <x:c r="L91" s="259" t="str">
        <x:v>P0</x:v>
      </x:c>
      <x:c r="M91" s="259" t="n">
        <x:v>4.259327851</x:v>
      </x:c>
      <x:c r="N91" s="259" t="str">
        <x:v>无需重复下载；补做 EEG 文件识别、subjects 和 duration 审计。</x:v>
      </x:c>
      <x:c r="O91" s="259" t="str">
        <x:v>DOWNLOAD_PUBLIC</x:v>
      </x:c>
      <x:c r="P91" s="259" t="str"/>
      <x:c r="Q91" s="259" t="str">
        <x:v>Zenodo:2650142 | DOI:10.5281/zenodo.2650142</x:v>
      </x:c>
      <x:c r="R91" s="215" t="str">
        <x:v>否</x:v>
      </x:c>
    </x:row>
    <x:row r="92">
      <x:c r="A92" s="308" t="str">
        <x:v>EEG-0122</x:v>
      </x:c>
      <x:c r="B92" s="309" t="str">
        <x:v>疾病/临床</x:v>
      </x:c>
      <x:c r="C92" s="309" t="str">
        <x:v>Clinical_Sleep_and_OSA</x:v>
      </x:c>
      <x:c r="D92" s="309" t="str">
        <x:v>Dreem Open Datasets (DOD-H</x:v>
      </x:c>
      <x:c r="E92" s="309" t="str">
        <x:v>Sleep staging with clinical PSG and wearable headband</x:v>
      </x:c>
      <x:c r="F92" s="309" t="str">
        <x:v>80</x:v>
      </x:c>
      <x:c r="G92" s="309" t="n">
        <x:v>55</x:v>
      </x:c>
      <x:c r="H92" s="309"/>
      <x:c r="I92" s="309"/>
      <x:c r="J92" s="309" t="str">
        <x:v>MANUAL_APPLICATION_OR_LOGIN</x:v>
      </x:c>
      <x:c r="K92" s="309" t="str">
        <x:v>需要申请/登录</x:v>
      </x:c>
      <x:c r="L92" s="309" t="str">
        <x:v>P3</x:v>
      </x:c>
      <x:c r="M92" s="309"/>
      <x:c r="N92" s="309" t="str">
        <x:v>尚未进入已申请名单；先确认研究价值与审批成本，再决定是否提交。</x:v>
      </x:c>
      <x:c r="O92" s="309" t="str">
        <x:v>DOWNLOAD_APPLICATION_REQUIRED</x:v>
      </x:c>
      <x:c r="P92" s="309" t="str">
        <x:v>https://zenodo.org/records/4498364</x:v>
      </x:c>
      <x:c r="Q92" s="309" t="str">
        <x:v>Zenodo:4498364</x:v>
      </x:c>
      <x:c r="R92" s="310" t="str">
        <x:v>否</x:v>
      </x:c>
    </x:row>
    <x:row r="93">
      <x:c r="A93" s="226" t="str">
        <x:v>EEG-0123</x:v>
      </x:c>
      <x:c r="B93" s="259" t="str">
        <x:v>健康/人群</x:v>
      </x:c>
      <x:c r="C93" s="259" t="str">
        <x:v>Sleep_Health_and_PSG</x:v>
      </x:c>
      <x:c r="D93" s="259" t="str">
        <x:v>Ear-EEG Sleep Monitoring 2017</x:v>
      </x:c>
      <x:c r="E93" s="259" t="str">
        <x:v>sleep monitoring；ear-EEG vs conventional sleep EEG</x:v>
      </x:c>
      <x:c r="F93" s="259" t="str">
        <x:v>9</x:v>
      </x:c>
      <x:c r="G93" s="259" t="n">
        <x:v>9</x:v>
      </x:c>
      <x:c r="H93" s="259"/>
      <x:c r="I93" s="259"/>
      <x:c r="J93" s="259" t="str">
        <x:v>COMPLETED</x:v>
      </x:c>
      <x:c r="K93" s="259" t="str">
        <x:v>已下载·待信号/时长审计</x:v>
      </x:c>
      <x:c r="L93" s="259" t="str">
        <x:v>P0</x:v>
      </x:c>
      <x:c r="M93" s="259" t="n">
        <x:v>13.210689017</x:v>
      </x:c>
      <x:c r="N93" s="259" t="str">
        <x:v>无需重复下载；补做 EEG 文件识别、subjects 和 duration 审计。</x:v>
      </x:c>
      <x:c r="O93" s="259" t="str">
        <x:v>DOWNLOAD_PUBLIC</x:v>
      </x:c>
      <x:c r="P93" s="259" t="str">
        <x:v>https://openneuro.org/datasets/ds004348/versions/1.0.5</x:v>
      </x:c>
      <x:c r="Q93" s="259" t="str">
        <x:v>OpenNeuro:ds004348</x:v>
      </x:c>
      <x:c r="R93" s="215" t="str">
        <x:v>否</x:v>
      </x:c>
    </x:row>
    <x:row r="94">
      <x:c r="A94" s="308" t="str">
        <x:v>EEG-0124</x:v>
      </x:c>
      <x:c r="B94" s="309" t="str">
        <x:v>健康/人群</x:v>
      </x:c>
      <x:c r="C94" s="309" t="str">
        <x:v>Sleep_Health_and_PSG</x:v>
      </x:c>
      <x:c r="D94" s="309" t="str">
        <x:v>EESM23 (Ear-EEG Sleep Monitoring)</x:v>
      </x:c>
      <x:c r="E94" s="309" t="str">
        <x:v>Ear-EEG based sleep staging (out-of-distribution / scalability evaluation)</x:v>
      </x:c>
      <x:c r="F94" s="309" t="str">
        <x:v>10.0</x:v>
      </x:c>
      <x:c r="G94" s="309" t="n">
        <x:v>10</x:v>
      </x:c>
      <x:c r="H94" s="309"/>
      <x:c r="I94" s="309"/>
      <x:c r="J94" s="309" t="str">
        <x:v>COMPLETED</x:v>
      </x:c>
      <x:c r="K94" s="309" t="str">
        <x:v>已下载·待信号/时长审计</x:v>
      </x:c>
      <x:c r="L94" s="309" t="str">
        <x:v>P0</x:v>
      </x:c>
      <x:c r="M94" s="309" t="n">
        <x:v>95.116020667</x:v>
      </x:c>
      <x:c r="N94" s="309" t="str">
        <x:v>无需重复下载；补做 EEG 文件识别、subjects 和 duration 审计。</x:v>
      </x:c>
      <x:c r="O94" s="309" t="str">
        <x:v>DOWNLOAD_PUBLIC</x:v>
      </x:c>
      <x:c r="P94" s="309" t="str">
        <x:v>https://openneuro.org/datasets/ds005178/versions/1.0.0</x:v>
      </x:c>
      <x:c r="Q94" s="309" t="str">
        <x:v>OpenNeuro:ds005178</x:v>
      </x:c>
      <x:c r="R94" s="310" t="str">
        <x:v>否</x:v>
      </x:c>
    </x:row>
    <x:row r="95">
      <x:c r="A95" s="226" t="str">
        <x:v>EEG-0125</x:v>
      </x:c>
      <x:c r="B95" s="259" t="str">
        <x:v>疾病/临床</x:v>
      </x:c>
      <x:c r="C95" s="259" t="str">
        <x:v>Clinical_Sleep_Disorders</x:v>
      </x:c>
      <x:c r="D95" s="259" t="str">
        <x:v>HMC (Haaglanden)</x:v>
      </x:c>
      <x:c r="E95" s="259" t="str">
        <x:v>Sleep staging (5-class, AASM)</x:v>
      </x:c>
      <x:c r="F95" s="259" t="str">
        <x:v>151 (85M/66F)</x:v>
      </x:c>
      <x:c r="G95" s="259" t="n">
        <x:v>154</x:v>
      </x:c>
      <x:c r="H95" s="259"/>
      <x:c r="I95" s="259"/>
      <x:c r="J95" s="259" t="str">
        <x:v>DISCOVERED_NOT_COMPLETED</x:v>
      </x:c>
      <x:c r="K95" s="259" t="str">
        <x:v>可直接下载</x:v>
      </x:c>
      <x:c r="L95" s="259" t="str">
        <x:v>P1</x:v>
      </x:c>
      <x:c r="M95" s="259"/>
      <x:c r="N95" s="259" t="str">
        <x:v>从官方入口下载；完成后写入服务器状态并运行 subjects/duration 审计。</x:v>
      </x:c>
      <x:c r="O95" s="259" t="str">
        <x:v>DOWNLOAD_PUBLIC</x:v>
      </x:c>
      <x:c r="P95" s="259" t="str">
        <x:v>https://physionet.org/content/hmc-sleep-staging/1.1/</x:v>
      </x:c>
      <x:c r="Q95" s="259" t="str">
        <x:v>PhysioNet:hmc-sleep-staging</x:v>
      </x:c>
      <x:c r="R95" s="215" t="str">
        <x:v>否</x:v>
      </x:c>
    </x:row>
    <x:row r="96">
      <x:c r="A96" s="308" t="str">
        <x:v>EEG-0126</x:v>
      </x:c>
      <x:c r="B96" s="309" t="str">
        <x:v>疾病/临床</x:v>
      </x:c>
      <x:c r="C96" s="309" t="str">
        <x:v>Obstructive_Sleep_Apnea</x:v>
      </x:c>
      <x:c r="D96" s="309" t="str">
        <x:v>HomePAP</x:v>
      </x:c>
      <x:c r="E96" s="309" t="str">
        <x:v>OSA diagnosis; home vs laboratory pathway; sleep staging</x:v>
      </x:c>
      <x:c r="F96" s="309" t="str">
        <x:v>343 个含原始 PSG/EEG 的参与者</x:v>
      </x:c>
      <x:c r="G96" s="309" t="n">
        <x:v>343</x:v>
      </x:c>
      <x:c r="H96" s="309"/>
      <x:c r="I96" s="309"/>
      <x:c r="J96" s="309" t="str">
        <x:v>MANUAL_APPLICATION_OR_LOGIN</x:v>
      </x:c>
      <x:c r="K96" s="309" t="str">
        <x:v>需要申请/登录</x:v>
      </x:c>
      <x:c r="L96" s="309" t="str">
        <x:v>P3</x:v>
      </x:c>
      <x:c r="M96" s="309"/>
      <x:c r="N96" s="309" t="str">
        <x:v>尚未进入已申请名单；先确认研究价值与审批成本，再决定是否提交。</x:v>
      </x:c>
      <x:c r="O96" s="309" t="str">
        <x:v>DOWNLOAD_APPLICATION_REQUIRED</x:v>
      </x:c>
      <x:c r="P96" s="309" t="str">
        <x:v>[NSRR HomePAP](https://sleepdata.org/datasets/homepap)</x:v>
      </x:c>
      <x:c r="Q96" s="309"/>
      <x:c r="R96" s="310" t="str">
        <x:v>否</x:v>
      </x:c>
    </x:row>
    <x:row r="97">
      <x:c r="A97" s="226" t="str">
        <x:v>EEG-0127</x:v>
      </x:c>
      <x:c r="B97" s="259" t="str">
        <x:v>疾病/临床</x:v>
      </x:c>
      <x:c r="C97" s="259" t="str">
        <x:v>Clinical_Sleep_and_PSG</x:v>
      </x:c>
      <x:c r="D97" s="259" t="str">
        <x:v>Human Sleep Project (HSP)</x:v>
      </x:c>
      <x:c r="E97" s="259" t="str">
        <x:v>Pre-training (multimodal contrastive PSG foundation model)</x:v>
      </x:c>
      <x:c r="F97" s="259" t="str">
        <x:v>18973.0</x:v>
      </x:c>
      <x:c r="G97" s="259" t="n">
        <x:v>18973</x:v>
      </x:c>
      <x:c r="H97" s="259"/>
      <x:c r="I97" s="259"/>
      <x:c r="J97" s="259" t="str">
        <x:v>MANUAL_APPLICATION_OR_LOGIN</x:v>
      </x:c>
      <x:c r="K97" s="259" t="str">
        <x:v>需要申请/登录</x:v>
      </x:c>
      <x:c r="L97" s="259" t="str">
        <x:v>P3</x:v>
      </x:c>
      <x:c r="M97" s="259"/>
      <x:c r="N97" s="259" t="str">
        <x:v>尚未进入已申请名单；先确认研究价值与审批成本，再决定是否提交。</x:v>
      </x:c>
      <x:c r="O97" s="259" t="str">
        <x:v>DOWNLOAD_APPLICATION_REQUIRED</x:v>
      </x:c>
      <x:c r="P97" s="259" t="str">
        <x:v>https://bdsp.io/content/hsp/</x:v>
      </x:c>
      <x:c r="Q97" s="259" t="str">
        <x:v>DOI:10.60508/qjbv-hg78</x:v>
      </x:c>
      <x:c r="R97" s="215" t="str">
        <x:v>否</x:v>
      </x:c>
    </x:row>
    <x:row r="98">
      <x:c r="A98" s="308" t="str">
        <x:v>EEG-0128</x:v>
      </x:c>
      <x:c r="B98" s="309" t="str">
        <x:v>疾病/临床</x:v>
      </x:c>
      <x:c r="C98" s="309" t="str">
        <x:v>Clinical_Sleep_Disorders</x:v>
      </x:c>
      <x:c r="D98" s="309" t="str">
        <x:v>ISRUC-Sleep</x:v>
      </x:c>
      <x:c r="E98" s="309" t="str">
        <x:v>Sleep stage classification (5-class, AASM)</x:v>
      </x:c>
      <x:c r="F98" s="309" t="str">
        <x:v>118 total (SG-I: 100; SG-II: 8 longitudinal; SG-III: 10)</x:v>
      </x:c>
      <x:c r="G98" s="309" t="n">
        <x:v>118</x:v>
      </x:c>
      <x:c r="H98" s="309"/>
      <x:c r="I98" s="309"/>
      <x:c r="J98" s="309" t="str">
        <x:v>FAILED_DISCOVERY</x:v>
      </x:c>
      <x:c r="K98" s="309" t="str">
        <x:v>公开入口·需人工复核</x:v>
      </x:c>
      <x:c r="L98" s="309" t="str">
        <x:v>P2</x:v>
      </x:c>
      <x:c r="M98" s="309"/>
      <x:c r="N98" s="309" t="str">
        <x:v>自动下载未完成；人工打开官方入口，确认真实文件链接后再下载。</x:v>
      </x:c>
      <x:c r="O98" s="309" t="str">
        <x:v>DOWNLOAD_PUBLIC</x:v>
      </x:c>
      <x:c r="P98" s="309" t="str">
        <x:v>https://sleeptight.isr.uc.pt/</x:v>
      </x:c>
      <x:c r="Q98" s="309"/>
      <x:c r="R98" s="310" t="str">
        <x:v>否</x:v>
      </x:c>
    </x:row>
    <x:row r="99">
      <x:c r="A99" s="226" t="str">
        <x:v>EEG-0130</x:v>
      </x:c>
      <x:c r="B99" s="259" t="str">
        <x:v>健康/人群</x:v>
      </x:c>
      <x:c r="C99" s="259" t="str">
        <x:v>Sleep_Staging_and_Microarousals</x:v>
      </x:c>
      <x:c r="D99" s="259" t="str">
        <x:v>MASS</x:v>
      </x:c>
      <x:c r="E99" s="259" t="str">
        <x:v>Sleep stages；也可用于睡眠微结构、spindle、arousal 等研究，具体标签取决于 subset</x:v>
      </x:c>
      <x:c r="F99" s="259" t="str">
        <x:v>200</x:v>
      </x:c>
      <x:c r="G99" s="259" t="n">
        <x:v>200</x:v>
      </x:c>
      <x:c r="H99" s="259"/>
      <x:c r="I99" s="259"/>
      <x:c r="J99" s="259" t="str">
        <x:v>MANUAL_APPLICATION_OR_LOGIN</x:v>
      </x:c>
      <x:c r="K99" s="259" t="str">
        <x:v>需要申请/登录</x:v>
      </x:c>
      <x:c r="L99" s="259" t="str">
        <x:v>P3</x:v>
      </x:c>
      <x:c r="M99" s="259"/>
      <x:c r="N99" s="259" t="str">
        <x:v>尚未进入已申请名单；先确认研究价值与审批成本，再决定是否提交。</x:v>
      </x:c>
      <x:c r="O99" s="259" t="str">
        <x:v>DOWNLOAD_PUBLIC</x:v>
      </x:c>
      <x:c r="P99" s="259" t="str">
        <x:v>http://ceams-carsm.ca/mass/</x:v>
      </x:c>
      <x:c r="Q99" s="259"/>
      <x:c r="R99" s="215" t="str">
        <x:v>否</x:v>
      </x:c>
    </x:row>
    <x:row r="100">
      <x:c r="A100" s="308" t="str">
        <x:v>EEG-0131</x:v>
      </x:c>
      <x:c r="B100" s="309" t="str">
        <x:v>疾病/临床</x:v>
      </x:c>
      <x:c r="C100" s="309" t="str">
        <x:v>Clinical_Sleep_and_PSG</x:v>
      </x:c>
      <x:c r="D100" s="309" t="str">
        <x:v>MORGOTH BCH-PSG</x:v>
      </x:c>
      <x:c r="E100" s="309" t="str">
        <x:v>5-class sleep staging</x:v>
      </x:c>
      <x:c r="F100" s="309" t="str">
        <x:v>1,000</x:v>
      </x:c>
      <x:c r="G100" s="309" t="n">
        <x:v>1000</x:v>
      </x:c>
      <x:c r="H100" s="309"/>
      <x:c r="I100" s="309"/>
      <x:c r="J100" s="309" t="str">
        <x:v>MANUAL_APPLICATION_OR_LOGIN</x:v>
      </x:c>
      <x:c r="K100" s="309" t="str">
        <x:v>需要申请/登录</x:v>
      </x:c>
      <x:c r="L100" s="309" t="str">
        <x:v>P3</x:v>
      </x:c>
      <x:c r="M100" s="309"/>
      <x:c r="N100" s="309" t="str">
        <x:v>尚未进入已申请名单；先确认研究价值与审批成本，再决定是否提交。</x:v>
      </x:c>
      <x:c r="O100" s="309" t="str">
        <x:v>DOWNLOAD_PUBLIC</x:v>
      </x:c>
      <x:c r="P100" s="309" t="str">
        <x:v>https://bdsp.io/content/morgoth1/1.0.0/</x:v>
      </x:c>
      <x:c r="Q100" s="309"/>
      <x:c r="R100" s="310" t="str">
        <x:v>否</x:v>
      </x:c>
    </x:row>
    <x:row r="101">
      <x:c r="A101" s="226" t="str">
        <x:v>EEG-0132</x:v>
      </x:c>
      <x:c r="B101" s="259" t="str">
        <x:v>疾病/临床</x:v>
      </x:c>
      <x:c r="C101" s="259" t="str">
        <x:v>Clinical_Sleep_and_PSG</x:v>
      </x:c>
      <x:c r="D101" s="259" t="str">
        <x:v>MORGOTH MGH-PSG-Test</x:v>
      </x:c>
      <x:c r="E101" s="259" t="str">
        <x:v>5-class sleep staging</x:v>
      </x:c>
      <x:c r="F101" s="259" t="str">
        <x:v>1,000</x:v>
      </x:c>
      <x:c r="G101" s="259" t="n">
        <x:v>1000</x:v>
      </x:c>
      <x:c r="H101" s="259"/>
      <x:c r="I101" s="259"/>
      <x:c r="J101" s="259" t="str">
        <x:v>MANUAL_APPLICATION_OR_LOGIN</x:v>
      </x:c>
      <x:c r="K101" s="259" t="str">
        <x:v>需要申请/登录</x:v>
      </x:c>
      <x:c r="L101" s="259" t="str">
        <x:v>P3</x:v>
      </x:c>
      <x:c r="M101" s="259"/>
      <x:c r="N101" s="259" t="str">
        <x:v>尚未进入已申请名单；先确认研究价值与审批成本，再决定是否提交。</x:v>
      </x:c>
      <x:c r="O101" s="259" t="str">
        <x:v>DOWNLOAD_PUBLIC</x:v>
      </x:c>
      <x:c r="P101" s="259" t="str">
        <x:v>https://bdsp.io/content/morgoth1/1.0.0/</x:v>
      </x:c>
      <x:c r="Q101" s="259"/>
      <x:c r="R101" s="215" t="str">
        <x:v>否</x:v>
      </x:c>
    </x:row>
    <x:row r="102">
      <x:c r="A102" s="308" t="str">
        <x:v>EEG-0133</x:v>
      </x:c>
      <x:c r="B102" s="309" t="str">
        <x:v>疾病/临床</x:v>
      </x:c>
      <x:c r="C102" s="309" t="str">
        <x:v>Clinical_Sleep_and_PSG</x:v>
      </x:c>
      <x:c r="D102" s="309" t="str">
        <x:v>MORGOTH MGH-PSG-Train</x:v>
      </x:c>
      <x:c r="E102" s="309" t="str">
        <x:v>5-class sleep staging</x:v>
      </x:c>
      <x:c r="F102" s="309" t="str">
        <x:v>1,000</x:v>
      </x:c>
      <x:c r="G102" s="309" t="n">
        <x:v>1000</x:v>
      </x:c>
      <x:c r="H102" s="309"/>
      <x:c r="I102" s="309"/>
      <x:c r="J102" s="309" t="str">
        <x:v>MANUAL_APPLICATION_OR_LOGIN</x:v>
      </x:c>
      <x:c r="K102" s="309" t="str">
        <x:v>需要申请/登录</x:v>
      </x:c>
      <x:c r="L102" s="309" t="str">
        <x:v>P3</x:v>
      </x:c>
      <x:c r="M102" s="309"/>
      <x:c r="N102" s="309" t="str">
        <x:v>尚未进入已申请名单；先确认研究价值与审批成本，再决定是否提交。</x:v>
      </x:c>
      <x:c r="O102" s="309" t="str">
        <x:v>DOWNLOAD_PUBLIC</x:v>
      </x:c>
      <x:c r="P102" s="309" t="str">
        <x:v>https://bdsp.io/content/morgoth1/1.0.0/</x:v>
      </x:c>
      <x:c r="Q102" s="309"/>
      <x:c r="R102" s="310" t="str">
        <x:v>否</x:v>
      </x:c>
    </x:row>
    <x:row r="103">
      <x:c r="A103" s="226" t="str">
        <x:v>EEG-0134</x:v>
      </x:c>
      <x:c r="B103" s="259" t="str">
        <x:v>疾病/临床</x:v>
      </x:c>
      <x:c r="C103" s="259" t="str">
        <x:v>Clinical_Sleep_and_PSG</x:v>
      </x:c>
      <x:c r="D103" s="259" t="str">
        <x:v>MORGOTH UPenn PSG</x:v>
      </x:c>
      <x:c r="E103" s="259" t="str">
        <x:v>5-class sleep staging external validation</x:v>
      </x:c>
      <x:c r="F103" s="259" t="str">
        <x:v>69</x:v>
      </x:c>
      <x:c r="G103" s="259" t="n">
        <x:v>69</x:v>
      </x:c>
      <x:c r="H103" s="259"/>
      <x:c r="I103" s="259"/>
      <x:c r="J103" s="259" t="str">
        <x:v>MANUAL_APPLICATION_OR_LOGIN</x:v>
      </x:c>
      <x:c r="K103" s="259" t="str">
        <x:v>需要申请/登录</x:v>
      </x:c>
      <x:c r="L103" s="259" t="str">
        <x:v>P3</x:v>
      </x:c>
      <x:c r="M103" s="259"/>
      <x:c r="N103" s="259" t="str">
        <x:v>尚未进入已申请名单；先确认研究价值与审批成本，再决定是否提交。</x:v>
      </x:c>
      <x:c r="O103" s="259" t="str">
        <x:v>DOWNLOAD_PUBLIC</x:v>
      </x:c>
      <x:c r="P103" s="259" t="str">
        <x:v>https://bdsp.io/content/morgoth1/1.0.0/</x:v>
      </x:c>
      <x:c r="Q103" s="259"/>
      <x:c r="R103" s="215" t="str">
        <x:v>否</x:v>
      </x:c>
    </x:row>
    <x:row r="104">
      <x:c r="A104" s="308" t="str">
        <x:v>EEG-0135</x:v>
      </x:c>
      <x:c r="B104" s="309" t="str">
        <x:v>健康/人群</x:v>
      </x:c>
      <x:c r="C104" s="309" t="str">
        <x:v>Aging_and_Sleep</x:v>
      </x:c>
      <x:c r="D104" s="309" t="str">
        <x:v>MrOS Sleep</x:v>
      </x:c>
      <x:c r="E104" s="309" t="str">
        <x:v>Sleep stages, sleep-disordered breathing, actigraphy-derived sleep metrics, clinical covariates</x:v>
      </x:c>
      <x:c r="F104" s="309" t="str">
        <x:v>2,907（Visit 1）；1,026 为重复随访 Visit 2，不相加为唯一人数</x:v>
      </x:c>
      <x:c r="G104" s="309" t="n">
        <x:v>2907</x:v>
      </x:c>
      <x:c r="H104" s="309"/>
      <x:c r="I104" s="309"/>
      <x:c r="J104" s="309" t="str">
        <x:v>MANUAL_APPLICATION_OR_LOGIN</x:v>
      </x:c>
      <x:c r="K104" s="309" t="str">
        <x:v>需要申请/登录</x:v>
      </x:c>
      <x:c r="L104" s="309" t="str">
        <x:v>P3</x:v>
      </x:c>
      <x:c r="M104" s="309"/>
      <x:c r="N104" s="309" t="str">
        <x:v>尚未进入已申请名单；先确认研究价值与审批成本，再决定是否提交。</x:v>
      </x:c>
      <x:c r="O104" s="309" t="str">
        <x:v>DOWNLOAD_PUBLIC</x:v>
      </x:c>
      <x:c r="P104" s="309" t="str">
        <x:v>[NSRR MrOS](https://sleepdata.org/datasets/mros)</x:v>
      </x:c>
      <x:c r="Q104" s="309"/>
      <x:c r="R104" s="310" t="str">
        <x:v>否</x:v>
      </x:c>
    </x:row>
    <x:row r="105">
      <x:c r="A105" s="226" t="str">
        <x:v>EEG-0136</x:v>
      </x:c>
      <x:c r="B105" s="259" t="str">
        <x:v>疾病/临床</x:v>
      </x:c>
      <x:c r="C105" s="259" t="str">
        <x:v>Clinical_Sleep_and_PSG</x:v>
      </x:c>
      <x:c r="D105" s="259" t="str">
        <x:v>NCHSDB</x:v>
      </x:c>
      <x:c r="E105" s="259" t="str">
        <x:v>pediatric sleep staging; sleep disorder PSG with clinical EHR covariates</x:v>
      </x:c>
      <x:c r="F105" s="259" t="str">
        <x:v>3960.0</x:v>
      </x:c>
      <x:c r="G105" s="259" t="n">
        <x:v>3960</x:v>
      </x:c>
      <x:c r="H105" s="259"/>
      <x:c r="I105" s="259"/>
      <x:c r="J105" s="259" t="str">
        <x:v>FAILED_DISCOVERY</x:v>
      </x:c>
      <x:c r="K105" s="259" t="str">
        <x:v>公开入口·需人工复核</x:v>
      </x:c>
      <x:c r="L105" s="259" t="str">
        <x:v>P2</x:v>
      </x:c>
      <x:c r="M105" s="259"/>
      <x:c r="N105" s="259" t="str">
        <x:v>自动下载未完成；人工打开官方入口，确认真实文件链接后再下载。</x:v>
      </x:c>
      <x:c r="O105" s="259" t="str">
        <x:v>DOWNLOAD_PUBLIC</x:v>
      </x:c>
      <x:c r="P105" s="259" t="str">
        <x:v>https://physionet.org/content/nch-sleep/</x:v>
      </x:c>
      <x:c r="Q105" s="259" t="str">
        <x:v>PhysioNet:nch-sleep</x:v>
      </x:c>
      <x:c r="R105" s="215" t="str">
        <x:v>否</x:v>
      </x:c>
    </x:row>
    <x:row r="106">
      <x:c r="A106" s="308" t="str">
        <x:v>EEG-0137</x:v>
      </x:c>
      <x:c r="B106" s="309" t="str">
        <x:v>健康/人群</x:v>
      </x:c>
      <x:c r="C106" s="309" t="str">
        <x:v>Sleep_Health_and_PSG</x:v>
      </x:c>
      <x:c r="D106" s="309" t="str">
        <x:v>NFS</x:v>
      </x:c>
      <x:c r="E106" s="309" t="str">
        <x:v>sleep/circadian protocols; PSG, actigraphy, questionnaires</x:v>
      </x:c>
      <x:c r="F106" s="309" t="str">
        <x:v>未给出</x:v>
      </x:c>
      <x:c r="G106" s="309"/>
      <x:c r="H106" s="309"/>
      <x:c r="I106" s="309"/>
      <x:c r="J106" s="309" t="str">
        <x:v>MANUAL_APPLICATION_OR_LOGIN</x:v>
      </x:c>
      <x:c r="K106" s="309" t="str">
        <x:v>需要申请/登录</x:v>
      </x:c>
      <x:c r="L106" s="309" t="str">
        <x:v>P3</x:v>
      </x:c>
      <x:c r="M106" s="309"/>
      <x:c r="N106" s="309" t="str">
        <x:v>尚未进入已申请名单；先确认研究价值与审批成本，再决定是否提交。</x:v>
      </x:c>
      <x:c r="O106" s="309" t="str">
        <x:v>DOWNLOAD_APPLICATION_REQUIRED</x:v>
      </x:c>
      <x:c r="P106" s="309" t="str">
        <x:v>https://sleepdata.org/datasets/nfs</x:v>
      </x:c>
      <x:c r="Q106" s="309"/>
      <x:c r="R106" s="310" t="str">
        <x:v>否</x:v>
      </x:c>
    </x:row>
    <x:row r="107">
      <x:c r="A107" s="226" t="str">
        <x:v>EEG-0138</x:v>
      </x:c>
      <x:c r="B107" s="259" t="str">
        <x:v>健康/人群</x:v>
      </x:c>
      <x:c r="C107" s="259" t="str">
        <x:v>Sleep_Health_and_PSG</x:v>
      </x:c>
      <x:c r="D107" s="259" t="str">
        <x:v>OpenNeuro ds003768 simultaneous EEG-fMRI sleep</x:v>
      </x:c>
      <x:c r="E107" s="259" t="str">
        <x:v>rest / sleep states；sleep staging；EEG-fMRI coupling</x:v>
      </x:c>
      <x:c r="F107" s="259" t="str">
        <x:v>33</x:v>
      </x:c>
      <x:c r="G107" s="259" t="n">
        <x:v>33</x:v>
      </x:c>
      <x:c r="H107" s="259"/>
      <x:c r="I107" s="259"/>
      <x:c r="J107" s="259" t="str">
        <x:v>COMPLETED</x:v>
      </x:c>
      <x:c r="K107" s="259" t="str">
        <x:v>已下载·待信号/时长审计</x:v>
      </x:c>
      <x:c r="L107" s="259" t="str">
        <x:v>P0</x:v>
      </x:c>
      <x:c r="M107" s="259" t="n">
        <x:v>312.924643894</x:v>
      </x:c>
      <x:c r="N107" s="259" t="str">
        <x:v>无需重复下载；补做 EEG 文件识别、subjects 和 duration 审计。</x:v>
      </x:c>
      <x:c r="O107" s="259" t="str">
        <x:v>DOWNLOAD_PUBLIC</x:v>
      </x:c>
      <x:c r="P107" s="259" t="str">
        <x:v>https://openneuro.org/datasets/ds003768</x:v>
      </x:c>
      <x:c r="Q107" s="259" t="str">
        <x:v>OpenNeuro:ds003768 | DOI:10.1016/j.dib.2023.109059</x:v>
      </x:c>
      <x:c r="R107" s="215" t="str">
        <x:v>否</x:v>
      </x:c>
    </x:row>
    <x:row r="108">
      <x:c r="A108" s="308" t="str">
        <x:v>EEG-0140</x:v>
      </x:c>
      <x:c r="B108" s="309" t="str">
        <x:v>疾病/临床</x:v>
      </x:c>
      <x:c r="C108" s="309" t="str">
        <x:v>Clinical_Sleep_and_PSG</x:v>
      </x:c>
      <x:c r="D108" s="309" t="str">
        <x:v>PhysioNet Challenge 2018 Sleep Arousal Database</x:v>
      </x:c>
      <x:c r="E108" s="309" t="str">
        <x:v>sleep staging / arousal detection from PSG</x:v>
      </x:c>
      <x:c r="F108" s="309" t="str">
        <x:v>1983</x:v>
      </x:c>
      <x:c r="G108" s="309" t="n">
        <x:v>1983</x:v>
      </x:c>
      <x:c r="H108" s="309"/>
      <x:c r="I108" s="309"/>
      <x:c r="J108" s="309" t="str">
        <x:v>DISCOVERED_NOT_COMPLETED</x:v>
      </x:c>
      <x:c r="K108" s="309" t="str">
        <x:v>可直接下载</x:v>
      </x:c>
      <x:c r="L108" s="309" t="str">
        <x:v>P1</x:v>
      </x:c>
      <x:c r="M108" s="309"/>
      <x:c r="N108" s="309" t="str">
        <x:v>从官方入口下载；完成后写入服务器状态并运行 subjects/duration 审计。</x:v>
      </x:c>
      <x:c r="O108" s="309" t="str">
        <x:v>DOWNLOAD_PUBLIC</x:v>
      </x:c>
      <x:c r="P108" s="309" t="str">
        <x:v>https://physionet.org/content/challenge-2018/1.0.0/</x:v>
      </x:c>
      <x:c r="Q108" s="309" t="str">
        <x:v>PhysioNet:challenge-2018</x:v>
      </x:c>
      <x:c r="R108" s="310" t="str">
        <x:v>否</x:v>
      </x:c>
    </x:row>
    <x:row r="109">
      <x:c r="A109" s="226" t="str">
        <x:v>EEG-0141</x:v>
      </x:c>
      <x:c r="B109" s="259" t="str">
        <x:v>健康/人群</x:v>
      </x:c>
      <x:c r="C109" s="259" t="str">
        <x:v>Sleep_Health_and_PSG</x:v>
      </x:c>
      <x:c r="D109" s="259" t="str">
        <x:v>SEED-SD</x:v>
      </x:c>
      <x:c r="E109" s="259" t="str">
        <x:v>Emotion recognition under different sleep conditions (sleep deprivation, sleep recovery, normal sleep)</x:v>
      </x:c>
      <x:c r="F109" s="259" t="str">
        <x:v>40</x:v>
      </x:c>
      <x:c r="G109" s="259" t="n">
        <x:v>40</x:v>
      </x:c>
      <x:c r="H109" s="259"/>
      <x:c r="I109" s="259"/>
      <x:c r="J109" s="259" t="str">
        <x:v>MANUAL_APPLICATION_OR_LOGIN</x:v>
      </x:c>
      <x:c r="K109" s="259" t="str">
        <x:v>需要申请/登录</x:v>
      </x:c>
      <x:c r="L109" s="259" t="str">
        <x:v>P3</x:v>
      </x:c>
      <x:c r="M109" s="259"/>
      <x:c r="N109" s="259" t="str">
        <x:v>尚未进入已申请名单；先确认研究价值与审批成本，再决定是否提交。</x:v>
      </x:c>
      <x:c r="O109" s="259" t="str">
        <x:v>DOWNLOAD_PUBLIC</x:v>
      </x:c>
      <x:c r="P109" s="259" t="str">
        <x:v>https://bcmi.sjtu.edu.cn/home/seed/seed-SD.html</x:v>
      </x:c>
      <x:c r="Q109" s="259"/>
      <x:c r="R109" s="215" t="str">
        <x:v>否</x:v>
      </x:c>
    </x:row>
    <x:row r="110">
      <x:c r="A110" s="308" t="str">
        <x:v>EEG-0142</x:v>
      </x:c>
      <x:c r="B110" s="309" t="str">
        <x:v>健康/人群</x:v>
      </x:c>
      <x:c r="C110" s="309" t="str">
        <x:v>Population_Sleep_Health</x:v>
      </x:c>
      <x:c r="D110" s="309" t="str">
        <x:v>SHHS</x:v>
      </x:c>
      <x:c r="E110" s="309" t="str">
        <x:v>Sleep staging (5-class: Wake, N1, N2, N3, REM); source/target domain in generalizable sleep staging</x:v>
      </x:c>
      <x:c r="F110" s="309" t="str">
        <x:v>5,793（Visit 1）；2,651 为重复随访 Visit 2，不相加为唯一人数</x:v>
      </x:c>
      <x:c r="G110" s="309" t="n">
        <x:v>5793</x:v>
      </x:c>
      <x:c r="H110" s="309"/>
      <x:c r="I110" s="309"/>
      <x:c r="J110" s="309" t="str">
        <x:v>MANUAL_APPLICATION_OR_LOGIN</x:v>
      </x:c>
      <x:c r="K110" s="309" t="str">
        <x:v>需要申请/登录</x:v>
      </x:c>
      <x:c r="L110" s="309" t="str">
        <x:v>P3</x:v>
      </x:c>
      <x:c r="M110" s="309"/>
      <x:c r="N110" s="309" t="str">
        <x:v>尚未进入已申请名单；先确认研究价值与审批成本，再决定是否提交。</x:v>
      </x:c>
      <x:c r="O110" s="309" t="str">
        <x:v>DOWNLOAD_PUBLIC</x:v>
      </x:c>
      <x:c r="P110" s="309" t="str">
        <x:v>https://sleepdata.org/datasets/shhs</x:v>
      </x:c>
      <x:c r="Q110" s="309"/>
      <x:c r="R110" s="310" t="str">
        <x:v>否</x:v>
      </x:c>
    </x:row>
    <x:row r="111">
      <x:c r="A111" s="226" t="str">
        <x:v>EEG-0143</x:v>
      </x:c>
      <x:c r="B111" s="259" t="str">
        <x:v>健康/人群</x:v>
      </x:c>
      <x:c r="C111" s="259" t="str">
        <x:v>Sleep_Health_and_PSG</x:v>
      </x:c>
      <x:c r="D111" s="259" t="str">
        <x:v>Sleep-Deprivation (resting)</x:v>
      </x:c>
      <x:c r="E111" s="259" t="str">
        <x:v>Resting EEG, normal sleep vs sleep deprivation</x:v>
      </x:c>
      <x:c r="F111" s="259" t="str">
        <x:v>71</x:v>
      </x:c>
      <x:c r="G111" s="259" t="n">
        <x:v>71</x:v>
      </x:c>
      <x:c r="H111" s="259"/>
      <x:c r="I111" s="259"/>
      <x:c r="J111" s="259" t="str">
        <x:v>COMPLETED</x:v>
      </x:c>
      <x:c r="K111" s="259" t="str">
        <x:v>已下载·待信号/时长审计</x:v>
      </x:c>
      <x:c r="L111" s="259" t="str">
        <x:v>P0</x:v>
      </x:c>
      <x:c r="M111" s="259" t="n">
        <x:v>8.900349601</x:v>
      </x:c>
      <x:c r="N111" s="259" t="str">
        <x:v>无需重复下载；补做 EEG 文件识别、subjects 和 duration 审计。</x:v>
      </x:c>
      <x:c r="O111" s="259" t="str">
        <x:v>DOWNLOAD_PUBLIC</x:v>
      </x:c>
      <x:c r="P111" s="259" t="str">
        <x:v>https://openneuro.org/datasets/ds004902</x:v>
      </x:c>
      <x:c r="Q111" s="259" t="str">
        <x:v>OpenNeuro:ds004902</x:v>
      </x:c>
      <x:c r="R111" s="215" t="str">
        <x:v>否</x:v>
      </x:c>
    </x:row>
    <x:row r="112">
      <x:c r="A112" s="308" t="str">
        <x:v>EEG-0144</x:v>
      </x:c>
      <x:c r="B112" s="309" t="str">
        <x:v>健康/人群</x:v>
      </x:c>
      <x:c r="C112" s="309" t="str">
        <x:v>Sleep_and_Insomnia</x:v>
      </x:c>
      <x:c r="D112" s="309" t="str">
        <x:v>Sleep-EDF (Expanded)</x:v>
      </x:c>
      <x:c r="E112" s="309" t="str">
        <x:v>Sleep stage classification (W/R/1/2/3/4/M)</x:v>
      </x:c>
      <x:c r="F112" s="309" t="str">
        <x:v>78 (SC subset; full Expanded=100 subj/197 recordings)</x:v>
      </x:c>
      <x:c r="G112" s="309" t="n">
        <x:v>197</x:v>
      </x:c>
      <x:c r="H112" s="309"/>
      <x:c r="I112" s="309"/>
      <x:c r="J112" s="309" t="str">
        <x:v>COMPLETED</x:v>
      </x:c>
      <x:c r="K112" s="309" t="str">
        <x:v>已下载·待信号/时长审计</x:v>
      </x:c>
      <x:c r="L112" s="309" t="str">
        <x:v>P0</x:v>
      </x:c>
      <x:c r="M112" s="309" t="n">
        <x:v>8.715274636</x:v>
      </x:c>
      <x:c r="N112" s="309" t="str">
        <x:v>无需重复下载；补做 EEG 文件识别、subjects 和 duration 审计。</x:v>
      </x:c>
      <x:c r="O112" s="309" t="str">
        <x:v>DOWNLOAD_PUBLIC</x:v>
      </x:c>
      <x:c r="P112" s="309" t="str">
        <x:v>https://physionet.org/content/sleep-edfx/1.0.0/</x:v>
      </x:c>
      <x:c r="Q112" s="309" t="str">
        <x:v>PhysioNet:sleep-edfx</x:v>
      </x:c>
      <x:c r="R112" s="310" t="str">
        <x:v>否</x:v>
      </x:c>
    </x:row>
    <x:row r="113">
      <x:c r="A113" s="226" t="str">
        <x:v>EEG-0145</x:v>
      </x:c>
      <x:c r="B113" s="259" t="str">
        <x:v>健康/人群</x:v>
      </x:c>
      <x:c r="C113" s="259" t="str">
        <x:v>Sleep_Health_and_PSG</x:v>
      </x:c>
      <x:c r="D113" s="259" t="str">
        <x:v>SOF</x:v>
      </x:c>
      <x:c r="E113" s="259" t="str">
        <x:v>sleep stages；sleep-disordered breathing；older-women cohort covariates</x:v>
      </x:c>
      <x:c r="F113" s="259" t="str">
        <x:v>453.0</x:v>
      </x:c>
      <x:c r="G113" s="259" t="n">
        <x:v>453</x:v>
      </x:c>
      <x:c r="H113" s="259"/>
      <x:c r="I113" s="259"/>
      <x:c r="J113" s="259" t="str">
        <x:v>MANUAL_APPLICATION_OR_LOGIN</x:v>
      </x:c>
      <x:c r="K113" s="259" t="str">
        <x:v>需要申请/登录</x:v>
      </x:c>
      <x:c r="L113" s="259" t="str">
        <x:v>P3</x:v>
      </x:c>
      <x:c r="M113" s="259"/>
      <x:c r="N113" s="259" t="str">
        <x:v>尚未进入已申请名单；先确认研究价值与审批成本，再决定是否提交。</x:v>
      </x:c>
      <x:c r="O113" s="259" t="str">
        <x:v>DOWNLOAD_PUBLIC</x:v>
      </x:c>
      <x:c r="P113" s="259" t="str">
        <x:v>https://sleepdata.org/datasets/sof</x:v>
      </x:c>
      <x:c r="Q113" s="259"/>
      <x:c r="R113" s="215" t="str">
        <x:v>否</x:v>
      </x:c>
    </x:row>
    <x:row r="114">
      <x:c r="A114" s="308" t="str">
        <x:v>EEG-0148</x:v>
      </x:c>
      <x:c r="B114" s="309" t="str">
        <x:v>健康/人群</x:v>
      </x:c>
      <x:c r="C114" s="309" t="str">
        <x:v>Population_Sleep_Health</x:v>
      </x:c>
      <x:c r="D114" s="309" t="str">
        <x:v>WSC</x:v>
      </x:c>
      <x:c r="E114" s="309" t="str">
        <x:v>Sleep EEG synthesis (external test); downstream age/sex/sleep-stage</x:v>
      </x:c>
      <x:c r="F114" s="309" t="str">
        <x:v>1500</x:v>
      </x:c>
      <x:c r="G114" s="309" t="n">
        <x:v>1123</x:v>
      </x:c>
      <x:c r="H114" s="309"/>
      <x:c r="I114" s="309"/>
      <x:c r="J114" s="309" t="str">
        <x:v>MANUAL_APPLICATION_OR_LOGIN</x:v>
      </x:c>
      <x:c r="K114" s="309" t="str">
        <x:v>需要申请/登录</x:v>
      </x:c>
      <x:c r="L114" s="309" t="str">
        <x:v>P3</x:v>
      </x:c>
      <x:c r="M114" s="309"/>
      <x:c r="N114" s="309" t="str">
        <x:v>尚未进入已申请名单；先确认研究价值与审批成本，再决定是否提交。</x:v>
      </x:c>
      <x:c r="O114" s="309" t="str">
        <x:v>DOWNLOAD_PUBLIC</x:v>
      </x:c>
      <x:c r="P114" s="309" t="str">
        <x:v>https://sleepdata.org/datasets/wsc</x:v>
      </x:c>
      <x:c r="Q114" s="309"/>
      <x:c r="R114" s="310" t="str">
        <x:v>否</x:v>
      </x:c>
    </x:row>
    <x:row r="115">
      <x:c r="A115" s="226" t="str">
        <x:v>EEG-0150</x:v>
      </x:c>
      <x:c r="B115" s="259" t="str">
        <x:v>疾病/临床</x:v>
      </x:c>
      <x:c r="C115" s="259" t="str">
        <x:v>重症监护与昏迷</x:v>
      </x:c>
      <x:c r="D115" s="259" t="str">
        <x:v>I-CARE</x:v>
      </x:c>
      <x:c r="E115" s="259" t="str">
        <x:v>coma prognosis after cardiac arrest; continuous ICU EEG/ECG + clinical outcomes</x:v>
      </x:c>
      <x:c r="F115" s="259" t="str">
        <x:v>1,020 patients (607 training + 107 validation + 306 test)</x:v>
      </x:c>
      <x:c r="G115" s="259" t="n">
        <x:v>1020</x:v>
      </x:c>
      <x:c r="H115" s="259"/>
      <x:c r="I115" s="259" t="n">
        <x:v>56676</x:v>
      </x:c>
      <x:c r="J115" s="259" t="str">
        <x:v>FAILED_DISCOVERY</x:v>
      </x:c>
      <x:c r="K115" s="259" t="str">
        <x:v>公开入口·需人工复核</x:v>
      </x:c>
      <x:c r="L115" s="259" t="str">
        <x:v>P2</x:v>
      </x:c>
      <x:c r="M115" s="259"/>
      <x:c r="N115" s="259" t="str">
        <x:v>自动下载未完成；人工打开官方入口，确认真实文件链接后再下载。</x:v>
      </x:c>
      <x:c r="O115" s="259" t="str">
        <x:v>DOWNLOAD_PUBLIC</x:v>
      </x:c>
      <x:c r="P115" s="259" t="str">
        <x:v>https://bdsp.io/content/bdsp-icare/2.0/</x:v>
      </x:c>
      <x:c r="Q115" s="259" t="str">
        <x:v>BDSP:I-CARE:v2.0 | PhysioNet:i-care | PMID:37693458</x:v>
      </x:c>
      <x:c r="R115" s="215" t="str">
        <x:v>否</x:v>
      </x:c>
    </x:row>
    <x:row r="116">
      <x:c r="A116" s="308" t="str">
        <x:v>EEG-0345</x:v>
      </x:c>
      <x:c r="B116" s="309" t="str">
        <x:v>健康/人群</x:v>
      </x:c>
      <x:c r="C116" s="309" t="str">
        <x:v>Developmental_Clinical_Cohort</x:v>
      </x:c>
      <x:c r="D116" s="309" t="str">
        <x:v>HBN-EEG Release 1</x:v>
      </x:c>
      <x:c r="E116" s="309" t="str">
        <x:v>Multi-task (rest, surround suppression, movie, contrast change, sequence learning, symbol search)</x:v>
      </x:c>
      <x:c r="F116" s="309" t="str">
        <x:v>136</x:v>
      </x:c>
      <x:c r="G116" s="309" t="n">
        <x:v>136</x:v>
      </x:c>
      <x:c r="H116" s="309"/>
      <x:c r="I116" s="309" t="n">
        <x:v>117.5</x:v>
      </x:c>
      <x:c r="J116" s="309" t="str">
        <x:v>COMPLETED</x:v>
      </x:c>
      <x:c r="K116" s="309" t="str">
        <x:v>已下载·待信号/时长审计</x:v>
      </x:c>
      <x:c r="L116" s="309" t="str">
        <x:v>P0</x:v>
      </x:c>
      <x:c r="M116" s="309" t="n">
        <x:v>110.710683953</x:v>
      </x:c>
      <x:c r="N116" s="309" t="str">
        <x:v>无需重复下载；补做 EEG 文件识别、subjects 和 duration 审计。</x:v>
      </x:c>
      <x:c r="O116" s="309" t="str">
        <x:v>DOWNLOAD_PUBLIC</x:v>
      </x:c>
      <x:c r="P116" s="309" t="str">
        <x:v>https://openneuro.org/datasets/ds005505</x:v>
      </x:c>
      <x:c r="Q116" s="309" t="str">
        <x:v>OpenNeuro:ds005505 | DOI:10.18112/openneuro.ds005505.v1.0.1</x:v>
      </x:c>
      <x:c r="R116" s="310" t="str">
        <x:v>否</x:v>
      </x:c>
    </x:row>
    <x:row r="117">
      <x:c r="A117" s="226" t="str">
        <x:v>EEG-0493</x:v>
      </x:c>
      <x:c r="B117" s="259" t="str">
        <x:v>疾病/临床</x:v>
      </x:c>
      <x:c r="C117" s="259" t="str">
        <x:v>Cross_Diagnostic_Clinical</x:v>
      </x:c>
      <x:c r="D117" s="259" t="str">
        <x:v>ADSZ</x:v>
      </x:c>
      <x:c r="E117" s="259" t="str">
        <x:v>AD vs healthy elderly resting-state EEG subset; eyes-open and eyes-closed</x:v>
      </x:c>
      <x:c r="F117" s="259" t="str">
        <x:v>48</x:v>
      </x:c>
      <x:c r="G117" s="259"/>
      <x:c r="H117" s="259"/>
      <x:c r="I117" s="259"/>
      <x:c r="J117" s="259" t="str">
        <x:v>COMPLETED</x:v>
      </x:c>
      <x:c r="K117" s="259" t="str">
        <x:v>已下载·待信号/时长审计</x:v>
      </x:c>
      <x:c r="L117" s="259" t="str">
        <x:v>P0</x:v>
      </x:c>
      <x:c r="M117" s="259" t="n">
        <x:v>0.018289919</x:v>
      </x:c>
      <x:c r="N117" s="259" t="str">
        <x:v>无需重复下载；补做 EEG 文件识别、subjects 和 duration 审计。</x:v>
      </x:c>
      <x:c r="O117" s="259" t="str">
        <x:v>DOWNLOAD_PUBLIC</x:v>
      </x:c>
      <x:c r="P117" s="259" t="str">
        <x:v>https://figshare.com/articles/dataset/Alzheimer_s_disease_and_Schizophrenia/19091771</x:v>
      </x:c>
      <x:c r="Q117" s="259" t="str">
        <x:v>Figshare:19091771</x:v>
      </x:c>
      <x:c r="R117" s="215" t="str">
        <x:v>否</x:v>
      </x:c>
    </x:row>
    <x:row r="118">
      <x:c r="A118" s="308" t="str">
        <x:v>EEG-0519</x:v>
      </x:c>
      <x:c r="B118" s="309" t="str">
        <x:v>健康/人群</x:v>
      </x:c>
      <x:c r="C118" s="309" t="str">
        <x:v>Lifespan_and_Normative</x:v>
      </x:c>
      <x:c r="D118" s="309" t="str">
        <x:v>Cuban Human Brain Mapping Project (CHBMP)</x:v>
      </x:c>
      <x:c r="E118" s="309" t="str">
        <x:v>Resting-state EEG normative database (healthy adults; used as reference for pathology detection and aging research)；Resting-state, ognitive assessment (MMSE, WAIS-III), reaction time task (Go/No-Go subset), MRI / DWI structural imaging (partial cohort)；Clinical activation protocol (EO/EC/hyperventilation)</x:v>
      </x:c>
      <x:c r="F118" s="309" t="str">
        <x:v>282</x:v>
      </x:c>
      <x:c r="G118" s="309"/>
      <x:c r="H118" s="309"/>
      <x:c r="I118" s="309"/>
      <x:c r="J118" s="309" t="str">
        <x:v>MANUAL_APPLICATION_OR_LOGIN</x:v>
      </x:c>
      <x:c r="K118" s="309" t="str">
        <x:v>已申请·等待访问</x:v>
      </x:c>
      <x:c r="L118" s="309" t="str">
        <x:v>P2</x:v>
      </x:c>
      <x:c r="M118" s="309"/>
      <x:c r="N118" s="309" t="str">
        <x:v>CHBMP 已申请账号；等待 LORIS 账户开通。</x:v>
      </x:c>
      <x:c r="O118" s="309" t="str">
        <x:v>DOWNLOAD_APPLICATION_REQUIRED</x:v>
      </x:c>
      <x:c r="P118" s="309" t="str">
        <x:v>https://chbmp-open.loris.ca/</x:v>
      </x:c>
      <x:c r="Q118" s="309" t="str">
        <x:v>Synapse:syn22324937 | DOI:10.1038/s41597-021-00829-7</x:v>
      </x:c>
      <x:c r="R118" s="310" t="str">
        <x:v>否</x:v>
      </x:c>
    </x:row>
    <x:row r="119">
      <x:c r="A119" s="226" t="str">
        <x:v>EEG-0520</x:v>
      </x:c>
      <x:c r="B119" s="259" t="str">
        <x:v>健康/人群</x:v>
      </x:c>
      <x:c r="C119" s="259" t="str">
        <x:v>Lifespan_and_Normative</x:v>
      </x:c>
      <x:c r="D119" s="259" t="str">
        <x:v>Infant First-year Resting EEG Dataset</x:v>
      </x:c>
      <x:c r="E119" s="259" t="str">
        <x:v>resting EEG across first year of life；developmental normative EEG</x:v>
      </x:c>
      <x:c r="F119" s="259" t="str">
        <x:v>103</x:v>
      </x:c>
      <x:c r="G119" s="259" t="n">
        <x:v>103</x:v>
      </x:c>
      <x:c r="H119" s="259" t="n">
        <x:v>22.83888888888889</x:v>
      </x:c>
      <x:c r="I119" s="259" t="n">
        <x:v>22.83888888888889</x:v>
      </x:c>
      <x:c r="J119" s="259" t="str">
        <x:v>COMPLETED</x:v>
      </x:c>
      <x:c r="K119" s="259" t="str">
        <x:v>已下载·时长已审计</x:v>
      </x:c>
      <x:c r="L119" s="259" t="str">
        <x:v>完成</x:v>
      </x:c>
      <x:c r="M119" s="259"/>
      <x:c r="N119" s="259" t="str">
        <x:v>无需下载；保持服务器校验记录。</x:v>
      </x:c>
      <x:c r="O119" s="259" t="str">
        <x:v>DOWNLOAD_PUBLIC</x:v>
      </x:c>
      <x:c r="P119" s="259" t="str">
        <x:v>https://openneuro.org/datasets/ds004577</x:v>
      </x:c>
      <x:c r="Q119" s="259" t="str">
        <x:v>OpenNeuro:ds004577</x:v>
      </x:c>
      <x:c r="R119" s="215" t="str">
        <x:v>否</x:v>
      </x:c>
    </x:row>
    <x:row r="120">
      <x:c r="A120" s="308" t="str">
        <x:v>EEG-0521</x:v>
      </x:c>
      <x:c r="B120" s="309" t="str">
        <x:v>健康/人群</x:v>
      </x:c>
      <x:c r="C120" s="309" t="str">
        <x:v>Lifespan_and_Normative</x:v>
      </x:c>
      <x:c r="D120" s="309" t="str">
        <x:v>Mind in Motion Older Adults Walking EEG</x:v>
      </x:c>
      <x:c r="E120" s="309" t="str">
        <x:v>older adults walking over uneven terrain；mixed mobile EEG task</x:v>
      </x:c>
      <x:c r="F120" s="309" t="str">
        <x:v>71</x:v>
      </x:c>
      <x:c r="G120" s="309" t="n">
        <x:v>71</x:v>
      </x:c>
      <x:c r="H120" s="309" t="n">
        <x:v>61.09685944444434</x:v>
      </x:c>
      <x:c r="I120" s="309" t="n">
        <x:v>61.09685944444434</x:v>
      </x:c>
      <x:c r="J120" s="309" t="str">
        <x:v>COMPLETED</x:v>
      </x:c>
      <x:c r="K120" s="309" t="str">
        <x:v>已下载·时长已审计</x:v>
      </x:c>
      <x:c r="L120" s="309" t="str">
        <x:v>完成</x:v>
      </x:c>
      <x:c r="M120" s="309"/>
      <x:c r="N120" s="309" t="str">
        <x:v>无需下载；保持服务器校验记录。</x:v>
      </x:c>
      <x:c r="O120" s="309" t="str">
        <x:v>DOWNLOAD_PUBLIC</x:v>
      </x:c>
      <x:c r="P120" s="309" t="str">
        <x:v>https://openneuro.org/datasets/ds006095/versions/1.0.0</x:v>
      </x:c>
      <x:c r="Q120" s="309" t="str">
        <x:v>OpenNeuro:ds006095</x:v>
      </x:c>
      <x:c r="R120" s="310" t="str">
        <x:v>否</x:v>
      </x:c>
    </x:row>
    <x:row r="121">
      <x:c r="A121" s="226" t="str">
        <x:v>EEG-0522</x:v>
      </x:c>
      <x:c r="B121" s="259" t="str">
        <x:v>健康/人群</x:v>
      </x:c>
      <x:c r="C121" s="259" t="str">
        <x:v>Lifespan_and_Normative</x:v>
      </x:c>
      <x:c r="D121" s="259" t="str">
        <x:v>MIPDB</x:v>
      </x:c>
      <x:c r="E121" s="259" t="str">
        <x:v>developmental resting/task EEG + MRI / behavior</x:v>
      </x:c>
      <x:c r="F121" s="259" t="str">
        <x:v>未给出</x:v>
      </x:c>
      <x:c r="G121" s="259" t="n">
        <x:v>118</x:v>
      </x:c>
      <x:c r="H121" s="259" t="n">
        <x:v>104.0500522222222</x:v>
      </x:c>
      <x:c r="I121" s="259" t="n">
        <x:v>104.0500522222222</x:v>
      </x:c>
      <x:c r="J121" s="259" t="str">
        <x:v>COMPLETED</x:v>
      </x:c>
      <x:c r="K121" s="259" t="str">
        <x:v>已下载·时长已审计</x:v>
      </x:c>
      <x:c r="L121" s="259" t="str">
        <x:v>完成</x:v>
      </x:c>
      <x:c r="M121" s="259"/>
      <x:c r="N121" s="259" t="str">
        <x:v>无需下载；保持服务器校验记录。</x:v>
      </x:c>
      <x:c r="O121" s="259" t="str">
        <x:v>DOWNLOAD_PUBLIC</x:v>
      </x:c>
      <x:c r="P121" s="259" t="str">
        <x:v>https://fcon_1000.projects.nitrc.org/indi/cmi_healthy_brain_network/MIPDB.html</x:v>
      </x:c>
      <x:c r="Q121" s="259"/>
      <x:c r="R121" s="215" t="str">
        <x:v>否</x:v>
      </x:c>
    </x:row>
    <x:row r="122">
      <x:c r="A122" s="308" t="str">
        <x:v>EEG-0523</x:v>
      </x:c>
      <x:c r="B122" s="309" t="str">
        <x:v>疾病/临床</x:v>
      </x:c>
      <x:c r="C122" s="309" t="str">
        <x:v>Development_and_Lifespan</x:v>
      </x:c>
      <x:c r="D122" s="309" t="str">
        <x:v>SFARI_EEG multi-paradigm dataset</x:v>
      </x:c>
      <x:c r="E122" s="309" t="str">
        <x:v>ASSR, AVSRT, Beep-Flash, FAST and other developmental EEG paradigms</x:v>
      </x:c>
      <x:c r="F122" s="309" t="str">
        <x:v>136</x:v>
      </x:c>
      <x:c r="G122" s="309" t="n">
        <x:v>136</x:v>
      </x:c>
      <x:c r="H122" s="309" t="n">
        <x:v>229.42268934461805</x:v>
      </x:c>
      <x:c r="I122" s="309" t="n">
        <x:v>229.42268934461805</x:v>
      </x:c>
      <x:c r="J122" s="309" t="str">
        <x:v>COMPLETED</x:v>
      </x:c>
      <x:c r="K122" s="309" t="str">
        <x:v>已下载·时长已审计</x:v>
      </x:c>
      <x:c r="L122" s="309" t="str">
        <x:v>完成</x:v>
      </x:c>
      <x:c r="M122" s="309"/>
      <x:c r="N122" s="309" t="str">
        <x:v>无需下载；保持服务器校验记录。</x:v>
      </x:c>
      <x:c r="O122" s="309" t="str">
        <x:v>DOWNLOAD_PUBLIC</x:v>
      </x:c>
      <x:c r="P122" s="309" t="str">
        <x:v>https://openneuro.org/datasets/ds006780/versions/1.0.0</x:v>
      </x:c>
      <x:c r="Q122" s="309" t="str">
        <x:v>OpenNeuro:ds006780</x:v>
      </x:c>
      <x:c r="R122" s="310" t="str">
        <x:v>否</x:v>
      </x:c>
    </x:row>
    <x:row r="123">
      <x:c r="A123" s="226" t="str">
        <x:v>EEG-0582</x:v>
      </x:c>
      <x:c r="B123" s="259" t="str">
        <x:v>疾病/临床</x:v>
      </x:c>
      <x:c r="C123" s="259" t="str">
        <x:v>Clinical_Abnormalities</x:v>
      </x:c>
      <x:c r="D123" s="259" t="str">
        <x:v>TUEG (TUH EEG Corpus)</x:v>
      </x:c>
      <x:c r="E123" s="259" t="str">
        <x:v>General clinical EEG corpus; large-scale pretraining; retrospective clinical EEG analysis</x:v>
      </x:c>
      <x:c r="F123" s="259" t="str">
        <x:v>14,987 patients; 26,846 recordings; 69,672 EDF files (v2.0.1 audited statistics)</x:v>
      </x:c>
      <x:c r="G123" s="259" t="n">
        <x:v>14987</x:v>
      </x:c>
      <x:c r="H123" s="259" t="n">
        <x:v>27077.3</x:v>
      </x:c>
      <x:c r="I123" s="259"/>
      <x:c r="J123" s="259" t="str">
        <x:v>COMPLETED_PARENT</x:v>
      </x:c>
      <x:c r="K123" s="259" t="str">
        <x:v>已下载·时长已审计</x:v>
      </x:c>
      <x:c r="L123" s="259" t="str">
        <x:v>完成</x:v>
      </x:c>
      <x:c r="M123" s="259"/>
      <x:c r="N123" s="259" t="str">
        <x:v>无需下载；保持服务器校验记录。</x:v>
      </x:c>
      <x:c r="O123" s="259" t="str">
        <x:v>DOWNLOAD_APPLICATION_REQUIRED</x:v>
      </x:c>
      <x:c r="P123" s="259" t="str">
        <x:v>https://isip.piconepress.com/projects/nedc/html/tuh_eeg/</x:v>
      </x:c>
      <x:c r="Q123" s="259" t="str">
        <x:v>TUH:TUEG:v2.0.2</x:v>
      </x:c>
      <x:c r="R123" s="215" t="str">
        <x:v>否</x:v>
      </x:c>
    </x:row>
    <x:row r="124">
      <x:c r="A124" s="308" t="str">
        <x:v>EEG-0583</x:v>
      </x:c>
      <x:c r="B124" s="309" t="str">
        <x:v>疾病/临床</x:v>
      </x:c>
      <x:c r="C124" s="309" t="str">
        <x:v>精神分裂症</x:v>
      </x:c>
      <x:c r="D124" s="309" t="str">
        <x:v>Albrecht2019</x:v>
      </x:c>
      <x:c r="E124" s="309" t="str">
        <x:v>精神分裂症/分裂情感障碍 vs 健康对照；modified Simon reinforcement-learning task</x:v>
      </x:c>
      <x:c r="F124" s="309" t="str">
        <x:v>78（46 patients + 32 controls）</x:v>
      </x:c>
      <x:c r="G124" s="309" t="n">
        <x:v>78</x:v>
      </x:c>
      <x:c r="H124" s="309"/>
      <x:c r="I124" s="309" t="n">
        <x:v>51</x:v>
      </x:c>
      <x:c r="J124" s="309" t="str">
        <x:v>NOT_IN_SERVER_AUDIT</x:v>
      </x:c>
      <x:c r="K124" s="309" t="str">
        <x:v>可直接下载</x:v>
      </x:c>
      <x:c r="L124" s="309" t="str">
        <x:v>P1</x:v>
      </x:c>
      <x:c r="M124" s="309"/>
      <x:c r="N124" s="309" t="str">
        <x:v>从官方入口下载；完成后写入服务器状态并运行 subjects/duration 审计。</x:v>
      </x:c>
      <x:c r="O124" s="309" t="str">
        <x:v>DOWNLOAD_PUBLIC</x:v>
      </x:c>
      <x:c r="P124" s="309" t="str">
        <x:v>https://huggingface.co/datasets/jalauer/Albrecht2019</x:v>
      </x:c>
      <x:c r="Q124" s="309" t="str">
        <x:v>HuggingFace:jalauer/Albrecht2019 | Zenodo:889204</x:v>
      </x:c>
      <x:c r="R124" s="310" t="str">
        <x:v>是</x:v>
      </x:c>
    </x:row>
    <x:row r="125">
      <x:c r="A125" s="226" t="str">
        <x:v>EEG-0584</x:v>
      </x:c>
      <x:c r="B125" s="259" t="str">
        <x:v>健康/人群</x:v>
      </x:c>
      <x:c r="C125" s="259" t="str">
        <x:v>精神健康风险表型</x:v>
      </x:c>
      <x:c r="D125" s="259" t="str">
        <x:v>Gruendler2009</x:v>
      </x:c>
      <x:c r="E125" s="259" t="str">
        <x:v>高/低强迫症状量表分组；flanker error-related negativity</x:v>
      </x:c>
      <x:c r="F125" s="259" t="str">
        <x:v>46 名本科生（按 OCI-R 高/低分组；非确诊 OCD 病例）</x:v>
      </x:c>
      <x:c r="G125" s="259" t="n">
        <x:v>46</x:v>
      </x:c>
      <x:c r="H125" s="259"/>
      <x:c r="I125" s="259" t="n">
        <x:v>22</x:v>
      </x:c>
      <x:c r="J125" s="259" t="str">
        <x:v>NOT_IN_SERVER_AUDIT</x:v>
      </x:c>
      <x:c r="K125" s="259" t="str">
        <x:v>可直接下载</x:v>
      </x:c>
      <x:c r="L125" s="259" t="str">
        <x:v>P1</x:v>
      </x:c>
      <x:c r="M125" s="259"/>
      <x:c r="N125" s="259" t="str">
        <x:v>从官方入口下载；完成后写入服务器状态并运行 subjects/duration 审计。</x:v>
      </x:c>
      <x:c r="O125" s="259" t="str">
        <x:v>DOWNLOAD_PUBLIC</x:v>
      </x:c>
      <x:c r="P125" s="259" t="str">
        <x:v>https://huggingface.co/datasets/jalauer/Gruendler2009</x:v>
      </x:c>
      <x:c r="Q125" s="259" t="str">
        <x:v>HuggingFace:jalauer/Gruendler2009</x:v>
      </x:c>
      <x:c r="R125" s="215" t="str">
        <x:v>是</x:v>
      </x:c>
    </x:row>
    <x:row r="126">
      <x:c r="A126" s="308" t="str">
        <x:v>EEG-0585</x:v>
      </x:c>
      <x:c r="B126" s="309" t="str">
        <x:v>疾病/临床</x:v>
      </x:c>
      <x:c r="C126" s="309" t="str">
        <x:v>帕金森病</x:v>
      </x:c>
      <x:c r="D126" s="309" t="str">
        <x:v>Singh2020</x:v>
      </x:c>
      <x:c r="E126" s="309" t="str">
        <x:v>PD freezing-of-gait positive/negative and healthy control lower-limb pedaling</x:v>
      </x:c>
      <x:c r="F126" s="309" t="str">
        <x:v>39（13 FOG+ PD + 13 FOG- PD + 13 controls）</x:v>
      </x:c>
      <x:c r="G126" s="309" t="n">
        <x:v>39</x:v>
      </x:c>
      <x:c r="H126" s="309"/>
      <x:c r="I126" s="309" t="n">
        <x:v>7</x:v>
      </x:c>
      <x:c r="J126" s="309" t="str">
        <x:v>NOT_IN_SERVER_AUDIT</x:v>
      </x:c>
      <x:c r="K126" s="309" t="str">
        <x:v>可直接下载</x:v>
      </x:c>
      <x:c r="L126" s="309" t="str">
        <x:v>P1</x:v>
      </x:c>
      <x:c r="M126" s="309"/>
      <x:c r="N126" s="309" t="str">
        <x:v>从官方入口下载；完成后写入服务器状态并运行 subjects/duration 审计。</x:v>
      </x:c>
      <x:c r="O126" s="309" t="str">
        <x:v>DOWNLOAD_PUBLIC</x:v>
      </x:c>
      <x:c r="P126" s="309" t="str">
        <x:v>https://huggingface.co/datasets/jalauer/Singh2020</x:v>
      </x:c>
      <x:c r="Q126" s="309" t="str">
        <x:v>HuggingFace:jalauer/Singh2020</x:v>
      </x:c>
      <x:c r="R126" s="310" t="str">
        <x:v>是</x:v>
      </x:c>
    </x:row>
    <x:row r="127">
      <x:c r="A127" s="226" t="str">
        <x:v>EEG-0586</x:v>
      </x:c>
      <x:c r="B127" s="259" t="str">
        <x:v>疾病/临床</x:v>
      </x:c>
      <x:c r="C127" s="259" t="str">
        <x:v>帕金森病</x:v>
      </x:c>
      <x:c r="D127" s="259" t="str">
        <x:v>Singh2021</x:v>
      </x:c>
      <x:c r="E127" s="259" t="str">
        <x:v>PD vs healthy control；3/7-second interval timing；ON/OFF medication subset</x:v>
      </x:c>
      <x:c r="F127" s="259" t="str">
        <x:v>120（83 PD + 37 controls）；129 recordings</x:v>
      </x:c>
      <x:c r="G127" s="259" t="n">
        <x:v>120</x:v>
      </x:c>
      <x:c r="H127" s="259"/>
      <x:c r="I127" s="259" t="n">
        <x:v>58</x:v>
      </x:c>
      <x:c r="J127" s="259" t="str">
        <x:v>NOT_IN_SERVER_AUDIT</x:v>
      </x:c>
      <x:c r="K127" s="259" t="str">
        <x:v>可直接下载</x:v>
      </x:c>
      <x:c r="L127" s="259" t="str">
        <x:v>P1</x:v>
      </x:c>
      <x:c r="M127" s="259"/>
      <x:c r="N127" s="259" t="str">
        <x:v>从官方入口下载；完成后写入服务器状态并运行 subjects/duration 审计。</x:v>
      </x:c>
      <x:c r="O127" s="259" t="str">
        <x:v>DOWNLOAD_PUBLIC</x:v>
      </x:c>
      <x:c r="P127" s="259" t="str">
        <x:v>https://huggingface.co/datasets/jalauer/Singh2021</x:v>
      </x:c>
      <x:c r="Q127" s="259" t="str">
        <x:v>HuggingFace:jalauer/Singh2021</x:v>
      </x:c>
      <x:c r="R127" s="215" t="str">
        <x:v>是</x:v>
      </x:c>
    </x:row>
    <x:row r="128">
      <x:c r="A128" s="308" t="str">
        <x:v>EEG-0587</x:v>
      </x:c>
      <x:c r="B128" s="309" t="str">
        <x:v>健康/人群</x:v>
      </x:c>
      <x:c r="C128" s="309" t="str">
        <x:v>睡眠与流行病学</x:v>
      </x:c>
      <x:c r="D128" s="309" t="str">
        <x:v>HCHS/SOL Polysomnography</x:v>
      </x:c>
      <x:c r="E128" s="309" t="str">
        <x:v>Hispanic/Latino population sleep and cardiometabolic epidemiology</x:v>
      </x:c>
      <x:c r="F128" s="309" t="str">
        <x:v>12,088 个有原始 PSG/EEG 的参与者（父队列约 16,000）</x:v>
      </x:c>
      <x:c r="G128" s="309" t="n">
        <x:v>12088</x:v>
      </x:c>
      <x:c r="H128" s="309"/>
      <x:c r="I128" s="309"/>
      <x:c r="J128" s="309" t="str">
        <x:v>NOT_IN_SERVER_AUDIT</x:v>
      </x:c>
      <x:c r="K128" s="309" t="str">
        <x:v>需要申请/登录</x:v>
      </x:c>
      <x:c r="L128" s="309" t="str">
        <x:v>P3</x:v>
      </x:c>
      <x:c r="M128" s="309"/>
      <x:c r="N128" s="309" t="str">
        <x:v>尚未进入已申请名单；先确认研究价值与审批成本，再决定是否提交。</x:v>
      </x:c>
      <x:c r="O128" s="309" t="str">
        <x:v>DOWNLOAD_APPLICATION_REQUIRED</x:v>
      </x:c>
      <x:c r="P128" s="309" t="str">
        <x:v>https://sleepdata.org/datasets/hchs</x:v>
      </x:c>
      <x:c r="Q128" s="309" t="str">
        <x:v>NSRR:hchs | DOI:10.25822/bmb1-c442</x:v>
      </x:c>
      <x:c r="R128" s="310" t="str">
        <x:v>是</x:v>
      </x:c>
    </x:row>
    <x:row r="129">
      <x:c r="A129" s="226" t="str">
        <x:v>EEG-0588</x:v>
      </x:c>
      <x:c r="B129" s="259" t="str">
        <x:v>健康/人群</x:v>
      </x:c>
      <x:c r="C129" s="259" t="str">
        <x:v>衰老与痴呆风险</x:v>
      </x:c>
      <x:c r="D129" s="259" t="str">
        <x:v>HAASSA</x:v>
      </x:c>
      <x:c r="E129" s="259" t="str">
        <x:v>老年日本裔美国男性；睡眠呼吸障碍、认知与痴呆风险</x:v>
      </x:c>
      <x:c r="F129" s="259" t="str">
        <x:v>717 个有原始 PSG/EEG 的参与者</x:v>
      </x:c>
      <x:c r="G129" s="259" t="n">
        <x:v>717</x:v>
      </x:c>
      <x:c r="H129" s="259"/>
      <x:c r="I129" s="259"/>
      <x:c r="J129" s="259" t="str">
        <x:v>NOT_IN_SERVER_AUDIT</x:v>
      </x:c>
      <x:c r="K129" s="259" t="str">
        <x:v>需要申请/登录</x:v>
      </x:c>
      <x:c r="L129" s="259" t="str">
        <x:v>P3</x:v>
      </x:c>
      <x:c r="M129" s="259"/>
      <x:c r="N129" s="259" t="str">
        <x:v>尚未进入已申请名单；先确认研究价值与审批成本，再决定是否提交。</x:v>
      </x:c>
      <x:c r="O129" s="259" t="str">
        <x:v>DOWNLOAD_APPLICATION_REQUIRED</x:v>
      </x:c>
      <x:c r="P129" s="259" t="str">
        <x:v>https://sleepdata.org/datasets/haassa</x:v>
      </x:c>
      <x:c r="Q129" s="259" t="str">
        <x:v>NSRR:haassa | DOI:10.25822/s9wh-3k51</x:v>
      </x:c>
      <x:c r="R129" s="215" t="str">
        <x:v>是</x:v>
      </x:c>
    </x:row>
    <x:row r="130">
      <x:c r="A130" s="308" t="str">
        <x:v>EEG-0589</x:v>
      </x:c>
      <x:c r="B130" s="309" t="str">
        <x:v>健康/人群</x:v>
      </x:c>
      <x:c r="C130" s="309" t="str">
        <x:v>睡眠呼吸风险</x:v>
      </x:c>
      <x:c r="D130" s="309" t="str">
        <x:v>ApoE Sleep Disordered Breathing</x:v>
      </x:c>
      <x:c r="E130" s="309" t="str">
        <x:v>ApoE genotype, lipid metabolism and untreated suspected sleep-disordered breathing</x:v>
      </x:c>
      <x:c r="F130" s="309" t="str">
        <x:v>712 个有 EDF/EEG 的参与者</x:v>
      </x:c>
      <x:c r="G130" s="309" t="n">
        <x:v>712</x:v>
      </x:c>
      <x:c r="H130" s="309"/>
      <x:c r="I130" s="309"/>
      <x:c r="J130" s="309" t="str">
        <x:v>NOT_IN_SERVER_AUDIT</x:v>
      </x:c>
      <x:c r="K130" s="309" t="str">
        <x:v>需要申请/登录</x:v>
      </x:c>
      <x:c r="L130" s="309" t="str">
        <x:v>P3</x:v>
      </x:c>
      <x:c r="M130" s="309"/>
      <x:c r="N130" s="309" t="str">
        <x:v>尚未进入已申请名单；先确认研究价值与审批成本，再决定是否提交。</x:v>
      </x:c>
      <x:c r="O130" s="309" t="str">
        <x:v>DOWNLOAD_APPLICATION_REQUIRED</x:v>
      </x:c>
      <x:c r="P130" s="309" t="str">
        <x:v>https://sleepdata.org/datasets/apoe</x:v>
      </x:c>
      <x:c r="Q130" s="309" t="str">
        <x:v>NSRR:apoe</x:v>
      </x:c>
      <x:c r="R130" s="310" t="str">
        <x:v>是</x:v>
      </x:c>
    </x:row>
    <x:row r="131">
      <x:c r="A131" s="226" t="str">
        <x:v>EEG-0590</x:v>
      </x:c>
      <x:c r="B131" s="259" t="str">
        <x:v>健康/人群</x:v>
      </x:c>
      <x:c r="C131" s="259" t="str">
        <x:v>孕产妇健康</x:v>
      </x:c>
      <x:c r="D131" s="259" t="str">
        <x:v>nuMoM2b Sleep Breathing Substudy</x:v>
      </x:c>
      <x:c r="E131" s="259" t="str">
        <x:v>nulliparous pregnancy outcomes, sleep-disordered breathing and maternal health</x:v>
      </x:c>
      <x:c r="F131" s="259" t="str">
        <x:v>3,009 个 Visit 1 raw PSG/EEG；2,332 为同队列 Visit 3 随访，不重复相加</x:v>
      </x:c>
      <x:c r="G131" s="259" t="n">
        <x:v>3009</x:v>
      </x:c>
      <x:c r="H131" s="259"/>
      <x:c r="I131" s="259"/>
      <x:c r="J131" s="259" t="str">
        <x:v>NOT_IN_SERVER_AUDIT</x:v>
      </x:c>
      <x:c r="K131" s="259" t="str">
        <x:v>需要申请/登录</x:v>
      </x:c>
      <x:c r="L131" s="259" t="str">
        <x:v>P3</x:v>
      </x:c>
      <x:c r="M131" s="259"/>
      <x:c r="N131" s="259" t="str">
        <x:v>尚未进入已申请名单；先确认研究价值与审批成本，再决定是否提交。</x:v>
      </x:c>
      <x:c r="O131" s="259" t="str">
        <x:v>DOWNLOAD_APPLICATION_REQUIRED</x:v>
      </x:c>
      <x:c r="P131" s="259" t="str">
        <x:v>https://sleepdata.org/datasets/numom2b</x:v>
      </x:c>
      <x:c r="Q131" s="259" t="str">
        <x:v>NSRR:numom2b | DOI:10.25822/37mc-6v21</x:v>
      </x:c>
      <x:c r="R131" s="215" t="str">
        <x:v>是</x:v>
      </x:c>
    </x:row>
    <x:row r="132">
      <x:c r="A132" s="308" t="str">
        <x:v>EEG-0591</x:v>
      </x:c>
      <x:c r="B132" s="309" t="str">
        <x:v>疾病/临床</x:v>
      </x:c>
      <x:c r="C132" s="309" t="str">
        <x:v>睡眠疾病/发作性睡病</x:v>
      </x:c>
      <x:c r="D132" s="309" t="str">
        <x:v>Mignot Nature Communications (MNC)</x:v>
      </x:c>
      <x:c r="E132" s="309" t="str">
        <x:v>normal and abnormal sleep staging; type-1 narcolepsy marker</x:v>
      </x:c>
      <x:c r="F132" s="309" t="str">
        <x:v>约 3,000（NSRR 列表口径；多队列正常/异常睡眠记录）</x:v>
      </x:c>
      <x:c r="G132" s="309" t="n">
        <x:v>3000</x:v>
      </x:c>
      <x:c r="H132" s="309"/>
      <x:c r="I132" s="309"/>
      <x:c r="J132" s="309" t="str">
        <x:v>NOT_IN_SERVER_AUDIT</x:v>
      </x:c>
      <x:c r="K132" s="309" t="str">
        <x:v>需要申请/登录</x:v>
      </x:c>
      <x:c r="L132" s="309" t="str">
        <x:v>P3</x:v>
      </x:c>
      <x:c r="M132" s="309"/>
      <x:c r="N132" s="309" t="str">
        <x:v>尚未进入已申请名单；先确认研究价值与审批成本，再决定是否提交。</x:v>
      </x:c>
      <x:c r="O132" s="309" t="str">
        <x:v>DOWNLOAD_APPLICATION_REQUIRED</x:v>
      </x:c>
      <x:c r="P132" s="309" t="str">
        <x:v>https://sleepdata.org/datasets/mnc</x:v>
      </x:c>
      <x:c r="Q132" s="309" t="str">
        <x:v>NSRR:mnc</x:v>
      </x:c>
      <x:c r="R132" s="310" t="str">
        <x:v>是</x:v>
      </x:c>
    </x:row>
    <x:row r="133">
      <x:c r="A133" s="226" t="str">
        <x:v>EEG-0592</x:v>
      </x:c>
      <x:c r="B133" s="259" t="str">
        <x:v>疾病/临床</x:v>
      </x:c>
      <x:c r="C133" s="259" t="str">
        <x:v>临床睡眠障碍</x:v>
      </x:c>
      <x:c r="D133" s="259" t="str">
        <x:v>Comprehensive Polysomnography (CPS)</x:v>
      </x:c>
      <x:c r="E133" s="259" t="str">
        <x:v>clinical sleep arousal, apnea/hypopnea and diagnostic decision support</x:v>
      </x:c>
      <x:c r="F133" s="259" t="str">
        <x:v>113 diagnostic PSG recordings / subjects</x:v>
      </x:c>
      <x:c r="G133" s="259" t="n">
        <x:v>113</x:v>
      </x:c>
      <x:c r="H133" s="259"/>
      <x:c r="I133" s="259"/>
      <x:c r="J133" s="259" t="str">
        <x:v>NOT_IN_SERVER_AUDIT</x:v>
      </x:c>
      <x:c r="K133" s="259" t="str">
        <x:v>需要申请/登录</x:v>
      </x:c>
      <x:c r="L133" s="259" t="str">
        <x:v>P3</x:v>
      </x:c>
      <x:c r="M133" s="259"/>
      <x:c r="N133" s="259" t="str">
        <x:v>尚未进入已申请名单；先确认研究价值与审批成本，再决定是否提交。</x:v>
      </x:c>
      <x:c r="O133" s="259" t="str">
        <x:v>DOWNLOAD_APPLICATION_REQUIRED</x:v>
      </x:c>
      <x:c r="P133" s="259" t="str">
        <x:v>https://physionet.org/content/cps-dataset-sleep/1.0.0/</x:v>
      </x:c>
      <x:c r="Q133" s="259" t="str">
        <x:v>PhysioNet:cps-dataset-sleep:v1.0.0 | DOI:10.13026/sxs0-h317</x:v>
      </x:c>
      <x:c r="R133" s="215" t="str">
        <x:v>是</x:v>
      </x:c>
    </x:row>
    <x:row r="134">
      <x:c r="A134" s="308" t="str">
        <x:v>EEG-0593</x:v>
      </x:c>
      <x:c r="B134" s="309" t="str">
        <x:v>疾病/临床</x:v>
      </x:c>
      <x:c r="C134" s="309" t="str">
        <x:v>心衰与中枢性睡眠呼吸暂停</x:v>
      </x:c>
      <x:c r="D134" s="309" t="str">
        <x:v>LOFT-HF</x:v>
      </x:c>
      <x:c r="E134" s="309" t="str">
        <x:v>heart failure with reduced ejection fraction and central sleep apnea clinical trial</x:v>
      </x:c>
      <x:c r="F134" s="309" t="str">
        <x:v>161 名有 baseline raw PSG；31 名另有 follow-up；不把随访重复相加</x:v>
      </x:c>
      <x:c r="G134" s="309" t="n">
        <x:v>161</x:v>
      </x:c>
      <x:c r="H134" s="309"/>
      <x:c r="I134" s="309"/>
      <x:c r="J134" s="309" t="str">
        <x:v>NOT_IN_SERVER_AUDIT</x:v>
      </x:c>
      <x:c r="K134" s="309" t="str">
        <x:v>需要申请/登录</x:v>
      </x:c>
      <x:c r="L134" s="309" t="str">
        <x:v>P3</x:v>
      </x:c>
      <x:c r="M134" s="309"/>
      <x:c r="N134" s="309" t="str">
        <x:v>尚未进入已申请名单；先确认研究价值与审批成本，再决定是否提交。</x:v>
      </x:c>
      <x:c r="O134" s="309" t="str">
        <x:v>DOWNLOAD_APPLICATION_REQUIRED</x:v>
      </x:c>
      <x:c r="P134" s="309" t="str">
        <x:v>https://sleepdata.org/datasets/lofthf</x:v>
      </x:c>
      <x:c r="Q134" s="309" t="str">
        <x:v>NSRR:lofthf</x:v>
      </x:c>
      <x:c r="R134" s="310" t="str">
        <x:v>是</x:v>
      </x:c>
    </x:row>
    <x:row r="135">
      <x:c r="A135" s="226" t="str">
        <x:v>EEG-0594</x:v>
      </x:c>
      <x:c r="B135" s="259" t="str">
        <x:v>健康/人群</x:v>
      </x:c>
      <x:c r="C135" s="259" t="str">
        <x:v>Developmental_Clinical_Cohort</x:v>
      </x:c>
      <x:c r="D135" s="259" t="str">
        <x:v>HBN-EEG Release 2</x:v>
      </x:c>
      <x:c r="E135" s="259" t="str">
        <x:v>Multi-task developmental EEG (rest, visual/cognitive tasks and behavioral phenotyping; release-dependent)</x:v>
      </x:c>
      <x:c r="F135" s="259" t="str">
        <x:v>150</x:v>
      </x:c>
      <x:c r="G135" s="259" t="n">
        <x:v>150</x:v>
      </x:c>
      <x:c r="H135" s="259"/>
      <x:c r="I135" s="259" t="n">
        <x:v>127.5</x:v>
      </x:c>
      <x:c r="J135" s="259" t="str">
        <x:v>NOT_IN_SERVER_AUDIT</x:v>
      </x:c>
      <x:c r="K135" s="259" t="str">
        <x:v>可直接下载</x:v>
      </x:c>
      <x:c r="L135" s="259" t="str">
        <x:v>P1</x:v>
      </x:c>
      <x:c r="M135" s="259"/>
      <x:c r="N135" s="259" t="str">
        <x:v>从官方入口下载；完成后写入服务器状态并运行 subjects/duration 审计。</x:v>
      </x:c>
      <x:c r="O135" s="259" t="str">
        <x:v>DOWNLOAD_PUBLIC</x:v>
      </x:c>
      <x:c r="P135" s="259" t="str">
        <x:v>https://openneuro.org/datasets/ds005506</x:v>
      </x:c>
      <x:c r="Q135" s="259" t="str">
        <x:v>OpenNeuro:ds005506 | DOI:10.18112/openneuro.ds005506.v1.0.1</x:v>
      </x:c>
      <x:c r="R135" s="215" t="str">
        <x:v>是</x:v>
      </x:c>
    </x:row>
    <x:row r="136">
      <x:c r="A136" s="308" t="str">
        <x:v>EEG-0595</x:v>
      </x:c>
      <x:c r="B136" s="309" t="str">
        <x:v>健康/人群</x:v>
      </x:c>
      <x:c r="C136" s="309" t="str">
        <x:v>Developmental_Clinical_Cohort</x:v>
      </x:c>
      <x:c r="D136" s="309" t="str">
        <x:v>HBN-EEG Release 3</x:v>
      </x:c>
      <x:c r="E136" s="309" t="str">
        <x:v>Multi-task developmental EEG (rest, visual/cognitive tasks and behavioral phenotyping; release-dependent)</x:v>
      </x:c>
      <x:c r="F136" s="309" t="str">
        <x:v>184</x:v>
      </x:c>
      <x:c r="G136" s="309" t="n">
        <x:v>184</x:v>
      </x:c>
      <x:c r="H136" s="309"/>
      <x:c r="I136" s="309" t="n">
        <x:v>158.8</x:v>
      </x:c>
      <x:c r="J136" s="309" t="str">
        <x:v>NOT_IN_SERVER_AUDIT</x:v>
      </x:c>
      <x:c r="K136" s="309" t="str">
        <x:v>可直接下载</x:v>
      </x:c>
      <x:c r="L136" s="309" t="str">
        <x:v>P1</x:v>
      </x:c>
      <x:c r="M136" s="309"/>
      <x:c r="N136" s="309" t="str">
        <x:v>从官方入口下载；完成后写入服务器状态并运行 subjects/duration 审计。</x:v>
      </x:c>
      <x:c r="O136" s="309" t="str">
        <x:v>DOWNLOAD_PUBLIC</x:v>
      </x:c>
      <x:c r="P136" s="309" t="str">
        <x:v>https://openneuro.org/datasets/ds005507</x:v>
      </x:c>
      <x:c r="Q136" s="309" t="str">
        <x:v>OpenNeuro:ds005507 | DOI:10.18112/openneuro.ds005507.v1.0.1</x:v>
      </x:c>
      <x:c r="R136" s="310" t="str">
        <x:v>是</x:v>
      </x:c>
    </x:row>
    <x:row r="137">
      <x:c r="A137" s="226" t="str">
        <x:v>EEG-0596</x:v>
      </x:c>
      <x:c r="B137" s="259" t="str">
        <x:v>健康/人群</x:v>
      </x:c>
      <x:c r="C137" s="259" t="str">
        <x:v>Developmental_Clinical_Cohort</x:v>
      </x:c>
      <x:c r="D137" s="259" t="str">
        <x:v>HBN-EEG Release 4</x:v>
      </x:c>
      <x:c r="E137" s="259" t="str">
        <x:v>Multi-task developmental EEG (rest, visual/cognitive tasks and behavioral phenotyping; release-dependent)</x:v>
      </x:c>
      <x:c r="F137" s="259" t="str">
        <x:v>324</x:v>
      </x:c>
      <x:c r="G137" s="259" t="n">
        <x:v>324</x:v>
      </x:c>
      <x:c r="H137" s="259"/>
      <x:c r="I137" s="259" t="n">
        <x:v>261.8</x:v>
      </x:c>
      <x:c r="J137" s="259" t="str">
        <x:v>NOT_IN_SERVER_AUDIT</x:v>
      </x:c>
      <x:c r="K137" s="259" t="str">
        <x:v>可直接下载</x:v>
      </x:c>
      <x:c r="L137" s="259" t="str">
        <x:v>P1</x:v>
      </x:c>
      <x:c r="M137" s="259"/>
      <x:c r="N137" s="259" t="str">
        <x:v>从官方入口下载；完成后写入服务器状态并运行 subjects/duration 审计。</x:v>
      </x:c>
      <x:c r="O137" s="259" t="str">
        <x:v>DOWNLOAD_PUBLIC</x:v>
      </x:c>
      <x:c r="P137" s="259" t="str">
        <x:v>https://openneuro.org/datasets/ds005508</x:v>
      </x:c>
      <x:c r="Q137" s="259" t="str">
        <x:v>OpenNeuro:ds005508 | DOI:10.18112/openneuro.ds005508.v1.0.1</x:v>
      </x:c>
      <x:c r="R137" s="215" t="str">
        <x:v>是</x:v>
      </x:c>
    </x:row>
    <x:row r="138">
      <x:c r="A138" s="308" t="str">
        <x:v>EEG-0597</x:v>
      </x:c>
      <x:c r="B138" s="309" t="str">
        <x:v>健康/人群</x:v>
      </x:c>
      <x:c r="C138" s="309" t="str">
        <x:v>Developmental_Clinical_Cohort</x:v>
      </x:c>
      <x:c r="D138" s="309" t="str">
        <x:v>HBN-EEG Release 5</x:v>
      </x:c>
      <x:c r="E138" s="309" t="str">
        <x:v>Multi-task developmental EEG (rest, visual/cognitive tasks and behavioral phenotyping; release-dependent)</x:v>
      </x:c>
      <x:c r="F138" s="309" t="str">
        <x:v>330</x:v>
      </x:c>
      <x:c r="G138" s="309" t="n">
        <x:v>330</x:v>
      </x:c>
      <x:c r="H138" s="309"/>
      <x:c r="I138" s="309" t="n">
        <x:v>255.3</x:v>
      </x:c>
      <x:c r="J138" s="309" t="str">
        <x:v>NOT_IN_SERVER_AUDIT</x:v>
      </x:c>
      <x:c r="K138" s="309" t="str">
        <x:v>可直接下载</x:v>
      </x:c>
      <x:c r="L138" s="309" t="str">
        <x:v>P1</x:v>
      </x:c>
      <x:c r="M138" s="309"/>
      <x:c r="N138" s="309" t="str">
        <x:v>从官方入口下载；完成后写入服务器状态并运行 subjects/duration 审计。</x:v>
      </x:c>
      <x:c r="O138" s="309" t="str">
        <x:v>DOWNLOAD_PUBLIC</x:v>
      </x:c>
      <x:c r="P138" s="309" t="str">
        <x:v>https://openneuro.org/datasets/ds005509</x:v>
      </x:c>
      <x:c r="Q138" s="309" t="str">
        <x:v>OpenNeuro:ds005509 | DOI:10.18112/openneuro.ds005509.v1.0.1</x:v>
      </x:c>
      <x:c r="R138" s="310" t="str">
        <x:v>是</x:v>
      </x:c>
    </x:row>
    <x:row r="139">
      <x:c r="A139" s="226" t="str">
        <x:v>EEG-0598</x:v>
      </x:c>
      <x:c r="B139" s="259" t="str">
        <x:v>健康/人群</x:v>
      </x:c>
      <x:c r="C139" s="259" t="str">
        <x:v>Developmental_Clinical_Cohort</x:v>
      </x:c>
      <x:c r="D139" s="259" t="str">
        <x:v>HBN-EEG Release 6</x:v>
      </x:c>
      <x:c r="E139" s="259" t="str">
        <x:v>Multi-task developmental EEG (rest, visual/cognitive tasks and behavioral phenotyping; release-dependent)</x:v>
      </x:c>
      <x:c r="F139" s="259" t="str">
        <x:v>135</x:v>
      </x:c>
      <x:c r="G139" s="259" t="n">
        <x:v>135</x:v>
      </x:c>
      <x:c r="H139" s="259"/>
      <x:c r="I139" s="259" t="n">
        <x:v>103.5</x:v>
      </x:c>
      <x:c r="J139" s="259" t="str">
        <x:v>NOT_IN_SERVER_AUDIT</x:v>
      </x:c>
      <x:c r="K139" s="259" t="str">
        <x:v>可直接下载</x:v>
      </x:c>
      <x:c r="L139" s="259" t="str">
        <x:v>P1</x:v>
      </x:c>
      <x:c r="M139" s="259"/>
      <x:c r="N139" s="259" t="str">
        <x:v>从官方入口下载；完成后写入服务器状态并运行 subjects/duration 审计。</x:v>
      </x:c>
      <x:c r="O139" s="259" t="str">
        <x:v>DOWNLOAD_PUBLIC</x:v>
      </x:c>
      <x:c r="P139" s="259" t="str">
        <x:v>https://openneuro.org/datasets/ds005510</x:v>
      </x:c>
      <x:c r="Q139" s="259" t="str">
        <x:v>OpenNeuro:ds005510 | DOI:10.18112/openneuro.ds005510.v1.0.1</x:v>
      </x:c>
      <x:c r="R139" s="215" t="str">
        <x:v>是</x:v>
      </x:c>
    </x:row>
    <x:row r="140">
      <x:c r="A140" s="308" t="str">
        <x:v>EEG-0599</x:v>
      </x:c>
      <x:c r="B140" s="309" t="str">
        <x:v>健康/人群</x:v>
      </x:c>
      <x:c r="C140" s="309" t="str">
        <x:v>Developmental_Clinical_Cohort</x:v>
      </x:c>
      <x:c r="D140" s="309" t="str">
        <x:v>HBN-EEG Release 7</x:v>
      </x:c>
      <x:c r="E140" s="309" t="str">
        <x:v>Multi-task developmental EEG (rest, visual/cognitive tasks and behavioral phenotyping; release-dependent)</x:v>
      </x:c>
      <x:c r="F140" s="309" t="str">
        <x:v>381</x:v>
      </x:c>
      <x:c r="G140" s="309" t="n">
        <x:v>381</x:v>
      </x:c>
      <x:c r="H140" s="309"/>
      <x:c r="I140" s="309"/>
      <x:c r="J140" s="309" t="str">
        <x:v>NOT_IN_SERVER_AUDIT</x:v>
      </x:c>
      <x:c r="K140" s="309" t="str">
        <x:v>可直接下载</x:v>
      </x:c>
      <x:c r="L140" s="309" t="str">
        <x:v>P1</x:v>
      </x:c>
      <x:c r="M140" s="309"/>
      <x:c r="N140" s="309" t="str">
        <x:v>从官方入口下载；完成后写入服务器状态并运行 subjects/duration 审计。</x:v>
      </x:c>
      <x:c r="O140" s="309" t="str">
        <x:v>DOWNLOAD_PUBLIC</x:v>
      </x:c>
      <x:c r="P140" s="309" t="str">
        <x:v>https://openneuro.org/datasets/ds005511</x:v>
      </x:c>
      <x:c r="Q140" s="309" t="str">
        <x:v>OpenNeuro:ds005511 | DOI:10.18112/openneuro.ds005511.v1.0.1</x:v>
      </x:c>
      <x:c r="R140" s="310" t="str">
        <x:v>是</x:v>
      </x:c>
    </x:row>
    <x:row r="141">
      <x:c r="A141" s="226" t="str">
        <x:v>EEG-0600</x:v>
      </x:c>
      <x:c r="B141" s="259" t="str">
        <x:v>健康/人群</x:v>
      </x:c>
      <x:c r="C141" s="259" t="str">
        <x:v>Developmental_Clinical_Cohort</x:v>
      </x:c>
      <x:c r="D141" s="259" t="str">
        <x:v>HBN-EEG Release 8</x:v>
      </x:c>
      <x:c r="E141" s="259" t="str">
        <x:v>Multi-task developmental EEG (rest, visual/cognitive tasks and behavioral phenotyping; release-dependent)</x:v>
      </x:c>
      <x:c r="F141" s="259" t="str">
        <x:v>257</x:v>
      </x:c>
      <x:c r="G141" s="259" t="n">
        <x:v>257</x:v>
      </x:c>
      <x:c r="H141" s="259"/>
      <x:c r="I141" s="259" t="n">
        <x:v>179.1</x:v>
      </x:c>
      <x:c r="J141" s="259" t="str">
        <x:v>NOT_IN_SERVER_AUDIT</x:v>
      </x:c>
      <x:c r="K141" s="259" t="str">
        <x:v>可直接下载</x:v>
      </x:c>
      <x:c r="L141" s="259" t="str">
        <x:v>P1</x:v>
      </x:c>
      <x:c r="M141" s="259"/>
      <x:c r="N141" s="259" t="str">
        <x:v>从官方入口下载；完成后写入服务器状态并运行 subjects/duration 审计。</x:v>
      </x:c>
      <x:c r="O141" s="259" t="str">
        <x:v>DOWNLOAD_PUBLIC</x:v>
      </x:c>
      <x:c r="P141" s="259" t="str">
        <x:v>https://openneuro.org/datasets/ds005512</x:v>
      </x:c>
      <x:c r="Q141" s="259" t="str">
        <x:v>OpenNeuro:ds005512 | DOI:10.18112/openneuro.ds005512.v1.0.1</x:v>
      </x:c>
      <x:c r="R141" s="215" t="str">
        <x:v>是</x:v>
      </x:c>
    </x:row>
    <x:row r="142">
      <x:c r="A142" s="308" t="str">
        <x:v>EEG-0601</x:v>
      </x:c>
      <x:c r="B142" s="309" t="str">
        <x:v>健康/人群</x:v>
      </x:c>
      <x:c r="C142" s="309" t="str">
        <x:v>Developmental_Clinical_Cohort</x:v>
      </x:c>
      <x:c r="D142" s="309" t="str">
        <x:v>HBN-EEG Release 9</x:v>
      </x:c>
      <x:c r="E142" s="309" t="str">
        <x:v>Multi-task developmental EEG (rest, visual/cognitive tasks and behavioral phenotyping; release-dependent)</x:v>
      </x:c>
      <x:c r="F142" s="309" t="str">
        <x:v>295</x:v>
      </x:c>
      <x:c r="G142" s="309" t="n">
        <x:v>295</x:v>
      </x:c>
      <x:c r="H142" s="309"/>
      <x:c r="I142" s="309" t="n">
        <x:v>210.8</x:v>
      </x:c>
      <x:c r="J142" s="309" t="str">
        <x:v>NOT_IN_SERVER_AUDIT</x:v>
      </x:c>
      <x:c r="K142" s="309" t="str">
        <x:v>可直接下载</x:v>
      </x:c>
      <x:c r="L142" s="309" t="str">
        <x:v>P1</x:v>
      </x:c>
      <x:c r="M142" s="309"/>
      <x:c r="N142" s="309" t="str">
        <x:v>从官方入口下载；完成后写入服务器状态并运行 subjects/duration 审计。</x:v>
      </x:c>
      <x:c r="O142" s="309" t="str">
        <x:v>DOWNLOAD_PUBLIC</x:v>
      </x:c>
      <x:c r="P142" s="309" t="str">
        <x:v>https://openneuro.org/datasets/ds005514</x:v>
      </x:c>
      <x:c r="Q142" s="309" t="str">
        <x:v>OpenNeuro:ds005514 | DOI:10.18112/openneuro.ds005514.v1.0.1</x:v>
      </x:c>
      <x:c r="R142" s="310" t="str">
        <x:v>是</x:v>
      </x:c>
    </x:row>
    <x:row r="143">
      <x:c r="A143" s="226" t="str">
        <x:v>EEG-0602</x:v>
      </x:c>
      <x:c r="B143" s="259" t="str">
        <x:v>疾病/临床</x:v>
      </x:c>
      <x:c r="C143" s="259" t="str">
        <x:v>Epilepsy_and_Seizure_Monitoring</x:v>
      </x:c>
      <x:c r="D143" s="259" t="str">
        <x:v>SeizeIT1</x:v>
      </x:c>
      <x:c r="E143" s="259" t="str">
        <x:v>Adult presurgical seizure detection with scalp EEG, behind-the-ear EEG and ECG</x:v>
      </x:c>
      <x:c r="F143" s="259" t="str">
        <x:v>42 benchmark subjects (82 patients recorded overall)</x:v>
      </x:c>
      <x:c r="G143" s="259" t="n">
        <x:v>42</x:v>
      </x:c>
      <x:c r="H143" s="259"/>
      <x:c r="I143" s="259" t="n">
        <x:v>5900</x:v>
      </x:c>
      <x:c r="J143" s="259" t="str">
        <x:v>NOT_IN_SERVER_AUDIT</x:v>
      </x:c>
      <x:c r="K143" s="259" t="str">
        <x:v>舍弃</x:v>
      </x:c>
      <x:c r="L143" s="259" t="str">
        <x:v>舍弃</x:v>
      </x:c>
      <x:c r="M143" s="259"/>
      <x:c r="N143" s="259" t="str">
        <x:v>舍弃下载：SeizeIT1 当前官方文件访问不可用；可用 SeizeIT2 替代。</x:v>
      </x:c>
      <x:c r="O143" s="259" t="str">
        <x:v>DOWNLOAD_UNAVAILABLE</x:v>
      </x:c>
      <x:c r="P143" s="259" t="str">
        <x:v>https://rdr.kuleuven.be/dataset.xhtml?persistentId=doi:10.48804/P5Q0OJ</x:v>
      </x:c>
      <x:c r="Q143" s="259" t="str">
        <x:v>KU Leuven RDR:P5Q0OJ | DOI:10.48804/P5Q0OJ</x:v>
      </x:c>
      <x:c r="R143" s="215" t="str">
        <x:v>是</x:v>
      </x:c>
    </x:row>
    <x:row r="144">
      <x:c r="A144" s="308" t="str">
        <x:v>EEG-0603</x:v>
      </x:c>
      <x:c r="B144" s="309" t="str">
        <x:v>疾病/临床</x:v>
      </x:c>
      <x:c r="C144" s="309" t="str">
        <x:v>Clinical_Sleep_Disorders</x:v>
      </x:c>
      <x:c r="D144" s="309" t="str">
        <x:v>DCSM Sleep Staging Dataset</x:v>
      </x:c>
      <x:c r="E144" s="309" t="str">
        <x:v>Clinical sleep staging in patients evaluated for non-specific sleep-related disorders</x:v>
      </x:c>
      <x:c r="F144" s="309" t="str">
        <x:v>255 patients / 255 overnight PSG recordings</x:v>
      </x:c>
      <x:c r="G144" s="309" t="n">
        <x:v>255</x:v>
      </x:c>
      <x:c r="H144" s="309"/>
      <x:c r="I144" s="309"/>
      <x:c r="J144" s="309" t="str">
        <x:v>NOT_IN_SERVER_AUDIT</x:v>
      </x:c>
      <x:c r="K144" s="309" t="str">
        <x:v>可直接下载</x:v>
      </x:c>
      <x:c r="L144" s="309" t="str">
        <x:v>P1</x:v>
      </x:c>
      <x:c r="M144" s="309"/>
      <x:c r="N144" s="309" t="str">
        <x:v>从官方入口下载；完成后写入服务器状态并运行 subjects/duration 审计。</x:v>
      </x:c>
      <x:c r="O144" s="309" t="str">
        <x:v>DOWNLOAD_PUBLIC</x:v>
      </x:c>
      <x:c r="P144" s="309" t="str">
        <x:v>https://erda.ku.dk/public/archives/db553715ecbe1f3ac66c1dc569826eef/published-archive.html</x:v>
      </x:c>
      <x:c r="Q144" s="309" t="str">
        <x:v>ERDA:db553715ecbe1f3ac66c1dc569826eef</x:v>
      </x:c>
      <x:c r="R144" s="310" t="str">
        <x:v>是</x:v>
      </x:c>
    </x:row>
    <x:row r="145">
      <x:c r="A145" s="226" t="str">
        <x:v>EEG-0604</x:v>
      </x:c>
      <x:c r="B145" s="259" t="str">
        <x:v>疾病/临床</x:v>
      </x:c>
      <x:c r="C145" s="259" t="str">
        <x:v>Sleep_and_Cognitive_Impairment</x:v>
      </x:c>
      <x:c r="D145" s="259" t="str">
        <x:v>George B. Moody PhysioNet Challenge 2026 (PN2026)</x:v>
      </x:c>
      <x:c r="E145" s="259" t="str">
        <x:v>Sleep staging and clinical-event annotation; future cognitive-impairment screening</x:v>
      </x:c>
      <x:c r="F145" s="259" t="str">
        <x:v>Unique subjects not stated; 6,600 public large-training PSG records</x:v>
      </x:c>
      <x:c r="G145" s="259"/>
      <x:c r="H145" s="259"/>
      <x:c r="I145" s="259"/>
      <x:c r="J145" s="259" t="str">
        <x:v>NOT_IN_SERVER_AUDIT</x:v>
      </x:c>
      <x:c r="K145" s="259" t="str">
        <x:v>可直接下载</x:v>
      </x:c>
      <x:c r="L145" s="259" t="str">
        <x:v>P1</x:v>
      </x:c>
      <x:c r="M145" s="259"/>
      <x:c r="N145" s="259" t="str">
        <x:v>从官方入口下载；完成后写入服务器状态并运行 subjects/duration 审计。</x:v>
      </x:c>
      <x:c r="O145" s="259" t="str">
        <x:v>DOWNLOAD_PUBLIC</x:v>
      </x:c>
      <x:c r="P145" s="259" t="str">
        <x:v>https://moody-challenge.physionet.org/2026/</x:v>
      </x:c>
      <x:c r="Q145" s="259" t="str">
        <x:v>HSP DOI:10.60508/qjbv-hg78 | Kaggle:physionet/physionetchallenge2026datalargeversion</x:v>
      </x:c>
      <x:c r="R145" s="215" t="str">
        <x:v>是</x:v>
      </x:c>
    </x:row>
    <x:row r="146">
      <x:c r="A146" s="308" t="str">
        <x:v>EEG-0605</x:v>
      </x:c>
      <x:c r="B146" s="309" t="str">
        <x:v>疾病/临床</x:v>
      </x:c>
      <x:c r="C146" s="309" t="str">
        <x:v>Clinical_Sleep_Disorders</x:v>
      </x:c>
      <x:c r="D146" s="309" t="str">
        <x:v>STAGES</x:v>
      </x:c>
      <x:c r="E146" s="309" t="str">
        <x:v>Clinical sleep staging, sleep-disorder phenotyping and brain-age evaluation</x:v>
      </x:c>
      <x:c r="F146" s="309" t="str">
        <x:v>1,500 adult/adolescent patients</x:v>
      </x:c>
      <x:c r="G146" s="309" t="n">
        <x:v>1500</x:v>
      </x:c>
      <x:c r="H146" s="309"/>
      <x:c r="I146" s="309"/>
      <x:c r="J146" s="309" t="str">
        <x:v>NOT_IN_SERVER_AUDIT</x:v>
      </x:c>
      <x:c r="K146" s="309" t="str">
        <x:v>需要申请/登录</x:v>
      </x:c>
      <x:c r="L146" s="309" t="str">
        <x:v>P3</x:v>
      </x:c>
      <x:c r="M146" s="309"/>
      <x:c r="N146" s="309" t="str">
        <x:v>尚未进入已申请名单；先确认研究价值与审批成本，再决定是否提交。</x:v>
      </x:c>
      <x:c r="O146" s="309" t="str">
        <x:v>DOWNLOAD_APPLICATION_REQUIRED</x:v>
      </x:c>
      <x:c r="P146" s="309" t="str">
        <x:v>https://sleepdata.org/datasets/stages</x:v>
      </x:c>
      <x:c r="Q146" s="309" t="str">
        <x:v>NSRR:stages | DOI:10.25822/me0d-xs45</x:v>
      </x:c>
      <x:c r="R146" s="310" t="str">
        <x:v>是</x:v>
      </x:c>
    </x:row>
    <x:row r="147">
      <x:c r="A147" s="227" t="str">
        <x:v>EEG-0606</x:v>
      </x:c>
      <x:c r="B147" s="270" t="str">
        <x:v>疾病/临床</x:v>
      </x:c>
      <x:c r="C147" s="270" t="str">
        <x:v>Sleep_Disordered_Breathing</x:v>
      </x:c>
      <x:c r="D147" s="270" t="str">
        <x:v>UCDDB Sleep Apnea Database</x:v>
      </x:c>
      <x:c r="E147" s="270" t="str">
        <x:v>Sleep staging and respiratory-event detection in suspected sleep-disordered breathing</x:v>
      </x:c>
      <x:c r="F147" s="270" t="str">
        <x:v>25 adults / 25 full overnight PSG recordings</x:v>
      </x:c>
      <x:c r="G147" s="270" t="n">
        <x:v>25</x:v>
      </x:c>
      <x:c r="H147" s="270"/>
      <x:c r="I147" s="270"/>
      <x:c r="J147" s="270" t="str">
        <x:v>NOT_IN_SERVER_AUDIT</x:v>
      </x:c>
      <x:c r="K147" s="270" t="str">
        <x:v>可直接下载</x:v>
      </x:c>
      <x:c r="L147" s="270" t="str">
        <x:v>P1</x:v>
      </x:c>
      <x:c r="M147" s="270"/>
      <x:c r="N147" s="270" t="str">
        <x:v>从官方入口下载；完成后写入服务器状态并运行 subjects/duration 审计。</x:v>
      </x:c>
      <x:c r="O147" s="270" t="str">
        <x:v>DOWNLOAD_PUBLIC</x:v>
      </x:c>
      <x:c r="P147" s="270" t="str">
        <x:v>https://physionet.org/content/ucddb/1.0.0/</x:v>
      </x:c>
      <x:c r="Q147" s="270" t="str">
        <x:v>PhysioNet:ucddb:v1.0.0 | DOI:10.13026/C26C7D</x:v>
      </x:c>
      <x:c r="R147" s="228" t="str">
        <x:v>是</x:v>
      </x:c>
    </x:row>
  </x:sheetData>
  <x:pageMargins left="0.7" right="0.7" top="0.75" bottom="0.75" header="0.3" footer="0.3"/>
  <x:tableParts count="1">
    <x:tablePart xmlns:r="http://schemas.openxmlformats.org/officeDocument/2006/relationships" r:id="R79eddeb9876e471d"/>
  </x:tableParts>
</x:worksheet>
</file>

<file path=xl/worksheets/sheet15.xml><?xml version="1.0" encoding="utf-8"?>
<x:worksheet xmlns:x="http://schemas.openxmlformats.org/spreadsheetml/2006/main">
  <x:sheetFormatPr defaultRowHeight="15"/>
  <x:cols>
    <x:col min="1" max="1" width="13" hidden="0" customWidth="1"/>
    <x:col min="2" max="2" width="11" hidden="0" customWidth="1"/>
    <x:col min="3" max="3" width="27" hidden="0" customWidth="1"/>
    <x:col min="4" max="4" width="17" hidden="0" customWidth="1"/>
    <x:col min="5" max="5" width="30" hidden="0" customWidth="1"/>
    <x:col min="6" max="6" width="38" hidden="0" customWidth="1"/>
    <x:col min="7" max="7" width="25" hidden="0" customWidth="1"/>
    <x:col min="8" max="8" width="17" hidden="0" customWidth="1"/>
    <x:col min="9" max="9" width="18" hidden="0" customWidth="1"/>
    <x:col min="10" max="10" width="18" hidden="0" customWidth="1"/>
    <x:col min="11" max="11" width="20" hidden="0" customWidth="1"/>
    <x:col min="12" max="12" width="16" hidden="0" customWidth="1"/>
    <x:col min="13" max="13" width="22" hidden="0" customWidth="1"/>
    <x:col min="14" max="14" width="48" hidden="0" customWidth="1"/>
    <x:col min="15" max="15" width="48" hidden="0" customWidth="1"/>
    <x:col min="16" max="16" width="52" hidden="0" customWidth="1"/>
    <x:col min="17" max="17" width="66" hidden="0" customWidth="1"/>
  </x:cols>
  <x:sheetData>
    <x:row r="1" ht="32" customHeight="1">
      <x:c r="A1" s="322" t="str">
        <x:v>ID</x:v>
      </x:c>
      <x:c r="B1" s="323" t="str">
        <x:v>优先级</x:v>
      </x:c>
      <x:c r="C1" s="323" t="str">
        <x:v>下载决策</x:v>
      </x:c>
      <x:c r="D1" s="323" t="str">
        <x:v>队列属性</x:v>
      </x:c>
      <x:c r="E1" s="323" t="str">
        <x:v>二级分类</x:v>
      </x:c>
      <x:c r="F1" s="323" t="str">
        <x:v>数据集</x:v>
      </x:c>
      <x:c r="G1" s="323" t="str">
        <x:v>服务器状态</x:v>
      </x:c>
      <x:c r="H1" s="323" t="str">
        <x:v>已取得独立raw</x:v>
      </x:c>
      <x:c r="I1" s="323" t="str">
        <x:v>精确时长已审计</x:v>
      </x:c>
      <x:c r="J1" s="323" t="str">
        <x:v>已审计时长(h)</x:v>
      </x:c>
      <x:c r="K1" s="323" t="str">
        <x:v>文献/最佳时长(h)</x:v>
      </x:c>
      <x:c r="L1" s="323" t="str">
        <x:v>实体大小(GB)</x:v>
      </x:c>
      <x:c r="M1" s="323" t="str">
        <x:v>访问方式</x:v>
      </x:c>
      <x:c r="N1" s="323" t="str">
        <x:v>下载方法</x:v>
      </x:c>
      <x:c r="O1" s="323" t="str">
        <x:v>官方入口</x:v>
      </x:c>
      <x:c r="P1" s="323" t="str">
        <x:v>建议路径</x:v>
      </x:c>
      <x:c r="Q1" s="324" t="str">
        <x:v>决策理由/下一步</x:v>
      </x:c>
    </x:row>
    <x:row r="2">
      <x:c r="A2" s="330" t="str">
        <x:v>EEG-0345</x:v>
      </x:c>
      <x:c r="B2" s="331" t="str">
        <x:v>P0</x:v>
      </x:c>
      <x:c r="C2" s="331" t="str">
        <x:v>已下载·待信号/时长审计</x:v>
      </x:c>
      <x:c r="D2" s="331" t="str">
        <x:v>健康/人群</x:v>
      </x:c>
      <x:c r="E2" s="331" t="str">
        <x:v>Developmental_Clinical_Cohort</x:v>
      </x:c>
      <x:c r="F2" s="331" t="str">
        <x:v>HBN-EEG Release 1</x:v>
      </x:c>
      <x:c r="G2" s="331" t="str">
        <x:v>COMPLETED</x:v>
      </x:c>
      <x:c r="H2" s="331" t="str">
        <x:v>是</x:v>
      </x:c>
      <x:c r="I2" s="331" t="str">
        <x:v>否</x:v>
      </x:c>
      <x:c r="J2" s="348"/>
      <x:c r="K2" s="348" t="n">
        <x:v>117.5</x:v>
      </x:c>
      <x:c r="L2" s="348" t="n">
        <x:v>110.710683953</x:v>
      </x:c>
      <x:c r="M2" s="331" t="str">
        <x:v>公开/登录后下载</x:v>
      </x:c>
      <x:c r="N2" s="331" t="str">
        <x:v>OpenNeuro 官方页面或 BIDS/OpenNeuro 下载工具</x:v>
      </x:c>
      <x:c r="O2" s="331" t="str">
        <x:v>https://openneuro.org/datasets/ds005505</x:v>
      </x:c>
      <x:c r="P2" s="331" t="str">
        <x:v>08_Health_and_Population/Developmental_Clinical_Cohort/HBN_EEG_R1_ds005505</x:v>
      </x:c>
      <x:c r="Q2" s="332" t="str">
        <x:v>无需重复下载；补做 EEG 文件识别、subjects 和 duration 审计。</x:v>
      </x:c>
    </x:row>
    <x:row r="3">
      <x:c r="A3" s="333" t="str">
        <x:v>EEG-0113</x:v>
      </x:c>
      <x:c r="B3" s="334" t="str">
        <x:v>P0</x:v>
      </x:c>
      <x:c r="C3" s="334" t="str">
        <x:v>已下载·待信号/时长审计</x:v>
      </x:c>
      <x:c r="D3" s="334" t="str">
        <x:v>健康/人群</x:v>
      </x:c>
      <x:c r="E3" s="334" t="str">
        <x:v>Sleep_Health_and_PSG</x:v>
      </x:c>
      <x:c r="F3" s="334" t="str">
        <x:v>BOAS</x:v>
      </x:c>
      <x:c r="G3" s="334" t="str">
        <x:v>COMPLETED</x:v>
      </x:c>
      <x:c r="H3" s="334" t="str">
        <x:v>是</x:v>
      </x:c>
      <x:c r="I3" s="334" t="str">
        <x:v>否</x:v>
      </x:c>
      <x:c r="J3" s="349"/>
      <x:c r="K3" s="349"/>
      <x:c r="L3" s="349" t="n">
        <x:v>35.922487667</x:v>
      </x:c>
      <x:c r="M3" s="334" t="str">
        <x:v>公开/登录后下载</x:v>
      </x:c>
      <x:c r="N3" s="334" t="str">
        <x:v>OpenNeuro 官方页面或 BIDS/OpenNeuro 下载工具</x:v>
      </x:c>
      <x:c r="O3" s="334" t="str">
        <x:v>https://openneuro.org/datasets/ds005555</x:v>
      </x:c>
      <x:c r="P3" s="334" t="str">
        <x:v>03_Consciousness_and_State/Sleep_Staging/BOAS</x:v>
      </x:c>
      <x:c r="Q3" s="335" t="str">
        <x:v>无需重复下载；补做 EEG 文件识别、subjects 和 duration 审计。</x:v>
      </x:c>
    </x:row>
    <x:row r="4">
      <x:c r="A4" s="333" t="str">
        <x:v>EEG-0114</x:v>
      </x:c>
      <x:c r="B4" s="334" t="str">
        <x:v>P0</x:v>
      </x:c>
      <x:c r="C4" s="334" t="str">
        <x:v>已下载·待信号/时长审计</x:v>
      </x:c>
      <x:c r="D4" s="334" t="str">
        <x:v>疾病/临床</x:v>
      </x:c>
      <x:c r="E4" s="334" t="str">
        <x:v>Clinical_Sleep_and_PSG</x:v>
      </x:c>
      <x:c r="F4" s="334" t="str">
        <x:v>CAP Sleep Database</x:v>
      </x:c>
      <x:c r="G4" s="334" t="str">
        <x:v>COMPLETED</x:v>
      </x:c>
      <x:c r="H4" s="334" t="str">
        <x:v>是</x:v>
      </x:c>
      <x:c r="I4" s="334" t="str">
        <x:v>否</x:v>
      </x:c>
      <x:c r="J4" s="349"/>
      <x:c r="K4" s="349"/>
      <x:c r="L4" s="349" t="n">
        <x:v>43.071893776</x:v>
      </x:c>
      <x:c r="M4" s="334" t="str">
        <x:v>公开/登录后下载</x:v>
      </x:c>
      <x:c r="N4" s="334" t="str">
        <x:v>PhysioNet：wget -r -N -c -np https://physionet.org/content/capslpdb/1.0.0/</x:v>
      </x:c>
      <x:c r="O4" s="334" t="str">
        <x:v>https://physionet.org/content/capslpdb/1.0.0/</x:v>
      </x:c>
      <x:c r="P4" s="334" t="str">
        <x:v>03_Consciousness_and_State/Sleep_Staging/CAP_Sleep_Database</x:v>
      </x:c>
      <x:c r="Q4" s="335" t="str">
        <x:v>无需重复下载；补做 EEG 文件识别、subjects 和 duration 审计。</x:v>
      </x:c>
    </x:row>
    <x:row r="5">
      <x:c r="A5" s="333" t="str">
        <x:v>EEG-0121</x:v>
      </x:c>
      <x:c r="B5" s="334" t="str">
        <x:v>P0</x:v>
      </x:c>
      <x:c r="C5" s="334" t="str">
        <x:v>已下载·待信号/时长审计</x:v>
      </x:c>
      <x:c r="D5" s="334" t="str">
        <x:v>健康/人群</x:v>
      </x:c>
      <x:c r="E5" s="334" t="str">
        <x:v>Sleep_Health_and_PSG</x:v>
      </x:c>
      <x:c r="F5" s="334" t="str">
        <x:v>DREAMS-SUB (DREAMS Subjects Database)</x:v>
      </x:c>
      <x:c r="G5" s="334" t="str">
        <x:v>COMPLETED</x:v>
      </x:c>
      <x:c r="H5" s="334" t="str">
        <x:v>是</x:v>
      </x:c>
      <x:c r="I5" s="334" t="str">
        <x:v>否</x:v>
      </x:c>
      <x:c r="J5" s="349"/>
      <x:c r="K5" s="349"/>
      <x:c r="L5" s="349" t="n">
        <x:v>4.259327851</x:v>
      </x:c>
      <x:c r="M5" s="334" t="str">
        <x:v>公开/登录后下载</x:v>
      </x:c>
      <x:c r="N5" s="334" t="str">
        <x:v>缺少有效入口；先补入口</x:v>
      </x:c>
      <x:c r="O5" s="334" t="str"/>
      <x:c r="P5" s="334" t="str">
        <x:v>03_Consciousness_and_State/Sleep_Staging/DREAMS-SUB_DREAMS_Subjects_Database</x:v>
      </x:c>
      <x:c r="Q5" s="335" t="str">
        <x:v>无需重复下载；补做 EEG 文件识别、subjects 和 duration 审计。</x:v>
      </x:c>
    </x:row>
    <x:row r="6">
      <x:c r="A6" s="333" t="str">
        <x:v>EEG-0123</x:v>
      </x:c>
      <x:c r="B6" s="334" t="str">
        <x:v>P0</x:v>
      </x:c>
      <x:c r="C6" s="334" t="str">
        <x:v>已下载·待信号/时长审计</x:v>
      </x:c>
      <x:c r="D6" s="334" t="str">
        <x:v>健康/人群</x:v>
      </x:c>
      <x:c r="E6" s="334" t="str">
        <x:v>Sleep_Health_and_PSG</x:v>
      </x:c>
      <x:c r="F6" s="334" t="str">
        <x:v>Ear-EEG Sleep Monitoring 2017</x:v>
      </x:c>
      <x:c r="G6" s="334" t="str">
        <x:v>COMPLETED</x:v>
      </x:c>
      <x:c r="H6" s="334" t="str">
        <x:v>是</x:v>
      </x:c>
      <x:c r="I6" s="334" t="str">
        <x:v>否</x:v>
      </x:c>
      <x:c r="J6" s="349"/>
      <x:c r="K6" s="349"/>
      <x:c r="L6" s="349" t="n">
        <x:v>13.210689017</x:v>
      </x:c>
      <x:c r="M6" s="334" t="str">
        <x:v>公开/登录后下载</x:v>
      </x:c>
      <x:c r="N6" s="334" t="str">
        <x:v>OpenNeuro 官方页面或 BIDS/OpenNeuro 下载工具</x:v>
      </x:c>
      <x:c r="O6" s="334" t="str">
        <x:v>https://openneuro.org/datasets/ds004348/versions/1.0.5</x:v>
      </x:c>
      <x:c r="P6" s="334" t="str">
        <x:v>03_Consciousness_and_State/Sleep_Staging/Ear-EEG_Sleep_Monitoring_2017</x:v>
      </x:c>
      <x:c r="Q6" s="335" t="str">
        <x:v>无需重复下载；补做 EEG 文件识别、subjects 和 duration 审计。</x:v>
      </x:c>
    </x:row>
    <x:row r="7">
      <x:c r="A7" s="333" t="str">
        <x:v>EEG-0124</x:v>
      </x:c>
      <x:c r="B7" s="334" t="str">
        <x:v>P0</x:v>
      </x:c>
      <x:c r="C7" s="334" t="str">
        <x:v>已下载·待信号/时长审计</x:v>
      </x:c>
      <x:c r="D7" s="334" t="str">
        <x:v>健康/人群</x:v>
      </x:c>
      <x:c r="E7" s="334" t="str">
        <x:v>Sleep_Health_and_PSG</x:v>
      </x:c>
      <x:c r="F7" s="334" t="str">
        <x:v>EESM23 (Ear-EEG Sleep Monitoring)</x:v>
      </x:c>
      <x:c r="G7" s="334" t="str">
        <x:v>COMPLETED</x:v>
      </x:c>
      <x:c r="H7" s="334" t="str">
        <x:v>是</x:v>
      </x:c>
      <x:c r="I7" s="334" t="str">
        <x:v>否</x:v>
      </x:c>
      <x:c r="J7" s="349"/>
      <x:c r="K7" s="349"/>
      <x:c r="L7" s="349" t="n">
        <x:v>95.116020667</x:v>
      </x:c>
      <x:c r="M7" s="334" t="str">
        <x:v>公开/登录后下载</x:v>
      </x:c>
      <x:c r="N7" s="334" t="str">
        <x:v>OpenNeuro 官方页面或 BIDS/OpenNeuro 下载工具</x:v>
      </x:c>
      <x:c r="O7" s="334" t="str">
        <x:v>https://openneuro.org/datasets/ds005178/versions/1.0.0</x:v>
      </x:c>
      <x:c r="P7" s="334" t="str">
        <x:v>03_Consciousness_and_State/Sleep_Staging/EESM23_Ear-EEG_Sleep_Monitoring</x:v>
      </x:c>
      <x:c r="Q7" s="335" t="str">
        <x:v>无需重复下载；补做 EEG 文件识别、subjects 和 duration 审计。</x:v>
      </x:c>
    </x:row>
    <x:row r="8">
      <x:c r="A8" s="333" t="str">
        <x:v>EEG-0138</x:v>
      </x:c>
      <x:c r="B8" s="334" t="str">
        <x:v>P0</x:v>
      </x:c>
      <x:c r="C8" s="334" t="str">
        <x:v>已下载·待信号/时长审计</x:v>
      </x:c>
      <x:c r="D8" s="334" t="str">
        <x:v>健康/人群</x:v>
      </x:c>
      <x:c r="E8" s="334" t="str">
        <x:v>Sleep_Health_and_PSG</x:v>
      </x:c>
      <x:c r="F8" s="334" t="str">
        <x:v>OpenNeuro ds003768 simultaneous EEG-fMRI sleep</x:v>
      </x:c>
      <x:c r="G8" s="334" t="str">
        <x:v>COMPLETED</x:v>
      </x:c>
      <x:c r="H8" s="334" t="str">
        <x:v>是</x:v>
      </x:c>
      <x:c r="I8" s="334" t="str">
        <x:v>否</x:v>
      </x:c>
      <x:c r="J8" s="349"/>
      <x:c r="K8" s="349"/>
      <x:c r="L8" s="349" t="n">
        <x:v>312.924643894</x:v>
      </x:c>
      <x:c r="M8" s="334" t="str">
        <x:v>公开/登录后下载</x:v>
      </x:c>
      <x:c r="N8" s="334" t="str">
        <x:v>OpenNeuro 官方页面或 BIDS/OpenNeuro 下载工具</x:v>
      </x:c>
      <x:c r="O8" s="334" t="str">
        <x:v>https://openneuro.org/datasets/ds003768</x:v>
      </x:c>
      <x:c r="P8" s="334" t="str">
        <x:v>03_Consciousness_and_State/Sleep_Staging/OpenNeuro_ds003768_simultaneous_EEG-fMRI_sleep</x:v>
      </x:c>
      <x:c r="Q8" s="335" t="str">
        <x:v>无需重复下载；补做 EEG 文件识别、subjects 和 duration 审计。</x:v>
      </x:c>
    </x:row>
    <x:row r="9">
      <x:c r="A9" s="333" t="str">
        <x:v>EEG-0143</x:v>
      </x:c>
      <x:c r="B9" s="334" t="str">
        <x:v>P0</x:v>
      </x:c>
      <x:c r="C9" s="334" t="str">
        <x:v>已下载·待信号/时长审计</x:v>
      </x:c>
      <x:c r="D9" s="334" t="str">
        <x:v>健康/人群</x:v>
      </x:c>
      <x:c r="E9" s="334" t="str">
        <x:v>Sleep_Health_and_PSG</x:v>
      </x:c>
      <x:c r="F9" s="334" t="str">
        <x:v>Sleep-Deprivation (resting)</x:v>
      </x:c>
      <x:c r="G9" s="334" t="str">
        <x:v>COMPLETED</x:v>
      </x:c>
      <x:c r="H9" s="334" t="str">
        <x:v>是</x:v>
      </x:c>
      <x:c r="I9" s="334" t="str">
        <x:v>否</x:v>
      </x:c>
      <x:c r="J9" s="349"/>
      <x:c r="K9" s="349"/>
      <x:c r="L9" s="349" t="n">
        <x:v>8.900349601</x:v>
      </x:c>
      <x:c r="M9" s="334" t="str">
        <x:v>公开/登录后下载</x:v>
      </x:c>
      <x:c r="N9" s="334" t="str">
        <x:v>OpenNeuro 官方页面或 BIDS/OpenNeuro 下载工具</x:v>
      </x:c>
      <x:c r="O9" s="334" t="str">
        <x:v>https://openneuro.org/datasets/ds004902</x:v>
      </x:c>
      <x:c r="P9" s="334" t="str">
        <x:v>03_Consciousness_and_State/Sleep_Staging/Sleep-Deprivation_resting</x:v>
      </x:c>
      <x:c r="Q9" s="335" t="str">
        <x:v>无需重复下载；补做 EEG 文件识别、subjects 和 duration 审计。</x:v>
      </x:c>
    </x:row>
    <x:row r="10">
      <x:c r="A10" s="333" t="str">
        <x:v>EEG-0144</x:v>
      </x:c>
      <x:c r="B10" s="334" t="str">
        <x:v>P0</x:v>
      </x:c>
      <x:c r="C10" s="334" t="str">
        <x:v>已下载·待信号/时长审计</x:v>
      </x:c>
      <x:c r="D10" s="334" t="str">
        <x:v>健康/人群</x:v>
      </x:c>
      <x:c r="E10" s="334" t="str">
        <x:v>Sleep_and_Insomnia</x:v>
      </x:c>
      <x:c r="F10" s="334" t="str">
        <x:v>Sleep-EDF (Expanded)</x:v>
      </x:c>
      <x:c r="G10" s="334" t="str">
        <x:v>COMPLETED</x:v>
      </x:c>
      <x:c r="H10" s="334" t="str">
        <x:v>是</x:v>
      </x:c>
      <x:c r="I10" s="334" t="str">
        <x:v>否</x:v>
      </x:c>
      <x:c r="J10" s="349"/>
      <x:c r="K10" s="349"/>
      <x:c r="L10" s="349" t="n">
        <x:v>8.715274636</x:v>
      </x:c>
      <x:c r="M10" s="334" t="str">
        <x:v>公开/登录后下载</x:v>
      </x:c>
      <x:c r="N10" s="334" t="str">
        <x:v>PhysioNet：wget -r -N -c -np https://physionet.org/content/sleep-edfx/1.0.0/</x:v>
      </x:c>
      <x:c r="O10" s="334" t="str">
        <x:v>https://physionet.org/content/sleep-edfx/1.0.0/</x:v>
      </x:c>
      <x:c r="P10" s="334" t="str">
        <x:v>03_Consciousness_and_State/Sleep_Staging/Sleep-EDF_Expanded</x:v>
      </x:c>
      <x:c r="Q10" s="335" t="str">
        <x:v>无需重复下载；补做 EEG 文件识别、subjects 和 duration 审计。</x:v>
      </x:c>
    </x:row>
    <x:row r="11">
      <x:c r="A11" s="333" t="str">
        <x:v>EEG-0493</x:v>
      </x:c>
      <x:c r="B11" s="334" t="str">
        <x:v>P0</x:v>
      </x:c>
      <x:c r="C11" s="334" t="str">
        <x:v>已下载·待信号/时长审计</x:v>
      </x:c>
      <x:c r="D11" s="334" t="str">
        <x:v>疾病/临床</x:v>
      </x:c>
      <x:c r="E11" s="334" t="str">
        <x:v>Cross_Diagnostic_Clinical</x:v>
      </x:c>
      <x:c r="F11" s="334" t="str">
        <x:v>ADSZ</x:v>
      </x:c>
      <x:c r="G11" s="334" t="str">
        <x:v>COMPLETED</x:v>
      </x:c>
      <x:c r="H11" s="334" t="str">
        <x:v>是</x:v>
      </x:c>
      <x:c r="I11" s="334" t="str">
        <x:v>否</x:v>
      </x:c>
      <x:c r="J11" s="349"/>
      <x:c r="K11" s="349"/>
      <x:c r="L11" s="349" t="n">
        <x:v>0.018289919</x:v>
      </x:c>
      <x:c r="M11" s="334" t="str">
        <x:v>公开/登录后下载</x:v>
      </x:c>
      <x:c r="N11" s="334" t="str">
        <x:v>Figshare 官方文件下载/API</x:v>
      </x:c>
      <x:c r="O11" s="334" t="str">
        <x:v>https://figshare.com/articles/dataset/Alzheimer_s_disease_and_Schizophrenia/19091771</x:v>
      </x:c>
      <x:c r="P11" s="334" t="str">
        <x:v>03_Consciousness_and_State/Resting_State/ADSZ</x:v>
      </x:c>
      <x:c r="Q11" s="335" t="str">
        <x:v>无需重复下载；补做 EEG 文件识别、subjects 和 duration 审计。</x:v>
      </x:c>
    </x:row>
    <x:row r="12">
      <x:c r="A12" s="336" t="str">
        <x:v>EEG-0596</x:v>
      </x:c>
      <x:c r="B12" s="337" t="str">
        <x:v>P1</x:v>
      </x:c>
      <x:c r="C12" s="337" t="str">
        <x:v>可直接下载</x:v>
      </x:c>
      <x:c r="D12" s="337" t="str">
        <x:v>健康/人群</x:v>
      </x:c>
      <x:c r="E12" s="337" t="str">
        <x:v>Developmental_Clinical_Cohort</x:v>
      </x:c>
      <x:c r="F12" s="337" t="str">
        <x:v>HBN-EEG Release 4</x:v>
      </x:c>
      <x:c r="G12" s="337" t="str">
        <x:v>NOT_IN_SERVER_AUDIT</x:v>
      </x:c>
      <x:c r="H12" s="337" t="str">
        <x:v>否</x:v>
      </x:c>
      <x:c r="I12" s="337" t="str">
        <x:v>否</x:v>
      </x:c>
      <x:c r="J12" s="350"/>
      <x:c r="K12" s="350" t="n">
        <x:v>261.8</x:v>
      </x:c>
      <x:c r="L12" s="350"/>
      <x:c r="M12" s="337" t="str">
        <x:v>公开/登录后下载</x:v>
      </x:c>
      <x:c r="N12" s="337" t="str">
        <x:v>OpenNeuro 官方页面或 BIDS/OpenNeuro 下载工具</x:v>
      </x:c>
      <x:c r="O12" s="337" t="str">
        <x:v>https://openneuro.org/datasets/ds005508</x:v>
      </x:c>
      <x:c r="P12" s="337" t="str">
        <x:v>08_Health_and_Population/Developmental_Clinical_Cohort/HBN_EEG_R4_ds005508</x:v>
      </x:c>
      <x:c r="Q12" s="338" t="str">
        <x:v>从官方入口下载；完成后写入服务器状态并运行 subjects/duration 审计。</x:v>
      </x:c>
    </x:row>
    <x:row r="13">
      <x:c r="A13" s="336" t="str">
        <x:v>EEG-0597</x:v>
      </x:c>
      <x:c r="B13" s="337" t="str">
        <x:v>P1</x:v>
      </x:c>
      <x:c r="C13" s="337" t="str">
        <x:v>可直接下载</x:v>
      </x:c>
      <x:c r="D13" s="337" t="str">
        <x:v>健康/人群</x:v>
      </x:c>
      <x:c r="E13" s="337" t="str">
        <x:v>Developmental_Clinical_Cohort</x:v>
      </x:c>
      <x:c r="F13" s="337" t="str">
        <x:v>HBN-EEG Release 5</x:v>
      </x:c>
      <x:c r="G13" s="337" t="str">
        <x:v>NOT_IN_SERVER_AUDIT</x:v>
      </x:c>
      <x:c r="H13" s="337" t="str">
        <x:v>否</x:v>
      </x:c>
      <x:c r="I13" s="337" t="str">
        <x:v>否</x:v>
      </x:c>
      <x:c r="J13" s="350"/>
      <x:c r="K13" s="350" t="n">
        <x:v>255.3</x:v>
      </x:c>
      <x:c r="L13" s="350"/>
      <x:c r="M13" s="337" t="str">
        <x:v>公开/登录后下载</x:v>
      </x:c>
      <x:c r="N13" s="337" t="str">
        <x:v>OpenNeuro 官方页面或 BIDS/OpenNeuro 下载工具</x:v>
      </x:c>
      <x:c r="O13" s="337" t="str">
        <x:v>https://openneuro.org/datasets/ds005509</x:v>
      </x:c>
      <x:c r="P13" s="337" t="str">
        <x:v>08_Health_and_Population/Developmental_Clinical_Cohort/HBN_EEG_R5_ds005509</x:v>
      </x:c>
      <x:c r="Q13" s="338" t="str">
        <x:v>从官方入口下载；完成后写入服务器状态并运行 subjects/duration 审计。</x:v>
      </x:c>
    </x:row>
    <x:row r="14">
      <x:c r="A14" s="336" t="str">
        <x:v>EEG-0601</x:v>
      </x:c>
      <x:c r="B14" s="337" t="str">
        <x:v>P1</x:v>
      </x:c>
      <x:c r="C14" s="337" t="str">
        <x:v>可直接下载</x:v>
      </x:c>
      <x:c r="D14" s="337" t="str">
        <x:v>健康/人群</x:v>
      </x:c>
      <x:c r="E14" s="337" t="str">
        <x:v>Developmental_Clinical_Cohort</x:v>
      </x:c>
      <x:c r="F14" s="337" t="str">
        <x:v>HBN-EEG Release 9</x:v>
      </x:c>
      <x:c r="G14" s="337" t="str">
        <x:v>NOT_IN_SERVER_AUDIT</x:v>
      </x:c>
      <x:c r="H14" s="337" t="str">
        <x:v>否</x:v>
      </x:c>
      <x:c r="I14" s="337" t="str">
        <x:v>否</x:v>
      </x:c>
      <x:c r="J14" s="350"/>
      <x:c r="K14" s="350" t="n">
        <x:v>210.8</x:v>
      </x:c>
      <x:c r="L14" s="350"/>
      <x:c r="M14" s="337" t="str">
        <x:v>公开/登录后下载</x:v>
      </x:c>
      <x:c r="N14" s="337" t="str">
        <x:v>OpenNeuro 官方页面或 BIDS/OpenNeuro 下载工具</x:v>
      </x:c>
      <x:c r="O14" s="337" t="str">
        <x:v>https://openneuro.org/datasets/ds005514</x:v>
      </x:c>
      <x:c r="P14" s="337" t="str">
        <x:v>08_Health_and_Population/Developmental_Clinical_Cohort/HBN_EEG_R9_ds005514</x:v>
      </x:c>
      <x:c r="Q14" s="338" t="str">
        <x:v>从官方入口下载；完成后写入服务器状态并运行 subjects/duration 审计。</x:v>
      </x:c>
    </x:row>
    <x:row r="15">
      <x:c r="A15" s="336" t="str">
        <x:v>EEG-0600</x:v>
      </x:c>
      <x:c r="B15" s="337" t="str">
        <x:v>P1</x:v>
      </x:c>
      <x:c r="C15" s="337" t="str">
        <x:v>可直接下载</x:v>
      </x:c>
      <x:c r="D15" s="337" t="str">
        <x:v>健康/人群</x:v>
      </x:c>
      <x:c r="E15" s="337" t="str">
        <x:v>Developmental_Clinical_Cohort</x:v>
      </x:c>
      <x:c r="F15" s="337" t="str">
        <x:v>HBN-EEG Release 8</x:v>
      </x:c>
      <x:c r="G15" s="337" t="str">
        <x:v>NOT_IN_SERVER_AUDIT</x:v>
      </x:c>
      <x:c r="H15" s="337" t="str">
        <x:v>否</x:v>
      </x:c>
      <x:c r="I15" s="337" t="str">
        <x:v>否</x:v>
      </x:c>
      <x:c r="J15" s="350"/>
      <x:c r="K15" s="350" t="n">
        <x:v>179.1</x:v>
      </x:c>
      <x:c r="L15" s="350"/>
      <x:c r="M15" s="337" t="str">
        <x:v>公开/登录后下载</x:v>
      </x:c>
      <x:c r="N15" s="337" t="str">
        <x:v>OpenNeuro 官方页面或 BIDS/OpenNeuro 下载工具</x:v>
      </x:c>
      <x:c r="O15" s="337" t="str">
        <x:v>https://openneuro.org/datasets/ds005512</x:v>
      </x:c>
      <x:c r="P15" s="337" t="str">
        <x:v>08_Health_and_Population/Developmental_Clinical_Cohort/HBN_EEG_R8_ds005512</x:v>
      </x:c>
      <x:c r="Q15" s="338" t="str">
        <x:v>从官方入口下载；完成后写入服务器状态并运行 subjects/duration 审计。</x:v>
      </x:c>
    </x:row>
    <x:row r="16">
      <x:c r="A16" s="336" t="str">
        <x:v>EEG-0595</x:v>
      </x:c>
      <x:c r="B16" s="337" t="str">
        <x:v>P1</x:v>
      </x:c>
      <x:c r="C16" s="337" t="str">
        <x:v>可直接下载</x:v>
      </x:c>
      <x:c r="D16" s="337" t="str">
        <x:v>健康/人群</x:v>
      </x:c>
      <x:c r="E16" s="337" t="str">
        <x:v>Developmental_Clinical_Cohort</x:v>
      </x:c>
      <x:c r="F16" s="337" t="str">
        <x:v>HBN-EEG Release 3</x:v>
      </x:c>
      <x:c r="G16" s="337" t="str">
        <x:v>NOT_IN_SERVER_AUDIT</x:v>
      </x:c>
      <x:c r="H16" s="337" t="str">
        <x:v>否</x:v>
      </x:c>
      <x:c r="I16" s="337" t="str">
        <x:v>否</x:v>
      </x:c>
      <x:c r="J16" s="350"/>
      <x:c r="K16" s="350" t="n">
        <x:v>158.8</x:v>
      </x:c>
      <x:c r="L16" s="350"/>
      <x:c r="M16" s="337" t="str">
        <x:v>公开/登录后下载</x:v>
      </x:c>
      <x:c r="N16" s="337" t="str">
        <x:v>OpenNeuro 官方页面或 BIDS/OpenNeuro 下载工具</x:v>
      </x:c>
      <x:c r="O16" s="337" t="str">
        <x:v>https://openneuro.org/datasets/ds005507</x:v>
      </x:c>
      <x:c r="P16" s="337" t="str">
        <x:v>08_Health_and_Population/Developmental_Clinical_Cohort/HBN_EEG_R3_ds005507</x:v>
      </x:c>
      <x:c r="Q16" s="338" t="str">
        <x:v>从官方入口下载；完成后写入服务器状态并运行 subjects/duration 审计。</x:v>
      </x:c>
    </x:row>
    <x:row r="17">
      <x:c r="A17" s="336" t="str">
        <x:v>EEG-0594</x:v>
      </x:c>
      <x:c r="B17" s="337" t="str">
        <x:v>P1</x:v>
      </x:c>
      <x:c r="C17" s="337" t="str">
        <x:v>可直接下载</x:v>
      </x:c>
      <x:c r="D17" s="337" t="str">
        <x:v>健康/人群</x:v>
      </x:c>
      <x:c r="E17" s="337" t="str">
        <x:v>Developmental_Clinical_Cohort</x:v>
      </x:c>
      <x:c r="F17" s="337" t="str">
        <x:v>HBN-EEG Release 2</x:v>
      </x:c>
      <x:c r="G17" s="337" t="str">
        <x:v>NOT_IN_SERVER_AUDIT</x:v>
      </x:c>
      <x:c r="H17" s="337" t="str">
        <x:v>否</x:v>
      </x:c>
      <x:c r="I17" s="337" t="str">
        <x:v>否</x:v>
      </x:c>
      <x:c r="J17" s="350"/>
      <x:c r="K17" s="350" t="n">
        <x:v>127.5</x:v>
      </x:c>
      <x:c r="L17" s="350"/>
      <x:c r="M17" s="337" t="str">
        <x:v>公开/登录后下载</x:v>
      </x:c>
      <x:c r="N17" s="337" t="str">
        <x:v>OpenNeuro 官方页面或 BIDS/OpenNeuro 下载工具</x:v>
      </x:c>
      <x:c r="O17" s="337" t="str">
        <x:v>https://openneuro.org/datasets/ds005506</x:v>
      </x:c>
      <x:c r="P17" s="337" t="str">
        <x:v>08_Health_and_Population/Developmental_Clinical_Cohort/HBN_EEG_R2_ds005506</x:v>
      </x:c>
      <x:c r="Q17" s="338" t="str">
        <x:v>从官方入口下载；完成后写入服务器状态并运行 subjects/duration 审计。</x:v>
      </x:c>
    </x:row>
    <x:row r="18">
      <x:c r="A18" s="336" t="str">
        <x:v>EEG-0598</x:v>
      </x:c>
      <x:c r="B18" s="337" t="str">
        <x:v>P1</x:v>
      </x:c>
      <x:c r="C18" s="337" t="str">
        <x:v>可直接下载</x:v>
      </x:c>
      <x:c r="D18" s="337" t="str">
        <x:v>健康/人群</x:v>
      </x:c>
      <x:c r="E18" s="337" t="str">
        <x:v>Developmental_Clinical_Cohort</x:v>
      </x:c>
      <x:c r="F18" s="337" t="str">
        <x:v>HBN-EEG Release 6</x:v>
      </x:c>
      <x:c r="G18" s="337" t="str">
        <x:v>NOT_IN_SERVER_AUDIT</x:v>
      </x:c>
      <x:c r="H18" s="337" t="str">
        <x:v>否</x:v>
      </x:c>
      <x:c r="I18" s="337" t="str">
        <x:v>否</x:v>
      </x:c>
      <x:c r="J18" s="350"/>
      <x:c r="K18" s="350" t="n">
        <x:v>103.5</x:v>
      </x:c>
      <x:c r="L18" s="350"/>
      <x:c r="M18" s="337" t="str">
        <x:v>公开/登录后下载</x:v>
      </x:c>
      <x:c r="N18" s="337" t="str">
        <x:v>OpenNeuro 官方页面或 BIDS/OpenNeuro 下载工具</x:v>
      </x:c>
      <x:c r="O18" s="337" t="str">
        <x:v>https://openneuro.org/datasets/ds005510</x:v>
      </x:c>
      <x:c r="P18" s="337" t="str">
        <x:v>08_Health_and_Population/Developmental_Clinical_Cohort/HBN_EEG_R6_ds005510</x:v>
      </x:c>
      <x:c r="Q18" s="338" t="str">
        <x:v>从官方入口下载；完成后写入服务器状态并运行 subjects/duration 审计。</x:v>
      </x:c>
    </x:row>
    <x:row r="19">
      <x:c r="A19" s="336" t="str">
        <x:v>EEG-0586</x:v>
      </x:c>
      <x:c r="B19" s="337" t="str">
        <x:v>P1</x:v>
      </x:c>
      <x:c r="C19" s="337" t="str">
        <x:v>可直接下载</x:v>
      </x:c>
      <x:c r="D19" s="337" t="str">
        <x:v>疾病/临床</x:v>
      </x:c>
      <x:c r="E19" s="337" t="str">
        <x:v>帕金森病</x:v>
      </x:c>
      <x:c r="F19" s="337" t="str">
        <x:v>Singh2021</x:v>
      </x:c>
      <x:c r="G19" s="337" t="str">
        <x:v>NOT_IN_SERVER_AUDIT</x:v>
      </x:c>
      <x:c r="H19" s="337" t="str">
        <x:v>否</x:v>
      </x:c>
      <x:c r="I19" s="337" t="str">
        <x:v>否</x:v>
      </x:c>
      <x:c r="J19" s="350"/>
      <x:c r="K19" s="350" t="n">
        <x:v>58</x:v>
      </x:c>
      <x:c r="L19" s="350"/>
      <x:c r="M19" s="337" t="str">
        <x:v>公开/登录后下载</x:v>
      </x:c>
      <x:c r="N19" s="337" t="str">
        <x:v>Hugging Face：huggingface-cli download 或 Git LFS</x:v>
      </x:c>
      <x:c r="O19" s="337" t="str">
        <x:v>https://huggingface.co/datasets/jalauer/Singh2021</x:v>
      </x:c>
      <x:c r="P19" s="337" t="str">
        <x:v>02_Healthcare_and_Disease/Neurological_Disorders/Singh2021</x:v>
      </x:c>
      <x:c r="Q19" s="338" t="str">
        <x:v>从官方入口下载；完成后写入服务器状态并运行 subjects/duration 审计。</x:v>
      </x:c>
    </x:row>
    <x:row r="20">
      <x:c r="A20" s="336" t="str">
        <x:v>EEG-0583</x:v>
      </x:c>
      <x:c r="B20" s="337" t="str">
        <x:v>P1</x:v>
      </x:c>
      <x:c r="C20" s="337" t="str">
        <x:v>可直接下载</x:v>
      </x:c>
      <x:c r="D20" s="337" t="str">
        <x:v>疾病/临床</x:v>
      </x:c>
      <x:c r="E20" s="337" t="str">
        <x:v>精神分裂症</x:v>
      </x:c>
      <x:c r="F20" s="337" t="str">
        <x:v>Albrecht2019</x:v>
      </x:c>
      <x:c r="G20" s="337" t="str">
        <x:v>NOT_IN_SERVER_AUDIT</x:v>
      </x:c>
      <x:c r="H20" s="337" t="str">
        <x:v>否</x:v>
      </x:c>
      <x:c r="I20" s="337" t="str">
        <x:v>否</x:v>
      </x:c>
      <x:c r="J20" s="350"/>
      <x:c r="K20" s="350" t="n">
        <x:v>51</x:v>
      </x:c>
      <x:c r="L20" s="350"/>
      <x:c r="M20" s="337" t="str">
        <x:v>公开/登录后下载</x:v>
      </x:c>
      <x:c r="N20" s="337" t="str">
        <x:v>Hugging Face：huggingface-cli download 或 Git LFS</x:v>
      </x:c>
      <x:c r="O20" s="337" t="str">
        <x:v>https://huggingface.co/datasets/jalauer/Albrecht2019</x:v>
      </x:c>
      <x:c r="P20" s="337" t="str">
        <x:v>02_Healthcare_and_Disease/Mental_and_Developmental_Disorders/Albrecht2019</x:v>
      </x:c>
      <x:c r="Q20" s="338" t="str">
        <x:v>从官方入口下载；完成后写入服务器状态并运行 subjects/duration 审计。</x:v>
      </x:c>
    </x:row>
    <x:row r="21">
      <x:c r="A21" s="336" t="str">
        <x:v>EEG-0584</x:v>
      </x:c>
      <x:c r="B21" s="337" t="str">
        <x:v>P1</x:v>
      </x:c>
      <x:c r="C21" s="337" t="str">
        <x:v>可直接下载</x:v>
      </x:c>
      <x:c r="D21" s="337" t="str">
        <x:v>健康/人群</x:v>
      </x:c>
      <x:c r="E21" s="337" t="str">
        <x:v>精神健康风险表型</x:v>
      </x:c>
      <x:c r="F21" s="337" t="str">
        <x:v>Gruendler2009</x:v>
      </x:c>
      <x:c r="G21" s="337" t="str">
        <x:v>NOT_IN_SERVER_AUDIT</x:v>
      </x:c>
      <x:c r="H21" s="337" t="str">
        <x:v>否</x:v>
      </x:c>
      <x:c r="I21" s="337" t="str">
        <x:v>否</x:v>
      </x:c>
      <x:c r="J21" s="350"/>
      <x:c r="K21" s="350" t="n">
        <x:v>22</x:v>
      </x:c>
      <x:c r="L21" s="350"/>
      <x:c r="M21" s="337" t="str">
        <x:v>公开/登录后下载</x:v>
      </x:c>
      <x:c r="N21" s="337" t="str">
        <x:v>Hugging Face：huggingface-cli download 或 Git LFS</x:v>
      </x:c>
      <x:c r="O21" s="337" t="str">
        <x:v>https://huggingface.co/datasets/jalauer/Gruendler2009</x:v>
      </x:c>
      <x:c r="P21" s="337" t="str">
        <x:v>08_Health_and_Population/Mental_Health_Risk_Phenotype/Gruendler2009</x:v>
      </x:c>
      <x:c r="Q21" s="338" t="str">
        <x:v>从官方入口下载；完成后写入服务器状态并运行 subjects/duration 审计。</x:v>
      </x:c>
    </x:row>
    <x:row r="22">
      <x:c r="A22" s="336" t="str">
        <x:v>EEG-0585</x:v>
      </x:c>
      <x:c r="B22" s="337" t="str">
        <x:v>P1</x:v>
      </x:c>
      <x:c r="C22" s="337" t="str">
        <x:v>可直接下载</x:v>
      </x:c>
      <x:c r="D22" s="337" t="str">
        <x:v>疾病/临床</x:v>
      </x:c>
      <x:c r="E22" s="337" t="str">
        <x:v>帕金森病</x:v>
      </x:c>
      <x:c r="F22" s="337" t="str">
        <x:v>Singh2020</x:v>
      </x:c>
      <x:c r="G22" s="337" t="str">
        <x:v>NOT_IN_SERVER_AUDIT</x:v>
      </x:c>
      <x:c r="H22" s="337" t="str">
        <x:v>否</x:v>
      </x:c>
      <x:c r="I22" s="337" t="str">
        <x:v>否</x:v>
      </x:c>
      <x:c r="J22" s="350"/>
      <x:c r="K22" s="350" t="n">
        <x:v>7</x:v>
      </x:c>
      <x:c r="L22" s="350"/>
      <x:c r="M22" s="337" t="str">
        <x:v>公开/登录后下载</x:v>
      </x:c>
      <x:c r="N22" s="337" t="str">
        <x:v>Hugging Face：huggingface-cli download 或 Git LFS</x:v>
      </x:c>
      <x:c r="O22" s="337" t="str">
        <x:v>https://huggingface.co/datasets/jalauer/Singh2020</x:v>
      </x:c>
      <x:c r="P22" s="337" t="str">
        <x:v>02_Healthcare_and_Disease/Neurological_Disorders/Singh2020</x:v>
      </x:c>
      <x:c r="Q22" s="338" t="str">
        <x:v>从官方入口下载；完成后写入服务器状态并运行 subjects/duration 审计。</x:v>
      </x:c>
    </x:row>
    <x:row r="23">
      <x:c r="A23" s="336" t="str">
        <x:v>EEG-0102</x:v>
      </x:c>
      <x:c r="B23" s="337" t="str">
        <x:v>P1</x:v>
      </x:c>
      <x:c r="C23" s="337" t="str">
        <x:v>登录后可下载</x:v>
      </x:c>
      <x:c r="D23" s="337" t="str">
        <x:v>疾病/临床</x:v>
      </x:c>
      <x:c r="E23" s="337" t="str">
        <x:v>Clinical_Abnormalities</x:v>
      </x:c>
      <x:c r="F23" s="337" t="str">
        <x:v>BrainLat (Latin American EEG)</x:v>
      </x:c>
      <x:c r="G23" s="337" t="str">
        <x:v>FAILED_DISCOVERY</x:v>
      </x:c>
      <x:c r="H23" s="337" t="str">
        <x:v>否</x:v>
      </x:c>
      <x:c r="I23" s="337" t="str">
        <x:v>否</x:v>
      </x:c>
      <x:c r="J23" s="350"/>
      <x:c r="K23" s="350"/>
      <x:c r="L23" s="350"/>
      <x:c r="M23" s="337" t="str">
        <x:v>需要申请</x:v>
      </x:c>
      <x:c r="N23" s="337" t="str">
        <x:v>Synapse 登录后从数据目录同步 EEG 文件</x:v>
      </x:c>
      <x:c r="O23" s="337" t="str">
        <x:v>https://doi.org/10.7303/syn51549340</x:v>
      </x:c>
      <x:c r="P23" s="337" t="str">
        <x:v>02_Biometrics_and_Disease/Clinical_Abnormalities/BrainLat_Latin_American_EEG</x:v>
      </x:c>
      <x:c r="Q23" s="338" t="str">
        <x:v>注册/登录 Synapse；EEG 数据目录可直接取得，MRI 权限另算。</x:v>
      </x:c>
    </x:row>
    <x:row r="24">
      <x:c r="A24" s="336" t="str">
        <x:v>EEG-0125</x:v>
      </x:c>
      <x:c r="B24" s="337" t="str">
        <x:v>P1</x:v>
      </x:c>
      <x:c r="C24" s="337" t="str">
        <x:v>可直接下载</x:v>
      </x:c>
      <x:c r="D24" s="337" t="str">
        <x:v>疾病/临床</x:v>
      </x:c>
      <x:c r="E24" s="337" t="str">
        <x:v>Clinical_Sleep_Disorders</x:v>
      </x:c>
      <x:c r="F24" s="337" t="str">
        <x:v>HMC (Haaglanden)</x:v>
      </x:c>
      <x:c r="G24" s="337" t="str">
        <x:v>DISCOVERED_NOT_COMPLETED</x:v>
      </x:c>
      <x:c r="H24" s="337" t="str">
        <x:v>否</x:v>
      </x:c>
      <x:c r="I24" s="337" t="str">
        <x:v>否</x:v>
      </x:c>
      <x:c r="J24" s="350"/>
      <x:c r="K24" s="350"/>
      <x:c r="L24" s="350"/>
      <x:c r="M24" s="337" t="str">
        <x:v>公开/登录后下载</x:v>
      </x:c>
      <x:c r="N24" s="337" t="str">
        <x:v>PhysioNet：wget -r -N -c -np https://physionet.org/content/hmc-sleep-staging/1.1/</x:v>
      </x:c>
      <x:c r="O24" s="337" t="str">
        <x:v>https://physionet.org/content/hmc-sleep-staging/1.1/</x:v>
      </x:c>
      <x:c r="P24" s="337" t="str">
        <x:v>03_Consciousness_and_State/Sleep_Staging/HMC_Haaglanden</x:v>
      </x:c>
      <x:c r="Q24" s="338" t="str">
        <x:v>从官方入口下载；完成后写入服务器状态并运行 subjects/duration 审计。</x:v>
      </x:c>
    </x:row>
    <x:row r="25">
      <x:c r="A25" s="336" t="str">
        <x:v>EEG-0140</x:v>
      </x:c>
      <x:c r="B25" s="337" t="str">
        <x:v>P1</x:v>
      </x:c>
      <x:c r="C25" s="337" t="str">
        <x:v>可直接下载</x:v>
      </x:c>
      <x:c r="D25" s="337" t="str">
        <x:v>疾病/临床</x:v>
      </x:c>
      <x:c r="E25" s="337" t="str">
        <x:v>Clinical_Sleep_and_PSG</x:v>
      </x:c>
      <x:c r="F25" s="337" t="str">
        <x:v>PhysioNet Challenge 2018 Sleep Arousal Database</x:v>
      </x:c>
      <x:c r="G25" s="337" t="str">
        <x:v>DISCOVERED_NOT_COMPLETED</x:v>
      </x:c>
      <x:c r="H25" s="337" t="str">
        <x:v>否</x:v>
      </x:c>
      <x:c r="I25" s="337" t="str">
        <x:v>否</x:v>
      </x:c>
      <x:c r="J25" s="350"/>
      <x:c r="K25" s="350"/>
      <x:c r="L25" s="350"/>
      <x:c r="M25" s="337" t="str">
        <x:v>公开/登录后下载</x:v>
      </x:c>
      <x:c r="N25" s="337" t="str">
        <x:v>PhysioNet：wget -r -N -c -np https://physionet.org/content/challenge-2018/1.0.0/</x:v>
      </x:c>
      <x:c r="O25" s="337" t="str">
        <x:v>https://physionet.org/content/challenge-2018/1.0.0/</x:v>
      </x:c>
      <x:c r="P25" s="337" t="str">
        <x:v>03_Consciousness_and_State/Sleep_Staging/PhysioNet_Challenge_2018_Sleep_Arousal_Database</x:v>
      </x:c>
      <x:c r="Q25" s="338" t="str">
        <x:v>从官方入口下载；完成后写入服务器状态并运行 subjects/duration 审计。</x:v>
      </x:c>
    </x:row>
    <x:row r="26">
      <x:c r="A26" s="336" t="str">
        <x:v>EEG-0599</x:v>
      </x:c>
      <x:c r="B26" s="337" t="str">
        <x:v>P1</x:v>
      </x:c>
      <x:c r="C26" s="337" t="str">
        <x:v>可直接下载</x:v>
      </x:c>
      <x:c r="D26" s="337" t="str">
        <x:v>健康/人群</x:v>
      </x:c>
      <x:c r="E26" s="337" t="str">
        <x:v>Developmental_Clinical_Cohort</x:v>
      </x:c>
      <x:c r="F26" s="337" t="str">
        <x:v>HBN-EEG Release 7</x:v>
      </x:c>
      <x:c r="G26" s="337" t="str">
        <x:v>NOT_IN_SERVER_AUDIT</x:v>
      </x:c>
      <x:c r="H26" s="337" t="str">
        <x:v>否</x:v>
      </x:c>
      <x:c r="I26" s="337" t="str">
        <x:v>否</x:v>
      </x:c>
      <x:c r="J26" s="350"/>
      <x:c r="K26" s="350"/>
      <x:c r="L26" s="350"/>
      <x:c r="M26" s="337" t="str">
        <x:v>公开/登录后下载</x:v>
      </x:c>
      <x:c r="N26" s="337" t="str">
        <x:v>OpenNeuro 官方页面或 BIDS/OpenNeuro 下载工具</x:v>
      </x:c>
      <x:c r="O26" s="337" t="str">
        <x:v>https://openneuro.org/datasets/ds005511</x:v>
      </x:c>
      <x:c r="P26" s="337" t="str">
        <x:v>08_Health_and_Population/Developmental_Clinical_Cohort/HBN_EEG_R7_ds005511</x:v>
      </x:c>
      <x:c r="Q26" s="338" t="str">
        <x:v>从官方入口下载；完成后写入服务器状态并运行 subjects/duration 审计。</x:v>
      </x:c>
    </x:row>
    <x:row r="27">
      <x:c r="A27" s="336" t="str">
        <x:v>EEG-0603</x:v>
      </x:c>
      <x:c r="B27" s="337" t="str">
        <x:v>P1</x:v>
      </x:c>
      <x:c r="C27" s="337" t="str">
        <x:v>可直接下载</x:v>
      </x:c>
      <x:c r="D27" s="337" t="str">
        <x:v>疾病/临床</x:v>
      </x:c>
      <x:c r="E27" s="337" t="str">
        <x:v>Clinical_Sleep_Disorders</x:v>
      </x:c>
      <x:c r="F27" s="337" t="str">
        <x:v>DCSM Sleep Staging Dataset</x:v>
      </x:c>
      <x:c r="G27" s="337" t="str">
        <x:v>NOT_IN_SERVER_AUDIT</x:v>
      </x:c>
      <x:c r="H27" s="337" t="str">
        <x:v>否</x:v>
      </x:c>
      <x:c r="I27" s="337" t="str">
        <x:v>否</x:v>
      </x:c>
      <x:c r="J27" s="350"/>
      <x:c r="K27" s="350"/>
      <x:c r="L27" s="350"/>
      <x:c r="M27" s="337" t="str">
        <x:v>公开/登录后下载</x:v>
      </x:c>
      <x:c r="N27" s="337" t="str">
        <x:v>打开官方入口并按页面说明下载</x:v>
      </x:c>
      <x:c r="O27" s="337" t="str">
        <x:v>https://erda.ku.dk/public/archives/db553715ecbe1f3ac66c1dc569826eef/published-archive.html</x:v>
      </x:c>
      <x:c r="P27" s="337" t="str">
        <x:v>02_Healthcare_and_Disease/Clinical_Sleep_Disorders/DCSM</x:v>
      </x:c>
      <x:c r="Q27" s="338" t="str">
        <x:v>从官方入口下载；完成后写入服务器状态并运行 subjects/duration 审计。</x:v>
      </x:c>
    </x:row>
    <x:row r="28">
      <x:c r="A28" s="336" t="str">
        <x:v>EEG-0604</x:v>
      </x:c>
      <x:c r="B28" s="337" t="str">
        <x:v>P1</x:v>
      </x:c>
      <x:c r="C28" s="337" t="str">
        <x:v>可直接下载</x:v>
      </x:c>
      <x:c r="D28" s="337" t="str">
        <x:v>疾病/临床</x:v>
      </x:c>
      <x:c r="E28" s="337" t="str">
        <x:v>Sleep_and_Cognitive_Impairment</x:v>
      </x:c>
      <x:c r="F28" s="337" t="str">
        <x:v>George B. Moody PhysioNet Challenge 2026 (PN2026)</x:v>
      </x:c>
      <x:c r="G28" s="337" t="str">
        <x:v>NOT_IN_SERVER_AUDIT</x:v>
      </x:c>
      <x:c r="H28" s="337" t="str">
        <x:v>否</x:v>
      </x:c>
      <x:c r="I28" s="337" t="str">
        <x:v>否</x:v>
      </x:c>
      <x:c r="J28" s="350"/>
      <x:c r="K28" s="350"/>
      <x:c r="L28" s="350"/>
      <x:c r="M28" s="337" t="str">
        <x:v>公开/登录后下载</x:v>
      </x:c>
      <x:c r="N28" s="337" t="str">
        <x:v>PhysioNet：wget -r -N -c -np https://moody-challenge.physionet.org/2026/</x:v>
      </x:c>
      <x:c r="O28" s="337" t="str">
        <x:v>https://moody-challenge.physionet.org/2026/</x:v>
      </x:c>
      <x:c r="P28" s="337" t="str">
        <x:v>02_Healthcare_and_Disease/Sleep_and_Cognitive_Impairment/PN2026</x:v>
      </x:c>
      <x:c r="Q28" s="338" t="str">
        <x:v>从官方入口下载；完成后写入服务器状态并运行 subjects/duration 审计。</x:v>
      </x:c>
    </x:row>
    <x:row r="29">
      <x:c r="A29" s="336" t="str">
        <x:v>EEG-0606</x:v>
      </x:c>
      <x:c r="B29" s="337" t="str">
        <x:v>P1</x:v>
      </x:c>
      <x:c r="C29" s="337" t="str">
        <x:v>可直接下载</x:v>
      </x:c>
      <x:c r="D29" s="337" t="str">
        <x:v>疾病/临床</x:v>
      </x:c>
      <x:c r="E29" s="337" t="str">
        <x:v>Sleep_Disordered_Breathing</x:v>
      </x:c>
      <x:c r="F29" s="337" t="str">
        <x:v>UCDDB Sleep Apnea Database</x:v>
      </x:c>
      <x:c r="G29" s="337" t="str">
        <x:v>NOT_IN_SERVER_AUDIT</x:v>
      </x:c>
      <x:c r="H29" s="337" t="str">
        <x:v>否</x:v>
      </x:c>
      <x:c r="I29" s="337" t="str">
        <x:v>否</x:v>
      </x:c>
      <x:c r="J29" s="350"/>
      <x:c r="K29" s="350"/>
      <x:c r="L29" s="350"/>
      <x:c r="M29" s="337" t="str">
        <x:v>公开/登录后下载</x:v>
      </x:c>
      <x:c r="N29" s="337" t="str">
        <x:v>PhysioNet：wget -r -N -c -np https://physionet.org/content/ucddb/1.0.0/</x:v>
      </x:c>
      <x:c r="O29" s="337" t="str">
        <x:v>https://physionet.org/content/ucddb/1.0.0/</x:v>
      </x:c>
      <x:c r="P29" s="337" t="str">
        <x:v>02_Healthcare_and_Disease/Sleep_Disordered_Breathing/UCDDB</x:v>
      </x:c>
      <x:c r="Q29" s="338" t="str">
        <x:v>从官方入口下载；完成后写入服务器状态并运行 subjects/duration 审计。</x:v>
      </x:c>
    </x:row>
    <x:row r="30">
      <x:c r="A30" s="233" t="str">
        <x:v>EEG-0150</x:v>
      </x:c>
      <x:c r="B30" s="328" t="str">
        <x:v>P2</x:v>
      </x:c>
      <x:c r="C30" s="328" t="str">
        <x:v>公开入口·需人工复核</x:v>
      </x:c>
      <x:c r="D30" s="328" t="str">
        <x:v>疾病/临床</x:v>
      </x:c>
      <x:c r="E30" s="328" t="str">
        <x:v>重症监护与昏迷</x:v>
      </x:c>
      <x:c r="F30" s="328" t="str">
        <x:v>I-CARE</x:v>
      </x:c>
      <x:c r="G30" s="328" t="str">
        <x:v>FAILED_DISCOVERY</x:v>
      </x:c>
      <x:c r="H30" s="328" t="str">
        <x:v>否</x:v>
      </x:c>
      <x:c r="I30" s="328" t="str">
        <x:v>否</x:v>
      </x:c>
      <x:c r="J30" s="351"/>
      <x:c r="K30" s="351" t="n">
        <x:v>56676</x:v>
      </x:c>
      <x:c r="L30" s="351"/>
      <x:c r="M30" s="328" t="str">
        <x:v>公开/登录后下载</x:v>
      </x:c>
      <x:c r="N30" s="328" t="str">
        <x:v>BDSP：完成 credentialing/DUA 后使用 credentialed AWS CLI</x:v>
      </x:c>
      <x:c r="O30" s="328" t="str">
        <x:v>https://bdsp.io/content/bdsp-icare/2.0/</x:v>
      </x:c>
      <x:c r="P30" s="328" t="str">
        <x:v>02_Healthcare_and_Disease/Critical_Care_and_Coma/I-CARE</x:v>
      </x:c>
      <x:c r="Q30" s="329" t="str">
        <x:v>自动下载未完成；人工打开官方入口，确认真实文件链接后再下载。</x:v>
      </x:c>
    </x:row>
    <x:row r="31">
      <x:c r="A31" s="233" t="str">
        <x:v>EEG-0012</x:v>
      </x:c>
      <x:c r="B31" s="328" t="str">
        <x:v>P2</x:v>
      </x:c>
      <x:c r="C31" s="328" t="str">
        <x:v>已申请·等待访问</x:v>
      </x:c>
      <x:c r="D31" s="328" t="str">
        <x:v>疾病/临床</x:v>
      </x:c>
      <x:c r="E31" s="328" t="str">
        <x:v>Epilepsy_and_Abnormalities</x:v>
      </x:c>
      <x:c r="F31" s="328" t="str">
        <x:v>Harvard EEG Database</x:v>
      </x:c>
      <x:c r="G31" s="328" t="str">
        <x:v>MANUAL_APPLICATION_OR_LOGIN</x:v>
      </x:c>
      <x:c r="H31" s="328" t="str">
        <x:v>否</x:v>
      </x:c>
      <x:c r="I31" s="328" t="str">
        <x:v>否</x:v>
      </x:c>
      <x:c r="J31" s="351"/>
      <x:c r="K31" s="351"/>
      <x:c r="L31" s="351"/>
      <x:c r="M31" s="328" t="str">
        <x:v>需要申请</x:v>
      </x:c>
      <x:c r="N31" s="328" t="str">
        <x:v>BDSP：完成 credentialing/DUA 后使用 credentialed AWS CLI</x:v>
      </x:c>
      <x:c r="O31" s="328" t="str">
        <x:v>https://bdsp.io/content/harvard-eeg-db/</x:v>
      </x:c>
      <x:c r="P31" s="328" t="str">
        <x:v>02_Biometrics_and_Disease/Epilepsy_and_Abnormalities/Harvard_EEG_Database</x:v>
      </x:c>
      <x:c r="Q31" s="329" t="str">
        <x:v>已提交 BDSP credentialing/DUA；等待 Harvard EEG 权限。</x:v>
      </x:c>
    </x:row>
    <x:row r="32">
      <x:c r="A32" s="233" t="str">
        <x:v>EEG-0020</x:v>
      </x:c>
      <x:c r="B32" s="328" t="str">
        <x:v>P2</x:v>
      </x:c>
      <x:c r="C32" s="328" t="str">
        <x:v>已申请·等待访问</x:v>
      </x:c>
      <x:c r="D32" s="328" t="str">
        <x:v>疾病/临床</x:v>
      </x:c>
      <x:c r="E32" s="328" t="str">
        <x:v>Epilepsy_and_Abnormalities</x:v>
      </x:c>
      <x:c r="F32" s="328" t="str">
        <x:v>MORGOTH HEP</x:v>
      </x:c>
      <x:c r="G32" s="328" t="str">
        <x:v>MANUAL_APPLICATION_OR_LOGIN</x:v>
      </x:c>
      <x:c r="H32" s="328" t="str">
        <x:v>否</x:v>
      </x:c>
      <x:c r="I32" s="328" t="str">
        <x:v>否</x:v>
      </x:c>
      <x:c r="J32" s="351"/>
      <x:c r="K32" s="351"/>
      <x:c r="L32" s="351"/>
      <x:c r="M32" s="328" t="str">
        <x:v>公开/登录后下载</x:v>
      </x:c>
      <x:c r="N32" s="328" t="str">
        <x:v>BDSP：完成 credentialing/DUA 后使用 credentialed AWS CLI</x:v>
      </x:c>
      <x:c r="O32" s="328" t="str">
        <x:v>https://bdsp.io/content/morgoth1/1.0.0/</x:v>
      </x:c>
      <x:c r="P32" s="328" t="str">
        <x:v>02_Biometrics_and_Disease/Epilepsy_and_Abnormalities/MORGOTH_HEP</x:v>
      </x:c>
      <x:c r="Q32" s="329" t="str">
        <x:v>已提交 BDSP credentialing/DUA；获批后用 credentialed S3 入口同步 MORGOTH。</x:v>
      </x:c>
    </x:row>
    <x:row r="33">
      <x:c r="A33" s="233" t="str">
        <x:v>EEG-0021</x:v>
      </x:c>
      <x:c r="B33" s="328" t="str">
        <x:v>P2</x:v>
      </x:c>
      <x:c r="C33" s="328" t="str">
        <x:v>已申请·等待访问</x:v>
      </x:c>
      <x:c r="D33" s="328" t="str">
        <x:v>疾病/临床</x:v>
      </x:c>
      <x:c r="E33" s="328" t="str">
        <x:v>Epilepsy_and_Abnormalities</x:v>
      </x:c>
      <x:c r="F33" s="328" t="str">
        <x:v>MORGOTH IIIC-Test</x:v>
      </x:c>
      <x:c r="G33" s="328" t="str">
        <x:v>MANUAL_APPLICATION_OR_LOGIN</x:v>
      </x:c>
      <x:c r="H33" s="328" t="str">
        <x:v>否</x:v>
      </x:c>
      <x:c r="I33" s="328" t="str">
        <x:v>否</x:v>
      </x:c>
      <x:c r="J33" s="351"/>
      <x:c r="K33" s="351"/>
      <x:c r="L33" s="351"/>
      <x:c r="M33" s="328" t="str">
        <x:v>公开/登录后下载</x:v>
      </x:c>
      <x:c r="N33" s="328" t="str">
        <x:v>BDSP：完成 credentialing/DUA 后使用 credentialed AWS CLI</x:v>
      </x:c>
      <x:c r="O33" s="328" t="str">
        <x:v>https://bdsp.io/content/morgoth1/1.0.0/</x:v>
      </x:c>
      <x:c r="P33" s="328" t="str">
        <x:v>02_Biometrics_and_Disease/Epilepsy_and_Abnormalities/MORGOTH_IIIC-Test</x:v>
      </x:c>
      <x:c r="Q33" s="329" t="str">
        <x:v>已提交 BDSP credentialing/DUA；获批后用 credentialed S3 入口同步 MORGOTH。</x:v>
      </x:c>
    </x:row>
    <x:row r="34">
      <x:c r="A34" s="233" t="str">
        <x:v>EEG-0022</x:v>
      </x:c>
      <x:c r="B34" s="328" t="str">
        <x:v>P2</x:v>
      </x:c>
      <x:c r="C34" s="328" t="str">
        <x:v>已申请·等待访问</x:v>
      </x:c>
      <x:c r="D34" s="328" t="str">
        <x:v>疾病/临床</x:v>
      </x:c>
      <x:c r="E34" s="328" t="str">
        <x:v>Epilepsy_and_Abnormalities</x:v>
      </x:c>
      <x:c r="F34" s="328" t="str">
        <x:v>MORGOTH IIIC-Train</x:v>
      </x:c>
      <x:c r="G34" s="328" t="str">
        <x:v>MANUAL_APPLICATION_OR_LOGIN</x:v>
      </x:c>
      <x:c r="H34" s="328" t="str">
        <x:v>否</x:v>
      </x:c>
      <x:c r="I34" s="328" t="str">
        <x:v>否</x:v>
      </x:c>
      <x:c r="J34" s="351"/>
      <x:c r="K34" s="351"/>
      <x:c r="L34" s="351"/>
      <x:c r="M34" s="328" t="str">
        <x:v>公开/登录后下载</x:v>
      </x:c>
      <x:c r="N34" s="328" t="str">
        <x:v>BDSP：完成 credentialing/DUA 后使用 credentialed AWS CLI</x:v>
      </x:c>
      <x:c r="O34" s="328" t="str">
        <x:v>https://bdsp.io/content/morgoth1/1.0.0/</x:v>
      </x:c>
      <x:c r="P34" s="328" t="str">
        <x:v>02_Biometrics_and_Disease/Epilepsy_and_Abnormalities/MORGOTH_IIIC-Train</x:v>
      </x:c>
      <x:c r="Q34" s="329" t="str">
        <x:v>已提交 BDSP credentialing/DUA；获批后用 credentialed S3 入口同步 MORGOTH。</x:v>
      </x:c>
    </x:row>
    <x:row r="35">
      <x:c r="A35" s="233" t="str">
        <x:v>EEG-0023</x:v>
      </x:c>
      <x:c r="B35" s="328" t="str">
        <x:v>P2</x:v>
      </x:c>
      <x:c r="C35" s="328" t="str">
        <x:v>已申请·等待访问</x:v>
      </x:c>
      <x:c r="D35" s="328" t="str">
        <x:v>疾病/临床</x:v>
      </x:c>
      <x:c r="E35" s="328" t="str">
        <x:v>Epilepsy_and_Abnormalities</x:v>
      </x:c>
      <x:c r="F35" s="328" t="str">
        <x:v>MORGOTH MoE-External</x:v>
      </x:c>
      <x:c r="G35" s="328" t="str">
        <x:v>MANUAL_APPLICATION_OR_LOGIN</x:v>
      </x:c>
      <x:c r="H35" s="328" t="str">
        <x:v>否</x:v>
      </x:c>
      <x:c r="I35" s="328" t="str">
        <x:v>否</x:v>
      </x:c>
      <x:c r="J35" s="351"/>
      <x:c r="K35" s="351"/>
      <x:c r="L35" s="351"/>
      <x:c r="M35" s="328" t="str">
        <x:v>公开/登录后下载</x:v>
      </x:c>
      <x:c r="N35" s="328" t="str">
        <x:v>BDSP：完成 credentialing/DUA 后使用 credentialed AWS CLI</x:v>
      </x:c>
      <x:c r="O35" s="328" t="str">
        <x:v>https://bdsp.io/content/morgoth1/1.0.0/</x:v>
      </x:c>
      <x:c r="P35" s="328" t="str">
        <x:v>02_Biometrics_and_Disease/Epilepsy_and_Abnormalities/MORGOTH_MoE-External</x:v>
      </x:c>
      <x:c r="Q35" s="329" t="str">
        <x:v>已提交 BDSP credentialing/DUA；获批后用 credentialed S3 入口同步 MORGOTH。</x:v>
      </x:c>
    </x:row>
    <x:row r="36">
      <x:c r="A36" s="233" t="str">
        <x:v>EEG-0024</x:v>
      </x:c>
      <x:c r="B36" s="328" t="str">
        <x:v>P2</x:v>
      </x:c>
      <x:c r="C36" s="328" t="str">
        <x:v>已申请·等待访问</x:v>
      </x:c>
      <x:c r="D36" s="328" t="str">
        <x:v>疾病/临床</x:v>
      </x:c>
      <x:c r="E36" s="328" t="str">
        <x:v>Epilepsy_and_Abnormalities</x:v>
      </x:c>
      <x:c r="F36" s="328" t="str">
        <x:v>MORGOTH MoE-Internal</x:v>
      </x:c>
      <x:c r="G36" s="328" t="str">
        <x:v>MANUAL_APPLICATION_OR_LOGIN</x:v>
      </x:c>
      <x:c r="H36" s="328" t="str">
        <x:v>否</x:v>
      </x:c>
      <x:c r="I36" s="328" t="str">
        <x:v>否</x:v>
      </x:c>
      <x:c r="J36" s="351"/>
      <x:c r="K36" s="351"/>
      <x:c r="L36" s="351"/>
      <x:c r="M36" s="328" t="str">
        <x:v>公开/登录后下载</x:v>
      </x:c>
      <x:c r="N36" s="328" t="str">
        <x:v>BDSP：完成 credentialing/DUA 后使用 credentialed AWS CLI</x:v>
      </x:c>
      <x:c r="O36" s="328" t="str">
        <x:v>https://bdsp.io/content/morgoth1/1.0.0/</x:v>
      </x:c>
      <x:c r="P36" s="328" t="str">
        <x:v>02_Biometrics_and_Disease/Epilepsy_and_Abnormalities/MORGOTH_MoE-Internal</x:v>
      </x:c>
      <x:c r="Q36" s="329" t="str">
        <x:v>已提交 BDSP credentialing/DUA；获批后用 credentialed S3 入口同步 MORGOTH。</x:v>
      </x:c>
    </x:row>
    <x:row r="37">
      <x:c r="A37" s="233" t="str">
        <x:v>EEG-0025</x:v>
      </x:c>
      <x:c r="B37" s="328" t="str">
        <x:v>P2</x:v>
      </x:c>
      <x:c r="C37" s="328" t="str">
        <x:v>已申请·等待访问</x:v>
      </x:c>
      <x:c r="D37" s="328" t="str">
        <x:v>疾病/临床</x:v>
      </x:c>
      <x:c r="E37" s="328" t="str">
        <x:v>Epilepsy_and_Abnormalities</x:v>
      </x:c>
      <x:c r="F37" s="328" t="str">
        <x:v>MORGOTH ON</x:v>
      </x:c>
      <x:c r="G37" s="328" t="str">
        <x:v>MANUAL_APPLICATION_OR_LOGIN</x:v>
      </x:c>
      <x:c r="H37" s="328" t="str">
        <x:v>否</x:v>
      </x:c>
      <x:c r="I37" s="328" t="str">
        <x:v>否</x:v>
      </x:c>
      <x:c r="J37" s="351"/>
      <x:c r="K37" s="351"/>
      <x:c r="L37" s="351"/>
      <x:c r="M37" s="328" t="str">
        <x:v>公开/登录后下载</x:v>
      </x:c>
      <x:c r="N37" s="328" t="str">
        <x:v>BDSP：完成 credentialing/DUA 后使用 credentialed AWS CLI</x:v>
      </x:c>
      <x:c r="O37" s="328" t="str">
        <x:v>https://bdsp.io/content/morgoth1/1.0.0/</x:v>
      </x:c>
      <x:c r="P37" s="328" t="str">
        <x:v>02_Biometrics_and_Disease/Epilepsy_and_Abnormalities/MORGOTH_ON</x:v>
      </x:c>
      <x:c r="Q37" s="329" t="str">
        <x:v>已提交 BDSP credentialing/DUA；获批后用 credentialed S3 入口同步 MORGOTH。</x:v>
      </x:c>
    </x:row>
    <x:row r="38">
      <x:c r="A38" s="233" t="str">
        <x:v>EEG-0026</x:v>
      </x:c>
      <x:c r="B38" s="328" t="str">
        <x:v>P2</x:v>
      </x:c>
      <x:c r="C38" s="328" t="str">
        <x:v>已申请·等待访问</x:v>
      </x:c>
      <x:c r="D38" s="328" t="str">
        <x:v>疾病/临床</x:v>
      </x:c>
      <x:c r="E38" s="328" t="str">
        <x:v>Epilepsy_and_Abnormalities</x:v>
      </x:c>
      <x:c r="F38" s="328" t="str">
        <x:v>MORGOTH SAI</x:v>
      </x:c>
      <x:c r="G38" s="328" t="str">
        <x:v>MANUAL_APPLICATION_OR_LOGIN</x:v>
      </x:c>
      <x:c r="H38" s="328" t="str">
        <x:v>否</x:v>
      </x:c>
      <x:c r="I38" s="328" t="str">
        <x:v>否</x:v>
      </x:c>
      <x:c r="J38" s="351"/>
      <x:c r="K38" s="351"/>
      <x:c r="L38" s="351"/>
      <x:c r="M38" s="328" t="str">
        <x:v>公开/登录后下载</x:v>
      </x:c>
      <x:c r="N38" s="328" t="str">
        <x:v>BDSP：完成 credentialing/DUA 后使用 credentialed AWS CLI</x:v>
      </x:c>
      <x:c r="O38" s="328" t="str">
        <x:v>https://bdsp.io/content/morgoth1/1.0.0/</x:v>
      </x:c>
      <x:c r="P38" s="328" t="str">
        <x:v>02_Biometrics_and_Disease/Epilepsy_and_Abnormalities/MORGOTH_SAI</x:v>
      </x:c>
      <x:c r="Q38" s="329" t="str">
        <x:v>已提交 BDSP credentialing/DUA；获批后用 credentialed S3 入口同步 MORGOTH。</x:v>
      </x:c>
    </x:row>
    <x:row r="39">
      <x:c r="A39" s="233" t="str">
        <x:v>EEG-0027</x:v>
      </x:c>
      <x:c r="B39" s="328" t="str">
        <x:v>P2</x:v>
      </x:c>
      <x:c r="C39" s="328" t="str">
        <x:v>已申请·等待访问</x:v>
      </x:c>
      <x:c r="D39" s="328" t="str">
        <x:v>疾病/临床</x:v>
      </x:c>
      <x:c r="E39" s="328" t="str">
        <x:v>Epilepsy_and_Abnormalities</x:v>
      </x:c>
      <x:c r="F39" s="328" t="str">
        <x:v>MORGOTH SN2-Test</x:v>
      </x:c>
      <x:c r="G39" s="328" t="str">
        <x:v>MANUAL_APPLICATION_OR_LOGIN</x:v>
      </x:c>
      <x:c r="H39" s="328" t="str">
        <x:v>否</x:v>
      </x:c>
      <x:c r="I39" s="328" t="str">
        <x:v>否</x:v>
      </x:c>
      <x:c r="J39" s="351"/>
      <x:c r="K39" s="351"/>
      <x:c r="L39" s="351"/>
      <x:c r="M39" s="328" t="str">
        <x:v>公开/登录后下载</x:v>
      </x:c>
      <x:c r="N39" s="328" t="str">
        <x:v>BDSP：完成 credentialing/DUA 后使用 credentialed AWS CLI</x:v>
      </x:c>
      <x:c r="O39" s="328" t="str">
        <x:v>https://bdsp.io/content/morgoth1/1.0.0/</x:v>
      </x:c>
      <x:c r="P39" s="328" t="str">
        <x:v>02_Biometrics_and_Disease/Epilepsy_and_Abnormalities/MORGOTH_SN2-Test</x:v>
      </x:c>
      <x:c r="Q39" s="329" t="str">
        <x:v>已提交 BDSP credentialing/DUA；获批后用 credentialed S3 入口同步 MORGOTH。</x:v>
      </x:c>
    </x:row>
    <x:row r="40">
      <x:c r="A40" s="233" t="str">
        <x:v>EEG-0028</x:v>
      </x:c>
      <x:c r="B40" s="328" t="str">
        <x:v>P2</x:v>
      </x:c>
      <x:c r="C40" s="328" t="str">
        <x:v>已申请·等待访问</x:v>
      </x:c>
      <x:c r="D40" s="328" t="str">
        <x:v>疾病/临床</x:v>
      </x:c>
      <x:c r="E40" s="328" t="str">
        <x:v>Epilepsy_and_Abnormalities</x:v>
      </x:c>
      <x:c r="F40" s="328" t="str">
        <x:v>MORGOTH SN2-Train</x:v>
      </x:c>
      <x:c r="G40" s="328" t="str">
        <x:v>MANUAL_APPLICATION_OR_LOGIN</x:v>
      </x:c>
      <x:c r="H40" s="328" t="str">
        <x:v>否</x:v>
      </x:c>
      <x:c r="I40" s="328" t="str">
        <x:v>否</x:v>
      </x:c>
      <x:c r="J40" s="351"/>
      <x:c r="K40" s="351"/>
      <x:c r="L40" s="351"/>
      <x:c r="M40" s="328" t="str">
        <x:v>公开/登录后下载</x:v>
      </x:c>
      <x:c r="N40" s="328" t="str">
        <x:v>BDSP：完成 credentialing/DUA 后使用 credentialed AWS CLI</x:v>
      </x:c>
      <x:c r="O40" s="328" t="str">
        <x:v>https://bdsp.io/content/morgoth1/1.0.0/</x:v>
      </x:c>
      <x:c r="P40" s="328" t="str">
        <x:v>02_Biometrics_and_Disease/Epilepsy_and_Abnormalities/MORGOTH_SN2-Train</x:v>
      </x:c>
      <x:c r="Q40" s="329" t="str">
        <x:v>已提交 BDSP credentialing/DUA；获批后用 credentialed S3 入口同步 MORGOTH。</x:v>
      </x:c>
    </x:row>
    <x:row r="41">
      <x:c r="A41" s="233" t="str">
        <x:v>EEG-0043</x:v>
      </x:c>
      <x:c r="B41" s="328" t="str">
        <x:v>P2</x:v>
      </x:c>
      <x:c r="C41" s="328" t="str">
        <x:v>已申请·等待访问</x:v>
      </x:c>
      <x:c r="D41" s="328" t="str">
        <x:v>疾病/临床</x:v>
      </x:c>
      <x:c r="E41" s="328" t="str">
        <x:v>Neurodegenerative_Disorders</x:v>
      </x:c>
      <x:c r="F41" s="328" t="str">
        <x:v>CAUEEG</x:v>
      </x:c>
      <x:c r="G41" s="328" t="str">
        <x:v>MANUAL_REVIEW_REQUIRED</x:v>
      </x:c>
      <x:c r="H41" s="328" t="str">
        <x:v>否</x:v>
      </x:c>
      <x:c r="I41" s="328" t="str">
        <x:v>否</x:v>
      </x:c>
      <x:c r="J41" s="351"/>
      <x:c r="K41" s="351"/>
      <x:c r="L41" s="351"/>
      <x:c r="M41" s="328" t="str">
        <x:v>公开/登录后下载</x:v>
      </x:c>
      <x:c r="N41" s="328" t="str">
        <x:v>GitHub release/仓库说明中的官方数据入口</x:v>
      </x:c>
      <x:c r="O41" s="328" t="str">
        <x:v>https://github.com/ipis-mjkim/caueeg-dataset</x:v>
      </x:c>
      <x:c r="P41" s="328" t="str">
        <x:v>02_Biometrics_and_Disease/Neurodegenerative_Disorders/CAUEEG</x:v>
      </x:c>
      <x:c r="Q41" s="329" t="str">
        <x:v>已提交 CAUEEG 申请；需本地伦理批准，等待邮件下载链接和密码。</x:v>
      </x:c>
    </x:row>
    <x:row r="42">
      <x:c r="A42" s="233" t="str">
        <x:v>EEG-0058</x:v>
      </x:c>
      <x:c r="B42" s="328" t="str">
        <x:v>P2</x:v>
      </x:c>
      <x:c r="C42" s="328" t="str">
        <x:v>已申请·等待访问</x:v>
      </x:c>
      <x:c r="D42" s="328" t="str">
        <x:v>疾病/临床</x:v>
      </x:c>
      <x:c r="E42" s="328" t="str">
        <x:v>Mental_and_Developmental_Disorders</x:v>
      </x:c>
      <x:c r="F42" s="328" t="str">
        <x:v>MODMA</x:v>
      </x:c>
      <x:c r="G42" s="328" t="str">
        <x:v>MANUAL_APPLICATION_OR_LOGIN</x:v>
      </x:c>
      <x:c r="H42" s="328" t="str">
        <x:v>否</x:v>
      </x:c>
      <x:c r="I42" s="328" t="str">
        <x:v>否</x:v>
      </x:c>
      <x:c r="J42" s="351"/>
      <x:c r="K42" s="351"/>
      <x:c r="L42" s="351"/>
      <x:c r="M42" s="328" t="str">
        <x:v>需要申请</x:v>
      </x:c>
      <x:c r="N42" s="328" t="str">
        <x:v>打开官方入口并按页面说明下载</x:v>
      </x:c>
      <x:c r="O42" s="328" t="str">
        <x:v>http://modma.lzu.edu.cn/data/index/</x:v>
      </x:c>
      <x:c r="P42" s="328" t="str">
        <x:v>02_Biometrics_and_Disease/Mental_and_Developmental_Disorders/MODMA</x:v>
      </x:c>
      <x:c r="Q42" s="329" t="str">
        <x:v>MODMA 已申请；登录个人页确认授权，获批后立即下载。</x:v>
      </x:c>
    </x:row>
    <x:row r="43">
      <x:c r="A43" s="233" t="str">
        <x:v>EEG-0086</x:v>
      </x:c>
      <x:c r="B43" s="328" t="str">
        <x:v>P2</x:v>
      </x:c>
      <x:c r="C43" s="328" t="str">
        <x:v>已申请·等待访问</x:v>
      </x:c>
      <x:c r="D43" s="328" t="str">
        <x:v>健康/人群</x:v>
      </x:c>
      <x:c r="E43" s="328" t="str">
        <x:v>Sleep_and_Cardiometabolic</x:v>
      </x:c>
      <x:c r="F43" s="328" t="str">
        <x:v>MESA Sleep</x:v>
      </x:c>
      <x:c r="G43" s="328" t="str">
        <x:v>MANUAL_APPLICATION_OR_LOGIN</x:v>
      </x:c>
      <x:c r="H43" s="328" t="str">
        <x:v>否</x:v>
      </x:c>
      <x:c r="I43" s="328" t="str">
        <x:v>否</x:v>
      </x:c>
      <x:c r="J43" s="351"/>
      <x:c r="K43" s="351"/>
      <x:c r="L43" s="351"/>
      <x:c r="M43" s="328" t="str">
        <x:v>公开/登录后下载</x:v>
      </x:c>
      <x:c r="N43" s="328" t="str">
        <x:v>NSRR：审批后用 nsrr download 或网页批量下载</x:v>
      </x:c>
      <x:c r="O43" s="328" t="str">
        <x:v>https://sleepdata.org/datasets/mesa</x:v>
      </x:c>
      <x:c r="P43" s="328" t="str">
        <x:v>02_Biometrics_and_Disease/Neurological_Disorders/MESA_Sleep</x:v>
      </x:c>
      <x:c r="Q43" s="329" t="str">
        <x:v>MESA Sleep 已提交 NSRR 申请；等待审批结果，若明确拒绝则转为舍弃。</x:v>
      </x:c>
    </x:row>
    <x:row r="44">
      <x:c r="A44" s="233" t="str">
        <x:v>EEG-0103</x:v>
      </x:c>
      <x:c r="B44" s="328" t="str">
        <x:v>P2</x:v>
      </x:c>
      <x:c r="C44" s="328" t="str">
        <x:v>已申请·等待访问</x:v>
      </x:c>
      <x:c r="D44" s="328" t="str">
        <x:v>疾病/临床</x:v>
      </x:c>
      <x:c r="E44" s="328" t="str">
        <x:v>Clinical_Abnormalities</x:v>
      </x:c>
      <x:c r="F44" s="328" t="str">
        <x:v>MORGOTH HEEDB-Pretrain</x:v>
      </x:c>
      <x:c r="G44" s="328" t="str">
        <x:v>MANUAL_APPLICATION_OR_LOGIN</x:v>
      </x:c>
      <x:c r="H44" s="328" t="str">
        <x:v>否</x:v>
      </x:c>
      <x:c r="I44" s="328" t="str">
        <x:v>否</x:v>
      </x:c>
      <x:c r="J44" s="351"/>
      <x:c r="K44" s="351"/>
      <x:c r="L44" s="351"/>
      <x:c r="M44" s="328" t="str">
        <x:v>公开/登录后下载</x:v>
      </x:c>
      <x:c r="N44" s="328" t="str">
        <x:v>BDSP：完成 credentialing/DUA 后使用 credentialed AWS CLI</x:v>
      </x:c>
      <x:c r="O44" s="328" t="str">
        <x:v>https://bdsp.io/content/morgoth1/1.0.0/</x:v>
      </x:c>
      <x:c r="P44" s="328" t="str">
        <x:v>02_Biometrics_and_Disease/Clinical_Abnormalities/MORGOTH_HEEDB-Pretrain</x:v>
      </x:c>
      <x:c r="Q44" s="329" t="str">
        <x:v>已提交 BDSP credentialing/DUA；获批后用 credentialed S3 入口同步 MORGOTH。</x:v>
      </x:c>
    </x:row>
    <x:row r="45">
      <x:c r="A45" s="233" t="str">
        <x:v>EEG-0104</x:v>
      </x:c>
      <x:c r="B45" s="328" t="str">
        <x:v>P2</x:v>
      </x:c>
      <x:c r="C45" s="328" t="str">
        <x:v>已申请·等待访问</x:v>
      </x:c>
      <x:c r="D45" s="328" t="str">
        <x:v>疾病/临床</x:v>
      </x:c>
      <x:c r="E45" s="328" t="str">
        <x:v>Clinical_Abnormalities</x:v>
      </x:c>
      <x:c r="F45" s="328" t="str">
        <x:v>MORGOTH HEEDB-Test</x:v>
      </x:c>
      <x:c r="G45" s="328" t="str">
        <x:v>MANUAL_APPLICATION_OR_LOGIN</x:v>
      </x:c>
      <x:c r="H45" s="328" t="str">
        <x:v>否</x:v>
      </x:c>
      <x:c r="I45" s="328" t="str">
        <x:v>否</x:v>
      </x:c>
      <x:c r="J45" s="351"/>
      <x:c r="K45" s="351"/>
      <x:c r="L45" s="351"/>
      <x:c r="M45" s="328" t="str">
        <x:v>公开/登录后下载</x:v>
      </x:c>
      <x:c r="N45" s="328" t="str">
        <x:v>BDSP：完成 credentialing/DUA 后使用 credentialed AWS CLI</x:v>
      </x:c>
      <x:c r="O45" s="328" t="str">
        <x:v>https://bdsp.io/content/morgoth1/1.0.0/</x:v>
      </x:c>
      <x:c r="P45" s="328" t="str">
        <x:v>02_Biometrics_and_Disease/Clinical_Abnormalities/MORGOTH_HEEDB-Test</x:v>
      </x:c>
      <x:c r="Q45" s="329" t="str">
        <x:v>已提交 BDSP credentialing/DUA；获批后用 credentialed S3 入口同步 MORGOTH。</x:v>
      </x:c>
    </x:row>
    <x:row r="46">
      <x:c r="A46" s="233" t="str">
        <x:v>EEG-0105</x:v>
      </x:c>
      <x:c r="B46" s="328" t="str">
        <x:v>P2</x:v>
      </x:c>
      <x:c r="C46" s="328" t="str">
        <x:v>已申请·等待访问</x:v>
      </x:c>
      <x:c r="D46" s="328" t="str">
        <x:v>疾病/临床</x:v>
      </x:c>
      <x:c r="E46" s="328" t="str">
        <x:v>Clinical_Abnormalities</x:v>
      </x:c>
      <x:c r="F46" s="328" t="str">
        <x:v>MORGOTH HEEDB-Train</x:v>
      </x:c>
      <x:c r="G46" s="328" t="str">
        <x:v>MANUAL_APPLICATION_OR_LOGIN</x:v>
      </x:c>
      <x:c r="H46" s="328" t="str">
        <x:v>否</x:v>
      </x:c>
      <x:c r="I46" s="328" t="str">
        <x:v>否</x:v>
      </x:c>
      <x:c r="J46" s="351"/>
      <x:c r="K46" s="351"/>
      <x:c r="L46" s="351"/>
      <x:c r="M46" s="328" t="str">
        <x:v>公开/登录后下载</x:v>
      </x:c>
      <x:c r="N46" s="328" t="str">
        <x:v>BDSP：完成 credentialing/DUA 后使用 credentialed AWS CLI</x:v>
      </x:c>
      <x:c r="O46" s="328" t="str">
        <x:v>https://bdsp.io/content/morgoth1/1.0.0/</x:v>
      </x:c>
      <x:c r="P46" s="328" t="str">
        <x:v>02_Biometrics_and_Disease/Clinical_Abnormalities/MORGOTH_HEEDB-Train</x:v>
      </x:c>
      <x:c r="Q46" s="329" t="str">
        <x:v>已提交 BDSP credentialing/DUA；获批后用 credentialed S3 入口同步 MORGOTH。</x:v>
      </x:c>
    </x:row>
    <x:row r="47">
      <x:c r="A47" s="233" t="str">
        <x:v>EEG-0106</x:v>
      </x:c>
      <x:c r="B47" s="328" t="str">
        <x:v>P2</x:v>
      </x:c>
      <x:c r="C47" s="328" t="str">
        <x:v>公开入口·需人工复核</x:v>
      </x:c>
      <x:c r="D47" s="328" t="str">
        <x:v>疾病/临床</x:v>
      </x:c>
      <x:c r="E47" s="328" t="str">
        <x:v>Clinical_Abnormalities</x:v>
      </x:c>
      <x:c r="F47" s="328" t="str">
        <x:v>NMT Scalp EEG Dataset</x:v>
      </x:c>
      <x:c r="G47" s="328" t="str">
        <x:v>MANUAL_REVIEW_REQUIRED</x:v>
      </x:c>
      <x:c r="H47" s="328" t="str">
        <x:v>否</x:v>
      </x:c>
      <x:c r="I47" s="328" t="str">
        <x:v>否</x:v>
      </x:c>
      <x:c r="J47" s="351"/>
      <x:c r="K47" s="351"/>
      <x:c r="L47" s="351"/>
      <x:c r="M47" s="328" t="str">
        <x:v>公开/登录后下载</x:v>
      </x:c>
      <x:c r="N47" s="328" t="str">
        <x:v>GitHub release/仓库说明中的官方数据入口</x:v>
      </x:c>
      <x:c r="O47" s="328" t="str">
        <x:v>https://github.com/dll-ncai/eeg_pre-diagnostic_screening</x:v>
      </x:c>
      <x:c r="P47" s="328" t="str">
        <x:v>02_Biometrics_and_Disease/Clinical_Abnormalities/NMT_Scalp_EEG_Dataset</x:v>
      </x:c>
      <x:c r="Q47" s="329" t="str">
        <x:v>自动下载未完成；人工打开官方入口，确认真实文件链接后再下载。</x:v>
      </x:c>
    </x:row>
    <x:row r="48">
      <x:c r="A48" s="233" t="str">
        <x:v>EEG-0110</x:v>
      </x:c>
      <x:c r="B48" s="328" t="str">
        <x:v>P2</x:v>
      </x:c>
      <x:c r="C48" s="328" t="str">
        <x:v>公开入口·需人工复核</x:v>
      </x:c>
      <x:c r="D48" s="328" t="str">
        <x:v>健康/人群</x:v>
      </x:c>
      <x:c r="E48" s="328" t="str">
        <x:v>Sleep_Health_and_PSG</x:v>
      </x:c>
      <x:c r="F48" s="328" t="str">
        <x:v>ANPHY-Sleep</x:v>
      </x:c>
      <x:c r="G48" s="328" t="str">
        <x:v>FAILED_DISCOVERY</x:v>
      </x:c>
      <x:c r="H48" s="328" t="str">
        <x:v>否</x:v>
      </x:c>
      <x:c r="I48" s="328" t="str">
        <x:v>否</x:v>
      </x:c>
      <x:c r="J48" s="351"/>
      <x:c r="K48" s="351"/>
      <x:c r="L48" s="351"/>
      <x:c r="M48" s="328" t="str">
        <x:v>公开/登录后下载</x:v>
      </x:c>
      <x:c r="N48" s="328" t="str">
        <x:v>OSF 官方项目文件下载</x:v>
      </x:c>
      <x:c r="O48" s="328" t="str">
        <x:v>https://doi.org/10.17605/OSF.IO/R26FH</x:v>
      </x:c>
      <x:c r="P48" s="328" t="str">
        <x:v>03_Consciousness_and_State/Sleep_Staging/ANPHY-Sleep</x:v>
      </x:c>
      <x:c r="Q48" s="329" t="str">
        <x:v>自动下载未完成；人工打开官方入口，确认真实文件链接后再下载。</x:v>
      </x:c>
    </x:row>
    <x:row r="49">
      <x:c r="A49" s="233" t="str">
        <x:v>EEG-0128</x:v>
      </x:c>
      <x:c r="B49" s="328" t="str">
        <x:v>P2</x:v>
      </x:c>
      <x:c r="C49" s="328" t="str">
        <x:v>公开入口·需人工复核</x:v>
      </x:c>
      <x:c r="D49" s="328" t="str">
        <x:v>疾病/临床</x:v>
      </x:c>
      <x:c r="E49" s="328" t="str">
        <x:v>Clinical_Sleep_Disorders</x:v>
      </x:c>
      <x:c r="F49" s="328" t="str">
        <x:v>ISRUC-Sleep</x:v>
      </x:c>
      <x:c r="G49" s="328" t="str">
        <x:v>FAILED_DISCOVERY</x:v>
      </x:c>
      <x:c r="H49" s="328" t="str">
        <x:v>否</x:v>
      </x:c>
      <x:c r="I49" s="328" t="str">
        <x:v>否</x:v>
      </x:c>
      <x:c r="J49" s="351"/>
      <x:c r="K49" s="351"/>
      <x:c r="L49" s="351"/>
      <x:c r="M49" s="328" t="str">
        <x:v>公开/登录后下载</x:v>
      </x:c>
      <x:c r="N49" s="328" t="str">
        <x:v>打开官方入口并按页面说明下载</x:v>
      </x:c>
      <x:c r="O49" s="328" t="str">
        <x:v>https://sleeptight.isr.uc.pt/</x:v>
      </x:c>
      <x:c r="P49" s="328" t="str">
        <x:v>03_Consciousness_and_State/Sleep_Staging/ISRUC-Sleep</x:v>
      </x:c>
      <x:c r="Q49" s="329" t="str">
        <x:v>自动下载未完成；人工打开官方入口，确认真实文件链接后再下载。</x:v>
      </x:c>
    </x:row>
    <x:row r="50">
      <x:c r="A50" s="233" t="str">
        <x:v>EEG-0136</x:v>
      </x:c>
      <x:c r="B50" s="328" t="str">
        <x:v>P2</x:v>
      </x:c>
      <x:c r="C50" s="328" t="str">
        <x:v>公开入口·需人工复核</x:v>
      </x:c>
      <x:c r="D50" s="328" t="str">
        <x:v>疾病/临床</x:v>
      </x:c>
      <x:c r="E50" s="328" t="str">
        <x:v>Clinical_Sleep_and_PSG</x:v>
      </x:c>
      <x:c r="F50" s="328" t="str">
        <x:v>NCHSDB</x:v>
      </x:c>
      <x:c r="G50" s="328" t="str">
        <x:v>FAILED_DISCOVERY</x:v>
      </x:c>
      <x:c r="H50" s="328" t="str">
        <x:v>否</x:v>
      </x:c>
      <x:c r="I50" s="328" t="str">
        <x:v>否</x:v>
      </x:c>
      <x:c r="J50" s="351"/>
      <x:c r="K50" s="351"/>
      <x:c r="L50" s="351"/>
      <x:c r="M50" s="328" t="str">
        <x:v>公开/登录后下载</x:v>
      </x:c>
      <x:c r="N50" s="328" t="str">
        <x:v>PhysioNet：wget -r -N -c -np https://physionet.org/content/nch-sleep/</x:v>
      </x:c>
      <x:c r="O50" s="328" t="str">
        <x:v>https://physionet.org/content/nch-sleep/</x:v>
      </x:c>
      <x:c r="P50" s="328" t="str">
        <x:v>03_Consciousness_and_State/Sleep_Staging/NCHSDB</x:v>
      </x:c>
      <x:c r="Q50" s="329" t="str">
        <x:v>自动下载未完成；人工打开官方入口，确认真实文件链接后再下载。</x:v>
      </x:c>
    </x:row>
    <x:row r="51">
      <x:c r="A51" s="233" t="str">
        <x:v>EEG-0519</x:v>
      </x:c>
      <x:c r="B51" s="328" t="str">
        <x:v>P2</x:v>
      </x:c>
      <x:c r="C51" s="328" t="str">
        <x:v>已申请·等待访问</x:v>
      </x:c>
      <x:c r="D51" s="328" t="str">
        <x:v>健康/人群</x:v>
      </x:c>
      <x:c r="E51" s="328" t="str">
        <x:v>Lifespan_and_Normative</x:v>
      </x:c>
      <x:c r="F51" s="328" t="str">
        <x:v>Cuban Human Brain Mapping Project (CHBMP)</x:v>
      </x:c>
      <x:c r="G51" s="328" t="str">
        <x:v>MANUAL_APPLICATION_OR_LOGIN</x:v>
      </x:c>
      <x:c r="H51" s="328" t="str">
        <x:v>否</x:v>
      </x:c>
      <x:c r="I51" s="328" t="str">
        <x:v>否</x:v>
      </x:c>
      <x:c r="J51" s="351"/>
      <x:c r="K51" s="351"/>
      <x:c r="L51" s="351"/>
      <x:c r="M51" s="328" t="str">
        <x:v>需要申请</x:v>
      </x:c>
      <x:c r="N51" s="328" t="str">
        <x:v>打开官方入口并按页面说明下载</x:v>
      </x:c>
      <x:c r="O51" s="328" t="str">
        <x:v>https://chbmp-open.loris.ca/</x:v>
      </x:c>
      <x:c r="P51" s="328" t="str">
        <x:v>02_Biometrics_and_Disease/Development_and_Lifespan/Cuban_Human_Brain_Mapping_Project_CHBMP</x:v>
      </x:c>
      <x:c r="Q51" s="329" t="str">
        <x:v>CHBMP 已申请账号；等待 LORIS 账户开通。</x:v>
      </x:c>
    </x:row>
    <x:row r="52">
      <x:c r="A52" s="233" t="str">
        <x:v>EEG-0093</x:v>
      </x:c>
      <x:c r="B52" s="328" t="str">
        <x:v>P3</x:v>
      </x:c>
      <x:c r="C52" s="328" t="str">
        <x:v>需要申请/登录</x:v>
      </x:c>
      <x:c r="D52" s="328" t="str">
        <x:v>疾病/临床</x:v>
      </x:c>
      <x:c r="E52" s="328" t="str">
        <x:v>Neurological_Disorders</x:v>
      </x:c>
      <x:c r="F52" s="328" t="str">
        <x:v>PD-Mortality</x:v>
      </x:c>
      <x:c r="G52" s="328" t="str">
        <x:v>MANUAL_APPLICATION_OR_LOGIN</x:v>
      </x:c>
      <x:c r="H52" s="328" t="str">
        <x:v>否</x:v>
      </x:c>
      <x:c r="I52" s="328" t="str">
        <x:v>否</x:v>
      </x:c>
      <x:c r="J52" s="351"/>
      <x:c r="K52" s="351"/>
      <x:c r="L52" s="351"/>
      <x:c r="M52" s="328" t="str">
        <x:v>需要申请</x:v>
      </x:c>
      <x:c r="N52" s="328" t="str">
        <x:v>打开官方入口并按页面说明下载</x:v>
      </x:c>
      <x:c r="O52" s="328" t="str">
        <x:v>https://www.medrxiv.org/content/10.1101/2025.07.07.25331047</x:v>
      </x:c>
      <x:c r="P52" s="328" t="str">
        <x:v>02_Biometrics_and_Disease/Neurological_Disorders/PD-Mortality</x:v>
      </x:c>
      <x:c r="Q52" s="329" t="str">
        <x:v>尚未进入已申请名单；先确认研究价值与审批成本，再决定是否提交。</x:v>
      </x:c>
    </x:row>
    <x:row r="53">
      <x:c r="A53" s="233" t="str">
        <x:v>EEG-0108</x:v>
      </x:c>
      <x:c r="B53" s="328" t="str">
        <x:v>P3</x:v>
      </x:c>
      <x:c r="C53" s="328" t="str">
        <x:v>需要申请/登录</x:v>
      </x:c>
      <x:c r="D53" s="328" t="str">
        <x:v>疾病/临床</x:v>
      </x:c>
      <x:c r="E53" s="328" t="str">
        <x:v>Clinical_Sleep_and_PSG</x:v>
      </x:c>
      <x:c r="F53" s="328" t="str">
        <x:v>ABC</x:v>
      </x:c>
      <x:c r="G53" s="328" t="str">
        <x:v>MANUAL_APPLICATION_OR_LOGIN</x:v>
      </x:c>
      <x:c r="H53" s="328" t="str">
        <x:v>否</x:v>
      </x:c>
      <x:c r="I53" s="328" t="str">
        <x:v>否</x:v>
      </x:c>
      <x:c r="J53" s="351"/>
      <x:c r="K53" s="351"/>
      <x:c r="L53" s="351"/>
      <x:c r="M53" s="328" t="str">
        <x:v>公开/登录后下载</x:v>
      </x:c>
      <x:c r="N53" s="328" t="str">
        <x:v>NSRR：审批后用 nsrr download 或网页批量下载</x:v>
      </x:c>
      <x:c r="O53" s="328" t="str">
        <x:v>https://sleepdata.org/datasets/abc</x:v>
      </x:c>
      <x:c r="P53" s="328" t="str">
        <x:v>03_Consciousness_and_State/Sleep_Staging/ABC</x:v>
      </x:c>
      <x:c r="Q53" s="329" t="str">
        <x:v>尚未进入已申请名单；先确认研究价值与审批成本，再决定是否提交。</x:v>
      </x:c>
    </x:row>
    <x:row r="54">
      <x:c r="A54" s="233" t="str">
        <x:v>EEG-0111</x:v>
      </x:c>
      <x:c r="B54" s="328" t="str">
        <x:v>P3</x:v>
      </x:c>
      <x:c r="C54" s="328" t="str">
        <x:v>需要申请/登录</x:v>
      </x:c>
      <x:c r="D54" s="328" t="str">
        <x:v>疾病/临床</x:v>
      </x:c>
      <x:c r="E54" s="328" t="str">
        <x:v>Clinical_Sleep_and_PSG</x:v>
      </x:c>
      <x:c r="F54" s="328" t="str">
        <x:v>APPLES</x:v>
      </x:c>
      <x:c r="G54" s="328" t="str">
        <x:v>MANUAL_APPLICATION_OR_LOGIN</x:v>
      </x:c>
      <x:c r="H54" s="328" t="str">
        <x:v>否</x:v>
      </x:c>
      <x:c r="I54" s="328" t="str">
        <x:v>否</x:v>
      </x:c>
      <x:c r="J54" s="351"/>
      <x:c r="K54" s="351"/>
      <x:c r="L54" s="351"/>
      <x:c r="M54" s="328" t="str">
        <x:v>公开/登录后下载</x:v>
      </x:c>
      <x:c r="N54" s="328" t="str">
        <x:v>NSRR：审批后用 nsrr download 或网页批量下载</x:v>
      </x:c>
      <x:c r="O54" s="328" t="str">
        <x:v>https://sleepdata.org/datasets/apples</x:v>
      </x:c>
      <x:c r="P54" s="328" t="str">
        <x:v>03_Consciousness_and_State/Sleep_Staging/APPLES</x:v>
      </x:c>
      <x:c r="Q54" s="329" t="str">
        <x:v>尚未进入已申请名单；先确认研究价值与审批成本，再决定是否提交。</x:v>
      </x:c>
    </x:row>
    <x:row r="55">
      <x:c r="A55" s="233" t="str">
        <x:v>EEG-0115</x:v>
      </x:c>
      <x:c r="B55" s="328" t="str">
        <x:v>P3</x:v>
      </x:c>
      <x:c r="C55" s="328" t="str">
        <x:v>需要申请/登录</x:v>
      </x:c>
      <x:c r="D55" s="328" t="str">
        <x:v>健康/人群</x:v>
      </x:c>
      <x:c r="E55" s="328" t="str">
        <x:v>Sleep_Health_and_PSG</x:v>
      </x:c>
      <x:c r="F55" s="328" t="str">
        <x:v>CCSHS</x:v>
      </x:c>
      <x:c r="G55" s="328" t="str">
        <x:v>MANUAL_APPLICATION_OR_LOGIN</x:v>
      </x:c>
      <x:c r="H55" s="328" t="str">
        <x:v>否</x:v>
      </x:c>
      <x:c r="I55" s="328" t="str">
        <x:v>否</x:v>
      </x:c>
      <x:c r="J55" s="351"/>
      <x:c r="K55" s="351"/>
      <x:c r="L55" s="351"/>
      <x:c r="M55" s="328" t="str">
        <x:v>公开/登录后下载</x:v>
      </x:c>
      <x:c r="N55" s="328" t="str">
        <x:v>NSRR：审批后用 nsrr download 或网页批量下载</x:v>
      </x:c>
      <x:c r="O55" s="328" t="str">
        <x:v>https://sleepdata.org/datasets/ccshs</x:v>
      </x:c>
      <x:c r="P55" s="328" t="str">
        <x:v>03_Consciousness_and_State/Sleep_Staging/CCSHS</x:v>
      </x:c>
      <x:c r="Q55" s="329" t="str">
        <x:v>尚未进入已申请名单；先确认研究价值与审批成本，再决定是否提交。</x:v>
      </x:c>
    </x:row>
    <x:row r="56">
      <x:c r="A56" s="233" t="str">
        <x:v>EEG-0116</x:v>
      </x:c>
      <x:c r="B56" s="328" t="str">
        <x:v>P3</x:v>
      </x:c>
      <x:c r="C56" s="328" t="str">
        <x:v>需要申请/登录</x:v>
      </x:c>
      <x:c r="D56" s="328" t="str">
        <x:v>健康/人群</x:v>
      </x:c>
      <x:c r="E56" s="328" t="str">
        <x:v>Family_Sleep_and_SDB</x:v>
      </x:c>
      <x:c r="F56" s="328" t="str">
        <x:v>CFS</x:v>
      </x:c>
      <x:c r="G56" s="328" t="str">
        <x:v>MANUAL_APPLICATION_OR_LOGIN</x:v>
      </x:c>
      <x:c r="H56" s="328" t="str">
        <x:v>否</x:v>
      </x:c>
      <x:c r="I56" s="328" t="str">
        <x:v>否</x:v>
      </x:c>
      <x:c r="J56" s="351"/>
      <x:c r="K56" s="351"/>
      <x:c r="L56" s="351"/>
      <x:c r="M56" s="328" t="str">
        <x:v>公开/登录后下载</x:v>
      </x:c>
      <x:c r="N56" s="328" t="str">
        <x:v>NSRR：审批后用 nsrr download 或网页批量下载</x:v>
      </x:c>
      <x:c r="O56" s="328" t="str">
        <x:v>https://sleepdata.org/datasets/cfs</x:v>
      </x:c>
      <x:c r="P56" s="328" t="str">
        <x:v>03_Consciousness_and_State/Sleep_Staging/CFS</x:v>
      </x:c>
      <x:c r="Q56" s="329" t="str">
        <x:v>尚未进入已申请名单；先确认研究价值与审批成本，再决定是否提交。</x:v>
      </x:c>
    </x:row>
    <x:row r="57">
      <x:c r="A57" s="233" t="str">
        <x:v>EEG-0117</x:v>
      </x:c>
      <x:c r="B57" s="328" t="str">
        <x:v>P3</x:v>
      </x:c>
      <x:c r="C57" s="328" t="str">
        <x:v>需要申请/登录</x:v>
      </x:c>
      <x:c r="D57" s="328" t="str">
        <x:v>疾病/临床</x:v>
      </x:c>
      <x:c r="E57" s="328" t="str">
        <x:v>Clinical_Sleep_and_PSG</x:v>
      </x:c>
      <x:c r="F57" s="328" t="str">
        <x:v>CHAT</x:v>
      </x:c>
      <x:c r="G57" s="328" t="str">
        <x:v>MANUAL_APPLICATION_OR_LOGIN</x:v>
      </x:c>
      <x:c r="H57" s="328" t="str">
        <x:v>否</x:v>
      </x:c>
      <x:c r="I57" s="328" t="str">
        <x:v>否</x:v>
      </x:c>
      <x:c r="J57" s="351"/>
      <x:c r="K57" s="351"/>
      <x:c r="L57" s="351"/>
      <x:c r="M57" s="328" t="str">
        <x:v>需要申请</x:v>
      </x:c>
      <x:c r="N57" s="328" t="str">
        <x:v>NSRR：审批后用 nsrr download 或网页批量下载</x:v>
      </x:c>
      <x:c r="O57" s="328" t="str">
        <x:v>https://sleepdata.org/datasets/chat</x:v>
      </x:c>
      <x:c r="P57" s="328" t="str">
        <x:v>03_Consciousness_and_State/Sleep_Staging/CHAT</x:v>
      </x:c>
      <x:c r="Q57" s="329" t="str">
        <x:v>尚未进入已申请名单；先确认研究价值与审批成本，再决定是否提交。</x:v>
      </x:c>
    </x:row>
    <x:row r="58">
      <x:c r="A58" s="233" t="str">
        <x:v>EEG-0122</x:v>
      </x:c>
      <x:c r="B58" s="328" t="str">
        <x:v>P3</x:v>
      </x:c>
      <x:c r="C58" s="328" t="str">
        <x:v>需要申请/登录</x:v>
      </x:c>
      <x:c r="D58" s="328" t="str">
        <x:v>疾病/临床</x:v>
      </x:c>
      <x:c r="E58" s="328" t="str">
        <x:v>Clinical_Sleep_and_OSA</x:v>
      </x:c>
      <x:c r="F58" s="328" t="str">
        <x:v>Dreem Open Datasets (DOD-H</x:v>
      </x:c>
      <x:c r="G58" s="328" t="str">
        <x:v>MANUAL_APPLICATION_OR_LOGIN</x:v>
      </x:c>
      <x:c r="H58" s="328" t="str">
        <x:v>否</x:v>
      </x:c>
      <x:c r="I58" s="328" t="str">
        <x:v>否</x:v>
      </x:c>
      <x:c r="J58" s="351"/>
      <x:c r="K58" s="351"/>
      <x:c r="L58" s="351"/>
      <x:c r="M58" s="328" t="str">
        <x:v>需要申请</x:v>
      </x:c>
      <x:c r="N58" s="328" t="str">
        <x:v>Zenodo 官方文件下载/API</x:v>
      </x:c>
      <x:c r="O58" s="328" t="str">
        <x:v>https://zenodo.org/records/4498364</x:v>
      </x:c>
      <x:c r="P58" s="328" t="str">
        <x:v>03_Consciousness_and_State/Sleep_Staging/Dreem_Open_Datasets_DOD-H</x:v>
      </x:c>
      <x:c r="Q58" s="329" t="str">
        <x:v>尚未进入已申请名单；先确认研究价值与审批成本，再决定是否提交。</x:v>
      </x:c>
    </x:row>
    <x:row r="59">
      <x:c r="A59" s="233" t="str">
        <x:v>EEG-0126</x:v>
      </x:c>
      <x:c r="B59" s="328" t="str">
        <x:v>P3</x:v>
      </x:c>
      <x:c r="C59" s="328" t="str">
        <x:v>需要申请/登录</x:v>
      </x:c>
      <x:c r="D59" s="328" t="str">
        <x:v>疾病/临床</x:v>
      </x:c>
      <x:c r="E59" s="328" t="str">
        <x:v>Obstructive_Sleep_Apnea</x:v>
      </x:c>
      <x:c r="F59" s="328" t="str">
        <x:v>HomePAP</x:v>
      </x:c>
      <x:c r="G59" s="328" t="str">
        <x:v>MANUAL_APPLICATION_OR_LOGIN</x:v>
      </x:c>
      <x:c r="H59" s="328" t="str">
        <x:v>否</x:v>
      </x:c>
      <x:c r="I59" s="328" t="str">
        <x:v>否</x:v>
      </x:c>
      <x:c r="J59" s="351"/>
      <x:c r="K59" s="351"/>
      <x:c r="L59" s="351"/>
      <x:c r="M59" s="328" t="str">
        <x:v>需要申请</x:v>
      </x:c>
      <x:c r="N59" s="328" t="str">
        <x:v>NSRR：审批后用 nsrr download 或网页批量下载</x:v>
      </x:c>
      <x:c r="O59" s="328" t="str">
        <x:v>[NSRR HomePAP](https://sleepdata.org/datasets/homepap)</x:v>
      </x:c>
      <x:c r="P59" s="328" t="str">
        <x:v>03_Consciousness_and_State/Sleep_Staging/HomePAP</x:v>
      </x:c>
      <x:c r="Q59" s="329" t="str">
        <x:v>尚未进入已申请名单；先确认研究价值与审批成本，再决定是否提交。</x:v>
      </x:c>
    </x:row>
    <x:row r="60">
      <x:c r="A60" s="233" t="str">
        <x:v>EEG-0127</x:v>
      </x:c>
      <x:c r="B60" s="328" t="str">
        <x:v>P3</x:v>
      </x:c>
      <x:c r="C60" s="328" t="str">
        <x:v>需要申请/登录</x:v>
      </x:c>
      <x:c r="D60" s="328" t="str">
        <x:v>疾病/临床</x:v>
      </x:c>
      <x:c r="E60" s="328" t="str">
        <x:v>Clinical_Sleep_and_PSG</x:v>
      </x:c>
      <x:c r="F60" s="328" t="str">
        <x:v>Human Sleep Project (HSP)</x:v>
      </x:c>
      <x:c r="G60" s="328" t="str">
        <x:v>MANUAL_APPLICATION_OR_LOGIN</x:v>
      </x:c>
      <x:c r="H60" s="328" t="str">
        <x:v>否</x:v>
      </x:c>
      <x:c r="I60" s="328" t="str">
        <x:v>否</x:v>
      </x:c>
      <x:c r="J60" s="351"/>
      <x:c r="K60" s="351"/>
      <x:c r="L60" s="351"/>
      <x:c r="M60" s="328" t="str">
        <x:v>需要申请</x:v>
      </x:c>
      <x:c r="N60" s="328" t="str">
        <x:v>BDSP：完成 credentialing/DUA 后使用 credentialed AWS CLI</x:v>
      </x:c>
      <x:c r="O60" s="328" t="str">
        <x:v>https://bdsp.io/content/hsp/</x:v>
      </x:c>
      <x:c r="P60" s="328" t="str">
        <x:v>03_Consciousness_and_State/Sleep_Staging/Human_Sleep_Project_HSP</x:v>
      </x:c>
      <x:c r="Q60" s="329" t="str">
        <x:v>尚未进入已申请名单；先确认研究价值与审批成本，再决定是否提交。</x:v>
      </x:c>
    </x:row>
    <x:row r="61">
      <x:c r="A61" s="233" t="str">
        <x:v>EEG-0130</x:v>
      </x:c>
      <x:c r="B61" s="328" t="str">
        <x:v>P3</x:v>
      </x:c>
      <x:c r="C61" s="328" t="str">
        <x:v>需要申请/登录</x:v>
      </x:c>
      <x:c r="D61" s="328" t="str">
        <x:v>健康/人群</x:v>
      </x:c>
      <x:c r="E61" s="328" t="str">
        <x:v>Sleep_Staging_and_Microarousals</x:v>
      </x:c>
      <x:c r="F61" s="328" t="str">
        <x:v>MASS</x:v>
      </x:c>
      <x:c r="G61" s="328" t="str">
        <x:v>MANUAL_APPLICATION_OR_LOGIN</x:v>
      </x:c>
      <x:c r="H61" s="328" t="str">
        <x:v>否</x:v>
      </x:c>
      <x:c r="I61" s="328" t="str">
        <x:v>否</x:v>
      </x:c>
      <x:c r="J61" s="351"/>
      <x:c r="K61" s="351"/>
      <x:c r="L61" s="351"/>
      <x:c r="M61" s="328" t="str">
        <x:v>公开/登录后下载</x:v>
      </x:c>
      <x:c r="N61" s="328" t="str">
        <x:v>打开官方入口并按页面说明下载</x:v>
      </x:c>
      <x:c r="O61" s="328" t="str">
        <x:v>http://ceams-carsm.ca/mass/</x:v>
      </x:c>
      <x:c r="P61" s="328" t="str">
        <x:v>03_Consciousness_and_State/Sleep_Staging/MASS</x:v>
      </x:c>
      <x:c r="Q61" s="329" t="str">
        <x:v>尚未进入已申请名单；先确认研究价值与审批成本，再决定是否提交。</x:v>
      </x:c>
    </x:row>
    <x:row r="62">
      <x:c r="A62" s="233" t="str">
        <x:v>EEG-0131</x:v>
      </x:c>
      <x:c r="B62" s="328" t="str">
        <x:v>P3</x:v>
      </x:c>
      <x:c r="C62" s="328" t="str">
        <x:v>需要申请/登录</x:v>
      </x:c>
      <x:c r="D62" s="328" t="str">
        <x:v>疾病/临床</x:v>
      </x:c>
      <x:c r="E62" s="328" t="str">
        <x:v>Clinical_Sleep_and_PSG</x:v>
      </x:c>
      <x:c r="F62" s="328" t="str">
        <x:v>MORGOTH BCH-PSG</x:v>
      </x:c>
      <x:c r="G62" s="328" t="str">
        <x:v>MANUAL_APPLICATION_OR_LOGIN</x:v>
      </x:c>
      <x:c r="H62" s="328" t="str">
        <x:v>否</x:v>
      </x:c>
      <x:c r="I62" s="328" t="str">
        <x:v>否</x:v>
      </x:c>
      <x:c r="J62" s="351"/>
      <x:c r="K62" s="351"/>
      <x:c r="L62" s="351"/>
      <x:c r="M62" s="328" t="str">
        <x:v>公开/登录后下载</x:v>
      </x:c>
      <x:c r="N62" s="328" t="str">
        <x:v>BDSP：完成 credentialing/DUA 后使用 credentialed AWS CLI</x:v>
      </x:c>
      <x:c r="O62" s="328" t="str">
        <x:v>https://bdsp.io/content/morgoth1/1.0.0/</x:v>
      </x:c>
      <x:c r="P62" s="328" t="str">
        <x:v>03_Consciousness_and_State/Sleep_Staging/MORGOTH_BCH-PSG</x:v>
      </x:c>
      <x:c r="Q62" s="329" t="str">
        <x:v>尚未进入已申请名单；先确认研究价值与审批成本，再决定是否提交。</x:v>
      </x:c>
    </x:row>
    <x:row r="63">
      <x:c r="A63" s="233" t="str">
        <x:v>EEG-0132</x:v>
      </x:c>
      <x:c r="B63" s="328" t="str">
        <x:v>P3</x:v>
      </x:c>
      <x:c r="C63" s="328" t="str">
        <x:v>需要申请/登录</x:v>
      </x:c>
      <x:c r="D63" s="328" t="str">
        <x:v>疾病/临床</x:v>
      </x:c>
      <x:c r="E63" s="328" t="str">
        <x:v>Clinical_Sleep_and_PSG</x:v>
      </x:c>
      <x:c r="F63" s="328" t="str">
        <x:v>MORGOTH MGH-PSG-Test</x:v>
      </x:c>
      <x:c r="G63" s="328" t="str">
        <x:v>MANUAL_APPLICATION_OR_LOGIN</x:v>
      </x:c>
      <x:c r="H63" s="328" t="str">
        <x:v>否</x:v>
      </x:c>
      <x:c r="I63" s="328" t="str">
        <x:v>否</x:v>
      </x:c>
      <x:c r="J63" s="351"/>
      <x:c r="K63" s="351"/>
      <x:c r="L63" s="351"/>
      <x:c r="M63" s="328" t="str">
        <x:v>公开/登录后下载</x:v>
      </x:c>
      <x:c r="N63" s="328" t="str">
        <x:v>BDSP：完成 credentialing/DUA 后使用 credentialed AWS CLI</x:v>
      </x:c>
      <x:c r="O63" s="328" t="str">
        <x:v>https://bdsp.io/content/morgoth1/1.0.0/</x:v>
      </x:c>
      <x:c r="P63" s="328" t="str">
        <x:v>03_Consciousness_and_State/Sleep_Staging/MORGOTH_MGH-PSG-Test</x:v>
      </x:c>
      <x:c r="Q63" s="329" t="str">
        <x:v>尚未进入已申请名单；先确认研究价值与审批成本，再决定是否提交。</x:v>
      </x:c>
    </x:row>
    <x:row r="64">
      <x:c r="A64" s="233" t="str">
        <x:v>EEG-0133</x:v>
      </x:c>
      <x:c r="B64" s="328" t="str">
        <x:v>P3</x:v>
      </x:c>
      <x:c r="C64" s="328" t="str">
        <x:v>需要申请/登录</x:v>
      </x:c>
      <x:c r="D64" s="328" t="str">
        <x:v>疾病/临床</x:v>
      </x:c>
      <x:c r="E64" s="328" t="str">
        <x:v>Clinical_Sleep_and_PSG</x:v>
      </x:c>
      <x:c r="F64" s="328" t="str">
        <x:v>MORGOTH MGH-PSG-Train</x:v>
      </x:c>
      <x:c r="G64" s="328" t="str">
        <x:v>MANUAL_APPLICATION_OR_LOGIN</x:v>
      </x:c>
      <x:c r="H64" s="328" t="str">
        <x:v>否</x:v>
      </x:c>
      <x:c r="I64" s="328" t="str">
        <x:v>否</x:v>
      </x:c>
      <x:c r="J64" s="351"/>
      <x:c r="K64" s="351"/>
      <x:c r="L64" s="351"/>
      <x:c r="M64" s="328" t="str">
        <x:v>公开/登录后下载</x:v>
      </x:c>
      <x:c r="N64" s="328" t="str">
        <x:v>BDSP：完成 credentialing/DUA 后使用 credentialed AWS CLI</x:v>
      </x:c>
      <x:c r="O64" s="328" t="str">
        <x:v>https://bdsp.io/content/morgoth1/1.0.0/</x:v>
      </x:c>
      <x:c r="P64" s="328" t="str">
        <x:v>03_Consciousness_and_State/Sleep_Staging/MORGOTH_MGH-PSG-Train</x:v>
      </x:c>
      <x:c r="Q64" s="329" t="str">
        <x:v>尚未进入已申请名单；先确认研究价值与审批成本，再决定是否提交。</x:v>
      </x:c>
    </x:row>
    <x:row r="65">
      <x:c r="A65" s="233" t="str">
        <x:v>EEG-0134</x:v>
      </x:c>
      <x:c r="B65" s="328" t="str">
        <x:v>P3</x:v>
      </x:c>
      <x:c r="C65" s="328" t="str">
        <x:v>需要申请/登录</x:v>
      </x:c>
      <x:c r="D65" s="328" t="str">
        <x:v>疾病/临床</x:v>
      </x:c>
      <x:c r="E65" s="328" t="str">
        <x:v>Clinical_Sleep_and_PSG</x:v>
      </x:c>
      <x:c r="F65" s="328" t="str">
        <x:v>MORGOTH UPenn PSG</x:v>
      </x:c>
      <x:c r="G65" s="328" t="str">
        <x:v>MANUAL_APPLICATION_OR_LOGIN</x:v>
      </x:c>
      <x:c r="H65" s="328" t="str">
        <x:v>否</x:v>
      </x:c>
      <x:c r="I65" s="328" t="str">
        <x:v>否</x:v>
      </x:c>
      <x:c r="J65" s="351"/>
      <x:c r="K65" s="351"/>
      <x:c r="L65" s="351"/>
      <x:c r="M65" s="328" t="str">
        <x:v>公开/登录后下载</x:v>
      </x:c>
      <x:c r="N65" s="328" t="str">
        <x:v>BDSP：完成 credentialing/DUA 后使用 credentialed AWS CLI</x:v>
      </x:c>
      <x:c r="O65" s="328" t="str">
        <x:v>https://bdsp.io/content/morgoth1/1.0.0/</x:v>
      </x:c>
      <x:c r="P65" s="328" t="str">
        <x:v>03_Consciousness_and_State/Sleep_Staging/MORGOTH_UPenn_PSG</x:v>
      </x:c>
      <x:c r="Q65" s="329" t="str">
        <x:v>尚未进入已申请名单；先确认研究价值与审批成本，再决定是否提交。</x:v>
      </x:c>
    </x:row>
    <x:row r="66">
      <x:c r="A66" s="233" t="str">
        <x:v>EEG-0135</x:v>
      </x:c>
      <x:c r="B66" s="328" t="str">
        <x:v>P3</x:v>
      </x:c>
      <x:c r="C66" s="328" t="str">
        <x:v>需要申请/登录</x:v>
      </x:c>
      <x:c r="D66" s="328" t="str">
        <x:v>健康/人群</x:v>
      </x:c>
      <x:c r="E66" s="328" t="str">
        <x:v>Aging_and_Sleep</x:v>
      </x:c>
      <x:c r="F66" s="328" t="str">
        <x:v>MrOS Sleep</x:v>
      </x:c>
      <x:c r="G66" s="328" t="str">
        <x:v>MANUAL_APPLICATION_OR_LOGIN</x:v>
      </x:c>
      <x:c r="H66" s="328" t="str">
        <x:v>否</x:v>
      </x:c>
      <x:c r="I66" s="328" t="str">
        <x:v>否</x:v>
      </x:c>
      <x:c r="J66" s="351"/>
      <x:c r="K66" s="351"/>
      <x:c r="L66" s="351"/>
      <x:c r="M66" s="328" t="str">
        <x:v>公开/登录后下载</x:v>
      </x:c>
      <x:c r="N66" s="328" t="str">
        <x:v>NSRR：审批后用 nsrr download 或网页批量下载</x:v>
      </x:c>
      <x:c r="O66" s="328" t="str">
        <x:v>[NSRR MrOS](https://sleepdata.org/datasets/mros)</x:v>
      </x:c>
      <x:c r="P66" s="328" t="str">
        <x:v>03_Consciousness_and_State/Sleep_Staging/MrOS_Sleep</x:v>
      </x:c>
      <x:c r="Q66" s="329" t="str">
        <x:v>尚未进入已申请名单；先确认研究价值与审批成本，再决定是否提交。</x:v>
      </x:c>
    </x:row>
    <x:row r="67">
      <x:c r="A67" s="233" t="str">
        <x:v>EEG-0137</x:v>
      </x:c>
      <x:c r="B67" s="328" t="str">
        <x:v>P3</x:v>
      </x:c>
      <x:c r="C67" s="328" t="str">
        <x:v>需要申请/登录</x:v>
      </x:c>
      <x:c r="D67" s="328" t="str">
        <x:v>健康/人群</x:v>
      </x:c>
      <x:c r="E67" s="328" t="str">
        <x:v>Sleep_Health_and_PSG</x:v>
      </x:c>
      <x:c r="F67" s="328" t="str">
        <x:v>NFS</x:v>
      </x:c>
      <x:c r="G67" s="328" t="str">
        <x:v>MANUAL_APPLICATION_OR_LOGIN</x:v>
      </x:c>
      <x:c r="H67" s="328" t="str">
        <x:v>否</x:v>
      </x:c>
      <x:c r="I67" s="328" t="str">
        <x:v>否</x:v>
      </x:c>
      <x:c r="J67" s="351"/>
      <x:c r="K67" s="351"/>
      <x:c r="L67" s="351"/>
      <x:c r="M67" s="328" t="str">
        <x:v>需要申请</x:v>
      </x:c>
      <x:c r="N67" s="328" t="str">
        <x:v>NSRR：审批后用 nsrr download 或网页批量下载</x:v>
      </x:c>
      <x:c r="O67" s="328" t="str">
        <x:v>https://sleepdata.org/datasets/nfs</x:v>
      </x:c>
      <x:c r="P67" s="328" t="str">
        <x:v>03_Consciousness_and_State/Sleep_Staging/NFS</x:v>
      </x:c>
      <x:c r="Q67" s="329" t="str">
        <x:v>尚未进入已申请名单；先确认研究价值与审批成本，再决定是否提交。</x:v>
      </x:c>
    </x:row>
    <x:row r="68">
      <x:c r="A68" s="233" t="str">
        <x:v>EEG-0141</x:v>
      </x:c>
      <x:c r="B68" s="328" t="str">
        <x:v>P3</x:v>
      </x:c>
      <x:c r="C68" s="328" t="str">
        <x:v>需要申请/登录</x:v>
      </x:c>
      <x:c r="D68" s="328" t="str">
        <x:v>健康/人群</x:v>
      </x:c>
      <x:c r="E68" s="328" t="str">
        <x:v>Sleep_Health_and_PSG</x:v>
      </x:c>
      <x:c r="F68" s="328" t="str">
        <x:v>SEED-SD</x:v>
      </x:c>
      <x:c r="G68" s="328" t="str">
        <x:v>MANUAL_APPLICATION_OR_LOGIN</x:v>
      </x:c>
      <x:c r="H68" s="328" t="str">
        <x:v>否</x:v>
      </x:c>
      <x:c r="I68" s="328" t="str">
        <x:v>否</x:v>
      </x:c>
      <x:c r="J68" s="351"/>
      <x:c r="K68" s="351"/>
      <x:c r="L68" s="351"/>
      <x:c r="M68" s="328" t="str">
        <x:v>公开/登录后下载</x:v>
      </x:c>
      <x:c r="N68" s="328" t="str">
        <x:v>打开官方入口并按页面说明下载</x:v>
      </x:c>
      <x:c r="O68" s="328" t="str">
        <x:v>https://bcmi.sjtu.edu.cn/home/seed/seed-SD.html</x:v>
      </x:c>
      <x:c r="P68" s="328" t="str">
        <x:v>03_Consciousness_and_State/Sleep_Staging/SEED-SD</x:v>
      </x:c>
      <x:c r="Q68" s="329" t="str">
        <x:v>尚未进入已申请名单；先确认研究价值与审批成本，再决定是否提交。</x:v>
      </x:c>
    </x:row>
    <x:row r="69">
      <x:c r="A69" s="233" t="str">
        <x:v>EEG-0142</x:v>
      </x:c>
      <x:c r="B69" s="328" t="str">
        <x:v>P3</x:v>
      </x:c>
      <x:c r="C69" s="328" t="str">
        <x:v>需要申请/登录</x:v>
      </x:c>
      <x:c r="D69" s="328" t="str">
        <x:v>健康/人群</x:v>
      </x:c>
      <x:c r="E69" s="328" t="str">
        <x:v>Population_Sleep_Health</x:v>
      </x:c>
      <x:c r="F69" s="328" t="str">
        <x:v>SHHS</x:v>
      </x:c>
      <x:c r="G69" s="328" t="str">
        <x:v>MANUAL_APPLICATION_OR_LOGIN</x:v>
      </x:c>
      <x:c r="H69" s="328" t="str">
        <x:v>否</x:v>
      </x:c>
      <x:c r="I69" s="328" t="str">
        <x:v>否</x:v>
      </x:c>
      <x:c r="J69" s="351"/>
      <x:c r="K69" s="351"/>
      <x:c r="L69" s="351"/>
      <x:c r="M69" s="328" t="str">
        <x:v>公开/登录后下载</x:v>
      </x:c>
      <x:c r="N69" s="328" t="str">
        <x:v>NSRR：审批后用 nsrr download 或网页批量下载</x:v>
      </x:c>
      <x:c r="O69" s="328" t="str">
        <x:v>https://sleepdata.org/datasets/shhs</x:v>
      </x:c>
      <x:c r="P69" s="328" t="str">
        <x:v>03_Consciousness_and_State/Sleep_Staging/SHHS</x:v>
      </x:c>
      <x:c r="Q69" s="329" t="str">
        <x:v>尚未进入已申请名单；先确认研究价值与审批成本，再决定是否提交。</x:v>
      </x:c>
    </x:row>
    <x:row r="70">
      <x:c r="A70" s="233" t="str">
        <x:v>EEG-0145</x:v>
      </x:c>
      <x:c r="B70" s="328" t="str">
        <x:v>P3</x:v>
      </x:c>
      <x:c r="C70" s="328" t="str">
        <x:v>需要申请/登录</x:v>
      </x:c>
      <x:c r="D70" s="328" t="str">
        <x:v>健康/人群</x:v>
      </x:c>
      <x:c r="E70" s="328" t="str">
        <x:v>Sleep_Health_and_PSG</x:v>
      </x:c>
      <x:c r="F70" s="328" t="str">
        <x:v>SOF</x:v>
      </x:c>
      <x:c r="G70" s="328" t="str">
        <x:v>MANUAL_APPLICATION_OR_LOGIN</x:v>
      </x:c>
      <x:c r="H70" s="328" t="str">
        <x:v>否</x:v>
      </x:c>
      <x:c r="I70" s="328" t="str">
        <x:v>否</x:v>
      </x:c>
      <x:c r="J70" s="351"/>
      <x:c r="K70" s="351"/>
      <x:c r="L70" s="351"/>
      <x:c r="M70" s="328" t="str">
        <x:v>公开/登录后下载</x:v>
      </x:c>
      <x:c r="N70" s="328" t="str">
        <x:v>NSRR：审批后用 nsrr download 或网页批量下载</x:v>
      </x:c>
      <x:c r="O70" s="328" t="str">
        <x:v>https://sleepdata.org/datasets/sof</x:v>
      </x:c>
      <x:c r="P70" s="328" t="str">
        <x:v>03_Consciousness_and_State/Sleep_Staging/SOF</x:v>
      </x:c>
      <x:c r="Q70" s="329" t="str">
        <x:v>尚未进入已申请名单；先确认研究价值与审批成本，再决定是否提交。</x:v>
      </x:c>
    </x:row>
    <x:row r="71">
      <x:c r="A71" s="233" t="str">
        <x:v>EEG-0148</x:v>
      </x:c>
      <x:c r="B71" s="328" t="str">
        <x:v>P3</x:v>
      </x:c>
      <x:c r="C71" s="328" t="str">
        <x:v>需要申请/登录</x:v>
      </x:c>
      <x:c r="D71" s="328" t="str">
        <x:v>健康/人群</x:v>
      </x:c>
      <x:c r="E71" s="328" t="str">
        <x:v>Population_Sleep_Health</x:v>
      </x:c>
      <x:c r="F71" s="328" t="str">
        <x:v>WSC</x:v>
      </x:c>
      <x:c r="G71" s="328" t="str">
        <x:v>MANUAL_APPLICATION_OR_LOGIN</x:v>
      </x:c>
      <x:c r="H71" s="328" t="str">
        <x:v>否</x:v>
      </x:c>
      <x:c r="I71" s="328" t="str">
        <x:v>否</x:v>
      </x:c>
      <x:c r="J71" s="351"/>
      <x:c r="K71" s="351"/>
      <x:c r="L71" s="351"/>
      <x:c r="M71" s="328" t="str">
        <x:v>公开/登录后下载</x:v>
      </x:c>
      <x:c r="N71" s="328" t="str">
        <x:v>NSRR：审批后用 nsrr download 或网页批量下载</x:v>
      </x:c>
      <x:c r="O71" s="328" t="str">
        <x:v>https://sleepdata.org/datasets/wsc</x:v>
      </x:c>
      <x:c r="P71" s="328" t="str">
        <x:v>03_Consciousness_and_State/Sleep_Staging/WSC</x:v>
      </x:c>
      <x:c r="Q71" s="329" t="str">
        <x:v>尚未进入已申请名单；先确认研究价值与审批成本，再决定是否提交。</x:v>
      </x:c>
    </x:row>
    <x:row r="72">
      <x:c r="A72" s="233" t="str">
        <x:v>EEG-0587</x:v>
      </x:c>
      <x:c r="B72" s="328" t="str">
        <x:v>P3</x:v>
      </x:c>
      <x:c r="C72" s="328" t="str">
        <x:v>需要申请/登录</x:v>
      </x:c>
      <x:c r="D72" s="328" t="str">
        <x:v>健康/人群</x:v>
      </x:c>
      <x:c r="E72" s="328" t="str">
        <x:v>睡眠与流行病学</x:v>
      </x:c>
      <x:c r="F72" s="328" t="str">
        <x:v>HCHS/SOL Polysomnography</x:v>
      </x:c>
      <x:c r="G72" s="328" t="str">
        <x:v>NOT_IN_SERVER_AUDIT</x:v>
      </x:c>
      <x:c r="H72" s="328" t="str">
        <x:v>否</x:v>
      </x:c>
      <x:c r="I72" s="328" t="str">
        <x:v>否</x:v>
      </x:c>
      <x:c r="J72" s="351"/>
      <x:c r="K72" s="351"/>
      <x:c r="L72" s="351"/>
      <x:c r="M72" s="328" t="str">
        <x:v>需要申请</x:v>
      </x:c>
      <x:c r="N72" s="328" t="str">
        <x:v>NSRR：审批后用 nsrr download 或网页批量下载</x:v>
      </x:c>
      <x:c r="O72" s="328" t="str">
        <x:v>https://sleepdata.org/datasets/hchs</x:v>
      </x:c>
      <x:c r="P72" s="328" t="str">
        <x:v>08_Health_and_Population/Population_Sleep_Health/HCHS_SOL</x:v>
      </x:c>
      <x:c r="Q72" s="329" t="str">
        <x:v>尚未进入已申请名单；先确认研究价值与审批成本，再决定是否提交。</x:v>
      </x:c>
    </x:row>
    <x:row r="73">
      <x:c r="A73" s="233" t="str">
        <x:v>EEG-0588</x:v>
      </x:c>
      <x:c r="B73" s="328" t="str">
        <x:v>P3</x:v>
      </x:c>
      <x:c r="C73" s="328" t="str">
        <x:v>需要申请/登录</x:v>
      </x:c>
      <x:c r="D73" s="328" t="str">
        <x:v>健康/人群</x:v>
      </x:c>
      <x:c r="E73" s="328" t="str">
        <x:v>衰老与痴呆风险</x:v>
      </x:c>
      <x:c r="F73" s="328" t="str">
        <x:v>HAASSA</x:v>
      </x:c>
      <x:c r="G73" s="328" t="str">
        <x:v>NOT_IN_SERVER_AUDIT</x:v>
      </x:c>
      <x:c r="H73" s="328" t="str">
        <x:v>否</x:v>
      </x:c>
      <x:c r="I73" s="328" t="str">
        <x:v>否</x:v>
      </x:c>
      <x:c r="J73" s="351"/>
      <x:c r="K73" s="351"/>
      <x:c r="L73" s="351"/>
      <x:c r="M73" s="328" t="str">
        <x:v>需要申请</x:v>
      </x:c>
      <x:c r="N73" s="328" t="str">
        <x:v>NSRR：审批后用 nsrr download 或网页批量下载</x:v>
      </x:c>
      <x:c r="O73" s="328" t="str">
        <x:v>https://sleepdata.org/datasets/haassa</x:v>
      </x:c>
      <x:c r="P73" s="328" t="str">
        <x:v>08_Health_and_Population/Aging_and_Dementia_Risk/HAASSA</x:v>
      </x:c>
      <x:c r="Q73" s="329" t="str">
        <x:v>尚未进入已申请名单；先确认研究价值与审批成本，再决定是否提交。</x:v>
      </x:c>
    </x:row>
    <x:row r="74">
      <x:c r="A74" s="233" t="str">
        <x:v>EEG-0589</x:v>
      </x:c>
      <x:c r="B74" s="328" t="str">
        <x:v>P3</x:v>
      </x:c>
      <x:c r="C74" s="328" t="str">
        <x:v>需要申请/登录</x:v>
      </x:c>
      <x:c r="D74" s="328" t="str">
        <x:v>健康/人群</x:v>
      </x:c>
      <x:c r="E74" s="328" t="str">
        <x:v>睡眠呼吸风险</x:v>
      </x:c>
      <x:c r="F74" s="328" t="str">
        <x:v>ApoE Sleep Disordered Breathing</x:v>
      </x:c>
      <x:c r="G74" s="328" t="str">
        <x:v>NOT_IN_SERVER_AUDIT</x:v>
      </x:c>
      <x:c r="H74" s="328" t="str">
        <x:v>否</x:v>
      </x:c>
      <x:c r="I74" s="328" t="str">
        <x:v>否</x:v>
      </x:c>
      <x:c r="J74" s="351"/>
      <x:c r="K74" s="351"/>
      <x:c r="L74" s="351"/>
      <x:c r="M74" s="328" t="str">
        <x:v>需要申请</x:v>
      </x:c>
      <x:c r="N74" s="328" t="str">
        <x:v>NSRR：审批后用 nsrr download 或网页批量下载</x:v>
      </x:c>
      <x:c r="O74" s="328" t="str">
        <x:v>https://sleepdata.org/datasets/apoe</x:v>
      </x:c>
      <x:c r="P74" s="328" t="str">
        <x:v>08_Health_and_Population/Sleep_Disordered_Breathing_Risk/ApoE</x:v>
      </x:c>
      <x:c r="Q74" s="329" t="str">
        <x:v>尚未进入已申请名单；先确认研究价值与审批成本，再决定是否提交。</x:v>
      </x:c>
    </x:row>
    <x:row r="75">
      <x:c r="A75" s="233" t="str">
        <x:v>EEG-0590</x:v>
      </x:c>
      <x:c r="B75" s="328" t="str">
        <x:v>P3</x:v>
      </x:c>
      <x:c r="C75" s="328" t="str">
        <x:v>需要申请/登录</x:v>
      </x:c>
      <x:c r="D75" s="328" t="str">
        <x:v>健康/人群</x:v>
      </x:c>
      <x:c r="E75" s="328" t="str">
        <x:v>孕产妇健康</x:v>
      </x:c>
      <x:c r="F75" s="328" t="str">
        <x:v>nuMoM2b Sleep Breathing Substudy</x:v>
      </x:c>
      <x:c r="G75" s="328" t="str">
        <x:v>NOT_IN_SERVER_AUDIT</x:v>
      </x:c>
      <x:c r="H75" s="328" t="str">
        <x:v>否</x:v>
      </x:c>
      <x:c r="I75" s="328" t="str">
        <x:v>否</x:v>
      </x:c>
      <x:c r="J75" s="351"/>
      <x:c r="K75" s="351"/>
      <x:c r="L75" s="351"/>
      <x:c r="M75" s="328" t="str">
        <x:v>需要申请</x:v>
      </x:c>
      <x:c r="N75" s="328" t="str">
        <x:v>NSRR：审批后用 nsrr download 或网页批量下载</x:v>
      </x:c>
      <x:c r="O75" s="328" t="str">
        <x:v>https://sleepdata.org/datasets/numom2b</x:v>
      </x:c>
      <x:c r="P75" s="328" t="str">
        <x:v>08_Health_and_Population/Maternal_and_Pregnancy_Health/NUMOM2B</x:v>
      </x:c>
      <x:c r="Q75" s="329" t="str">
        <x:v>尚未进入已申请名单；先确认研究价值与审批成本，再决定是否提交。</x:v>
      </x:c>
    </x:row>
    <x:row r="76">
      <x:c r="A76" s="233" t="str">
        <x:v>EEG-0591</x:v>
      </x:c>
      <x:c r="B76" s="328" t="str">
        <x:v>P3</x:v>
      </x:c>
      <x:c r="C76" s="328" t="str">
        <x:v>需要申请/登录</x:v>
      </x:c>
      <x:c r="D76" s="328" t="str">
        <x:v>疾病/临床</x:v>
      </x:c>
      <x:c r="E76" s="328" t="str">
        <x:v>睡眠疾病/发作性睡病</x:v>
      </x:c>
      <x:c r="F76" s="328" t="str">
        <x:v>Mignot Nature Communications (MNC)</x:v>
      </x:c>
      <x:c r="G76" s="328" t="str">
        <x:v>NOT_IN_SERVER_AUDIT</x:v>
      </x:c>
      <x:c r="H76" s="328" t="str">
        <x:v>否</x:v>
      </x:c>
      <x:c r="I76" s="328" t="str">
        <x:v>否</x:v>
      </x:c>
      <x:c r="J76" s="351"/>
      <x:c r="K76" s="351"/>
      <x:c r="L76" s="351"/>
      <x:c r="M76" s="328" t="str">
        <x:v>需要申请</x:v>
      </x:c>
      <x:c r="N76" s="328" t="str">
        <x:v>NSRR：审批后用 nsrr download 或网页批量下载</x:v>
      </x:c>
      <x:c r="O76" s="328" t="str">
        <x:v>https://sleepdata.org/datasets/mnc</x:v>
      </x:c>
      <x:c r="P76" s="328" t="str">
        <x:v>02_Healthcare_and_Disease/Sleep_and_Narcolepsy/MNC</x:v>
      </x:c>
      <x:c r="Q76" s="329" t="str">
        <x:v>尚未进入已申请名单；先确认研究价值与审批成本，再决定是否提交。</x:v>
      </x:c>
    </x:row>
    <x:row r="77">
      <x:c r="A77" s="233" t="str">
        <x:v>EEG-0592</x:v>
      </x:c>
      <x:c r="B77" s="328" t="str">
        <x:v>P3</x:v>
      </x:c>
      <x:c r="C77" s="328" t="str">
        <x:v>需要申请/登录</x:v>
      </x:c>
      <x:c r="D77" s="328" t="str">
        <x:v>疾病/临床</x:v>
      </x:c>
      <x:c r="E77" s="328" t="str">
        <x:v>临床睡眠障碍</x:v>
      </x:c>
      <x:c r="F77" s="328" t="str">
        <x:v>Comprehensive Polysomnography (CPS)</x:v>
      </x:c>
      <x:c r="G77" s="328" t="str">
        <x:v>NOT_IN_SERVER_AUDIT</x:v>
      </x:c>
      <x:c r="H77" s="328" t="str">
        <x:v>否</x:v>
      </x:c>
      <x:c r="I77" s="328" t="str">
        <x:v>否</x:v>
      </x:c>
      <x:c r="J77" s="351"/>
      <x:c r="K77" s="351"/>
      <x:c r="L77" s="351"/>
      <x:c r="M77" s="328" t="str">
        <x:v>需要申请</x:v>
      </x:c>
      <x:c r="N77" s="328" t="str">
        <x:v>PhysioNet：wget -r -N -c -np https://physionet.org/content/cps-dataset-sleep/1.0.0/</x:v>
      </x:c>
      <x:c r="O77" s="328" t="str">
        <x:v>https://physionet.org/content/cps-dataset-sleep/1.0.0/</x:v>
      </x:c>
      <x:c r="P77" s="328" t="str">
        <x:v>02_Healthcare_and_Disease/Clinical_Sleep_Disorders/CPS</x:v>
      </x:c>
      <x:c r="Q77" s="329" t="str">
        <x:v>尚未进入已申请名单；先确认研究价值与审批成本，再决定是否提交。</x:v>
      </x:c>
    </x:row>
    <x:row r="78">
      <x:c r="A78" s="233" t="str">
        <x:v>EEG-0593</x:v>
      </x:c>
      <x:c r="B78" s="328" t="str">
        <x:v>P3</x:v>
      </x:c>
      <x:c r="C78" s="328" t="str">
        <x:v>需要申请/登录</x:v>
      </x:c>
      <x:c r="D78" s="328" t="str">
        <x:v>疾病/临床</x:v>
      </x:c>
      <x:c r="E78" s="328" t="str">
        <x:v>心衰与中枢性睡眠呼吸暂停</x:v>
      </x:c>
      <x:c r="F78" s="328" t="str">
        <x:v>LOFT-HF</x:v>
      </x:c>
      <x:c r="G78" s="328" t="str">
        <x:v>NOT_IN_SERVER_AUDIT</x:v>
      </x:c>
      <x:c r="H78" s="328" t="str">
        <x:v>否</x:v>
      </x:c>
      <x:c r="I78" s="328" t="str">
        <x:v>否</x:v>
      </x:c>
      <x:c r="J78" s="351"/>
      <x:c r="K78" s="351"/>
      <x:c r="L78" s="351"/>
      <x:c r="M78" s="328" t="str">
        <x:v>需要申请</x:v>
      </x:c>
      <x:c r="N78" s="328" t="str">
        <x:v>NSRR：审批后用 nsrr download 或网页批量下载</x:v>
      </x:c>
      <x:c r="O78" s="328" t="str">
        <x:v>https://sleepdata.org/datasets/lofthf</x:v>
      </x:c>
      <x:c r="P78" s="328" t="str">
        <x:v>02_Healthcare_and_Disease/Cardiovascular_and_Sleep_Disorders/LOFT_HF</x:v>
      </x:c>
      <x:c r="Q78" s="329" t="str">
        <x:v>尚未进入已申请名单；先确认研究价值与审批成本，再决定是否提交。</x:v>
      </x:c>
    </x:row>
    <x:row r="79">
      <x:c r="A79" s="233" t="str">
        <x:v>EEG-0605</x:v>
      </x:c>
      <x:c r="B79" s="328" t="str">
        <x:v>P3</x:v>
      </x:c>
      <x:c r="C79" s="328" t="str">
        <x:v>需要申请/登录</x:v>
      </x:c>
      <x:c r="D79" s="328" t="str">
        <x:v>疾病/临床</x:v>
      </x:c>
      <x:c r="E79" s="328" t="str">
        <x:v>Clinical_Sleep_Disorders</x:v>
      </x:c>
      <x:c r="F79" s="328" t="str">
        <x:v>STAGES</x:v>
      </x:c>
      <x:c r="G79" s="328" t="str">
        <x:v>NOT_IN_SERVER_AUDIT</x:v>
      </x:c>
      <x:c r="H79" s="328" t="str">
        <x:v>否</x:v>
      </x:c>
      <x:c r="I79" s="328" t="str">
        <x:v>否</x:v>
      </x:c>
      <x:c r="J79" s="351"/>
      <x:c r="K79" s="351"/>
      <x:c r="L79" s="351"/>
      <x:c r="M79" s="328" t="str">
        <x:v>需要申请</x:v>
      </x:c>
      <x:c r="N79" s="328" t="str">
        <x:v>NSRR：审批后用 nsrr download 或网页批量下载</x:v>
      </x:c>
      <x:c r="O79" s="328" t="str">
        <x:v>https://sleepdata.org/datasets/stages</x:v>
      </x:c>
      <x:c r="P79" s="328" t="str">
        <x:v>02_Healthcare_and_Disease/Clinical_Sleep_Disorders/STAGES</x:v>
      </x:c>
      <x:c r="Q79" s="329" t="str">
        <x:v>尚未进入已申请名单；先确认研究价值与审批成本，再决定是否提交。</x:v>
      </x:c>
    </x:row>
    <x:row r="80">
      <x:c r="A80" s="308" t="str">
        <x:v>EEG-0031</x:v>
      </x:c>
      <x:c r="B80" s="309" t="str">
        <x:v>完成</x:v>
      </x:c>
      <x:c r="C80" s="309" t="str">
        <x:v>已下载·时长已审计</x:v>
      </x:c>
      <x:c r="D80" s="309" t="str">
        <x:v>疾病/临床</x:v>
      </x:c>
      <x:c r="E80" s="309" t="str">
        <x:v>Epilepsy_and_Abnormalities</x:v>
      </x:c>
      <x:c r="F80" s="309" t="str">
        <x:v>SeizeIT2</x:v>
      </x:c>
      <x:c r="G80" s="309" t="str">
        <x:v>COMPLETED</x:v>
      </x:c>
      <x:c r="H80" s="309" t="str">
        <x:v>是</x:v>
      </x:c>
      <x:c r="I80" s="309" t="str">
        <x:v>是</x:v>
      </x:c>
      <x:c r="J80" s="352" t="n">
        <x:v>11626.24888888889</x:v>
      </x:c>
      <x:c r="K80" s="352" t="n">
        <x:v>11626.24888888889</x:v>
      </x:c>
      <x:c r="L80" s="352"/>
      <x:c r="M80" s="309" t="str">
        <x:v>公开/登录后下载</x:v>
      </x:c>
      <x:c r="N80" s="309" t="str">
        <x:v>OpenNeuro 官方页面或 BIDS/OpenNeuro 下载工具</x:v>
      </x:c>
      <x:c r="O80" s="309" t="str">
        <x:v>https://openneuro.org/datasets/ds005873/versions/1.1.0</x:v>
      </x:c>
      <x:c r="P80" s="309" t="str">
        <x:v>02_Biometrics_and_Disease/Epilepsy_and_Abnormalities/SeizeIT2</x:v>
      </x:c>
      <x:c r="Q80" s="310" t="str">
        <x:v>无需下载；保持服务器校验记录。</x:v>
      </x:c>
    </x:row>
    <x:row r="81">
      <x:c r="A81" s="308" t="str">
        <x:v>EEG-0006</x:v>
      </x:c>
      <x:c r="B81" s="309" t="str">
        <x:v>完成</x:v>
      </x:c>
      <x:c r="C81" s="309" t="str">
        <x:v>已下载·时长已审计</x:v>
      </x:c>
      <x:c r="D81" s="309" t="str">
        <x:v>疾病/临床</x:v>
      </x:c>
      <x:c r="E81" s="309" t="str">
        <x:v>Epilepsy_and_Abnormalities</x:v>
      </x:c>
      <x:c r="F81" s="309" t="str">
        <x:v>American Epilepsy Society Seizure Prediction Challenge</x:v>
      </x:c>
      <x:c r="G81" s="309" t="str">
        <x:v>COMPLETED</x:v>
      </x:c>
      <x:c r="H81" s="309" t="str">
        <x:v>是</x:v>
      </x:c>
      <x:c r="I81" s="309" t="str">
        <x:v>是</x:v>
      </x:c>
      <x:c r="J81" s="352" t="n">
        <x:v>1333.6666666666667</x:v>
      </x:c>
      <x:c r="K81" s="352" t="n">
        <x:v>1333.6666666666667</x:v>
      </x:c>
      <x:c r="L81" s="352"/>
      <x:c r="M81" s="309" t="str">
        <x:v>公开/登录后下载</x:v>
      </x:c>
      <x:c r="N81" s="309" t="str">
        <x:v>Kaggle：接受规则后使用 Kaggle CLI</x:v>
      </x:c>
      <x:c r="O81" s="309" t="str">
        <x:v>https://www.kaggle.com/c/seizure-prediction</x:v>
      </x:c>
      <x:c r="P81" s="309" t="str">
        <x:v>02_Biometrics_and_Disease/Epilepsy_and_Abnormalities/American_Epilepsy_Society_Seizure_Prediction_Challenge</x:v>
      </x:c>
      <x:c r="Q81" s="310" t="str">
        <x:v>无需下载；保持服务器校验记录。</x:v>
      </x:c>
    </x:row>
    <x:row r="82">
      <x:c r="A82" s="308" t="str">
        <x:v>EEG-0009</x:v>
      </x:c>
      <x:c r="B82" s="309" t="str">
        <x:v>完成</x:v>
      </x:c>
      <x:c r="C82" s="309" t="str">
        <x:v>已下载·时长已审计</x:v>
      </x:c>
      <x:c r="D82" s="309" t="str">
        <x:v>疾病/临床</x:v>
      </x:c>
      <x:c r="E82" s="309" t="str">
        <x:v>Epilepsy_and_Abnormalities</x:v>
      </x:c>
      <x:c r="F82" s="309" t="str">
        <x:v>CHB-MIT</x:v>
      </x:c>
      <x:c r="G82" s="309" t="str">
        <x:v>COMPLETED</x:v>
      </x:c>
      <x:c r="H82" s="309" t="str">
        <x:v>是</x:v>
      </x:c>
      <x:c r="I82" s="309" t="str">
        <x:v>是</x:v>
      </x:c>
      <x:c r="J82" s="352" t="n">
        <x:v>982.9352777777777</x:v>
      </x:c>
      <x:c r="K82" s="352" t="n">
        <x:v>982.9352777777777</x:v>
      </x:c>
      <x:c r="L82" s="352"/>
      <x:c r="M82" s="309" t="str">
        <x:v>公开/登录后下载</x:v>
      </x:c>
      <x:c r="N82" s="309" t="str">
        <x:v>PhysioNet：wget -r -N -c -np https://physionet.org/content/chbmit/1.0.0/</x:v>
      </x:c>
      <x:c r="O82" s="309" t="str">
        <x:v>https://physionet.org/content/chbmit/1.0.0/</x:v>
      </x:c>
      <x:c r="P82" s="309" t="str">
        <x:v>02_Biometrics_and_Disease/Epilepsy_and_Abnormalities/CHB-MIT</x:v>
      </x:c>
      <x:c r="Q82" s="310" t="str">
        <x:v>无需下载；保持服务器校验记录。</x:v>
      </x:c>
    </x:row>
    <x:row r="83">
      <x:c r="A83" s="308" t="str">
        <x:v>EEG-0014</x:v>
      </x:c>
      <x:c r="B83" s="309" t="str">
        <x:v>完成</x:v>
      </x:c>
      <x:c r="C83" s="309" t="str">
        <x:v>已下载·时长已审计</x:v>
      </x:c>
      <x:c r="D83" s="309" t="str">
        <x:v>疾病/临床</x:v>
      </x:c>
      <x:c r="E83" s="309" t="str">
        <x:v>Epilepsy_and_Abnormalities</x:v>
      </x:c>
      <x:c r="F83" s="309" t="str">
        <x:v>HMS Harmful Brain Activity Classification</x:v>
      </x:c>
      <x:c r="G83" s="309" t="str">
        <x:v>COMPLETED</x:v>
      </x:c>
      <x:c r="H83" s="309" t="str">
        <x:v>是</x:v>
      </x:c>
      <x:c r="I83" s="309" t="str">
        <x:v>是</x:v>
      </x:c>
      <x:c r="J83" s="352" t="n">
        <x:v>390.16</x:v>
      </x:c>
      <x:c r="K83" s="352" t="n">
        <x:v>390.16</x:v>
      </x:c>
      <x:c r="L83" s="352"/>
      <x:c r="M83" s="309" t="str">
        <x:v>需要申请</x:v>
      </x:c>
      <x:c r="N83" s="309" t="str">
        <x:v>Kaggle：接受规则后使用 Kaggle CLI</x:v>
      </x:c>
      <x:c r="O83" s="309" t="str">
        <x:v>https://www.kaggle.com/competitions/hms-harmful-brain-activity-classification/data</x:v>
      </x:c>
      <x:c r="P83" s="309" t="str">
        <x:v>02_Biometrics_and_Disease/Epilepsy_and_Abnormalities/HMS_Harmful_Brain_Activity_Classification</x:v>
      </x:c>
      <x:c r="Q83" s="310" t="str">
        <x:v>无需下载；保持服务器校验记录。</x:v>
      </x:c>
    </x:row>
    <x:row r="84">
      <x:c r="A84" s="308" t="str">
        <x:v>EEG-0064</x:v>
      </x:c>
      <x:c r="B84" s="309" t="str">
        <x:v>完成</x:v>
      </x:c>
      <x:c r="C84" s="309" t="str">
        <x:v>已下载·时长已审计</x:v>
      </x:c>
      <x:c r="D84" s="309" t="str">
        <x:v>疾病/临床</x:v>
      </x:c>
      <x:c r="E84" s="309" t="str">
        <x:v>Neurological_Disorders</x:v>
      </x:c>
      <x:c r="F84" s="309" t="str">
        <x:v>bigP3BCI</x:v>
      </x:c>
      <x:c r="G84" s="309" t="str">
        <x:v>COMPLETED</x:v>
      </x:c>
      <x:c r="H84" s="309" t="str">
        <x:v>是</x:v>
      </x:c>
      <x:c r="I84" s="309" t="str">
        <x:v>是</x:v>
      </x:c>
      <x:c r="J84" s="352" t="n">
        <x:v>267.14497044443334</x:v>
      </x:c>
      <x:c r="K84" s="352" t="n">
        <x:v>267.14497044443334</x:v>
      </x:c>
      <x:c r="L84" s="352"/>
      <x:c r="M84" s="309" t="str">
        <x:v>公开/登录后下载</x:v>
      </x:c>
      <x:c r="N84" s="309" t="str">
        <x:v>PhysioNet：wget -r -N -c -np https://physionet.org/content/bigp3bci/1.0.0/</x:v>
      </x:c>
      <x:c r="O84" s="309" t="str">
        <x:v>https://physionet.org/content/bigp3bci/1.0.0/</x:v>
      </x:c>
      <x:c r="P84" s="309" t="str">
        <x:v>02_Biometrics_and_Disease/Neurological_Disorders/ALS_Eye-tracking_Spelling_EEG_Dataset</x:v>
      </x:c>
      <x:c r="Q84" s="310" t="str">
        <x:v>无需下载；保持服务器校验记录。</x:v>
      </x:c>
    </x:row>
    <x:row r="85">
      <x:c r="A85" s="308" t="str">
        <x:v>EEG-0523</x:v>
      </x:c>
      <x:c r="B85" s="309" t="str">
        <x:v>完成</x:v>
      </x:c>
      <x:c r="C85" s="309" t="str">
        <x:v>已下载·时长已审计</x:v>
      </x:c>
      <x:c r="D85" s="309" t="str">
        <x:v>疾病/临床</x:v>
      </x:c>
      <x:c r="E85" s="309" t="str">
        <x:v>Development_and_Lifespan</x:v>
      </x:c>
      <x:c r="F85" s="309" t="str">
        <x:v>SFARI_EEG multi-paradigm dataset</x:v>
      </x:c>
      <x:c r="G85" s="309" t="str">
        <x:v>COMPLETED</x:v>
      </x:c>
      <x:c r="H85" s="309" t="str">
        <x:v>是</x:v>
      </x:c>
      <x:c r="I85" s="309" t="str">
        <x:v>是</x:v>
      </x:c>
      <x:c r="J85" s="352" t="n">
        <x:v>229.42268934461805</x:v>
      </x:c>
      <x:c r="K85" s="352" t="n">
        <x:v>229.42268934461805</x:v>
      </x:c>
      <x:c r="L85" s="352"/>
      <x:c r="M85" s="309" t="str">
        <x:v>公开/登录后下载</x:v>
      </x:c>
      <x:c r="N85" s="309" t="str">
        <x:v>OpenNeuro 官方页面或 BIDS/OpenNeuro 下载工具</x:v>
      </x:c>
      <x:c r="O85" s="309" t="str">
        <x:v>https://openneuro.org/datasets/ds006780/versions/1.0.0</x:v>
      </x:c>
      <x:c r="P85" s="309" t="str">
        <x:v>02_Biometrics_and_Disease/Development_and_Lifespan/SFARI_EEG_multi-paradigm_dataset</x:v>
      </x:c>
      <x:c r="Q85" s="310" t="str">
        <x:v>无需下载；保持服务器校验记录。</x:v>
      </x:c>
    </x:row>
    <x:row r="86">
      <x:c r="A86" s="308" t="str">
        <x:v>EEG-0032</x:v>
      </x:c>
      <x:c r="B86" s="309" t="str">
        <x:v>完成</x:v>
      </x:c>
      <x:c r="C86" s="309" t="str">
        <x:v>已下载·时长已审计</x:v>
      </x:c>
      <x:c r="D86" s="309" t="str">
        <x:v>疾病/临床</x:v>
      </x:c>
      <x:c r="E86" s="309" t="str">
        <x:v>Epilepsy_and_Abnormalities</x:v>
      </x:c>
      <x:c r="F86" s="309" t="str">
        <x:v>Siena Scalp EEG</x:v>
      </x:c>
      <x:c r="G86" s="309" t="str">
        <x:v>COMPLETED</x:v>
      </x:c>
      <x:c r="H86" s="309" t="str">
        <x:v>是</x:v>
      </x:c>
      <x:c r="I86" s="309" t="str">
        <x:v>是</x:v>
      </x:c>
      <x:c r="J86" s="352" t="n">
        <x:v>141.02055555555555</x:v>
      </x:c>
      <x:c r="K86" s="352" t="n">
        <x:v>141.02055555555555</x:v>
      </x:c>
      <x:c r="L86" s="352"/>
      <x:c r="M86" s="309" t="str">
        <x:v>公开/登录后下载</x:v>
      </x:c>
      <x:c r="N86" s="309" t="str">
        <x:v>PhysioNet：wget -r -N -c -np https://physionet.org/content/siena-scalp-eeg/1.0.0/</x:v>
      </x:c>
      <x:c r="O86" s="309" t="str">
        <x:v>https://physionet.org/content/siena-scalp-eeg/1.0.0/</x:v>
      </x:c>
      <x:c r="P86" s="309" t="str">
        <x:v>02_Biometrics_and_Disease/Epilepsy_and_Abnormalities/Siena_Scalp_EEG</x:v>
      </x:c>
      <x:c r="Q86" s="310" t="str">
        <x:v>无需下载；保持服务器校验记录。</x:v>
      </x:c>
    </x:row>
    <x:row r="87">
      <x:c r="A87" s="308" t="str">
        <x:v>EEG-0081</x:v>
      </x:c>
      <x:c r="B87" s="309" t="str">
        <x:v>完成</x:v>
      </x:c>
      <x:c r="C87" s="309" t="str">
        <x:v>已下载·时长已审计</x:v>
      </x:c>
      <x:c r="D87" s="309" t="str">
        <x:v>疾病/临床</x:v>
      </x:c>
      <x:c r="E87" s="309" t="str">
        <x:v>Neurological_Disorders</x:v>
      </x:c>
      <x:c r="F87" s="309" t="str">
        <x:v>EEG: Three-Stim Auditory Oddball and Rest in Acute and Chronic TBI</x:v>
      </x:c>
      <x:c r="G87" s="309" t="str">
        <x:v>COMPLETED</x:v>
      </x:c>
      <x:c r="H87" s="309" t="str">
        <x:v>是</x:v>
      </x:c>
      <x:c r="I87" s="309" t="str">
        <x:v>是</x:v>
      </x:c>
      <x:c r="J87" s="352" t="n">
        <x:v>140.79954166666658</x:v>
      </x:c>
      <x:c r="K87" s="352" t="n">
        <x:v>140.79954166666658</x:v>
      </x:c>
      <x:c r="L87" s="352"/>
      <x:c r="M87" s="309" t="str">
        <x:v>公开/登录后下载</x:v>
      </x:c>
      <x:c r="N87" s="309" t="str">
        <x:v>Hugging Face：huggingface-cli download 或 Git LFS</x:v>
      </x:c>
      <x:c r="O87" s="309" t="str">
        <x:v>https://huggingface.co/datasets/EEGDash/ds003522</x:v>
      </x:c>
      <x:c r="P87" s="309" t="str">
        <x:v>02_Biometrics_and_Disease/Neurological_Disorders/EEG_Three-Stim_Auditory_Oddball_and_Rest_in_Acute_and_Chronic_TBI</x:v>
      </x:c>
      <x:c r="Q87" s="310" t="str">
        <x:v>无需下载；保持服务器校验记录。</x:v>
      </x:c>
    </x:row>
    <x:row r="88">
      <x:c r="A88" s="308" t="str">
        <x:v>EEG-0062</x:v>
      </x:c>
      <x:c r="B88" s="309" t="str">
        <x:v>完成</x:v>
      </x:c>
      <x:c r="C88" s="309" t="str">
        <x:v>已下载·时长已审计</x:v>
      </x:c>
      <x:c r="D88" s="309" t="str">
        <x:v>疾病/临床</x:v>
      </x:c>
      <x:c r="E88" s="309" t="str">
        <x:v>Neurological_Disorders</x:v>
      </x:c>
      <x:c r="F88" s="309" t="str">
        <x:v>Acute Mild TBI DPX Cognitive-control EEG</x:v>
      </x:c>
      <x:c r="G88" s="309" t="str">
        <x:v>COMPLETED</x:v>
      </x:c>
      <x:c r="H88" s="309" t="str">
        <x:v>是</x:v>
      </x:c>
      <x:c r="I88" s="309" t="str">
        <x:v>是</x:v>
      </x:c>
      <x:c r="J88" s="352" t="n">
        <x:v>124.27265277777778</x:v>
      </x:c>
      <x:c r="K88" s="352" t="n">
        <x:v>124.27265277777778</x:v>
      </x:c>
      <x:c r="L88" s="352"/>
      <x:c r="M88" s="309" t="str">
        <x:v>公开/登录后下载</x:v>
      </x:c>
      <x:c r="N88" s="309" t="str">
        <x:v>OpenNeuro 官方页面或 BIDS/OpenNeuro 下载工具</x:v>
      </x:c>
      <x:c r="O88" s="309" t="str">
        <x:v>https://openneuro.org/datasets/ds005114/versions/1.0.0</x:v>
      </x:c>
      <x:c r="P88" s="309" t="str">
        <x:v>02_Biometrics_and_Disease/Neurological_Disorders/Acute_Mild_TBI_DPX_Cognitive-control_EEG</x:v>
      </x:c>
      <x:c r="Q88" s="310" t="str">
        <x:v>无需下载；保持服务器校验记录。</x:v>
      </x:c>
    </x:row>
    <x:row r="89">
      <x:c r="A89" s="308" t="str">
        <x:v>EEG-0061</x:v>
      </x:c>
      <x:c r="B89" s="309" t="str">
        <x:v>完成</x:v>
      </x:c>
      <x:c r="C89" s="309" t="str">
        <x:v>已下载·时长已审计</x:v>
      </x:c>
      <x:c r="D89" s="309" t="str">
        <x:v>疾病/临床</x:v>
      </x:c>
      <x:c r="E89" s="309" t="str">
        <x:v>Mental_and_Developmental_Disorders</x:v>
      </x:c>
      <x:c r="F89" s="309" t="str">
        <x:v>TDBRAIN</x:v>
      </x:c>
      <x:c r="G89" s="309" t="str">
        <x:v>COMPLETED</x:v>
      </x:c>
      <x:c r="H89" s="309" t="str">
        <x:v>是</x:v>
      </x:c>
      <x:c r="I89" s="309" t="str">
        <x:v>是</x:v>
      </x:c>
      <x:c r="J89" s="352" t="n">
        <x:v>120.51638888888888</x:v>
      </x:c>
      <x:c r="K89" s="352" t="n">
        <x:v>120.51638888888888</x:v>
      </x:c>
      <x:c r="L89" s="352"/>
      <x:c r="M89" s="309" t="str">
        <x:v>需要申请</x:v>
      </x:c>
      <x:c r="N89" s="309" t="str">
        <x:v>打开官方入口并按页面说明下载</x:v>
      </x:c>
      <x:c r="O89" s="309" t="str">
        <x:v>https://brainclinics.com/resources/</x:v>
      </x:c>
      <x:c r="P89" s="309" t="str">
        <x:v>02_Biometrics_and_Disease/Mental_and_Developmental_Disorders/TDBRAIN</x:v>
      </x:c>
      <x:c r="Q89" s="310" t="str">
        <x:v>无需下载；保持服务器校验记录。</x:v>
      </x:c>
    </x:row>
    <x:row r="90">
      <x:c r="A90" s="308" t="str">
        <x:v>EEG-0005</x:v>
      </x:c>
      <x:c r="B90" s="309" t="str">
        <x:v>完成</x:v>
      </x:c>
      <x:c r="C90" s="309" t="str">
        <x:v>已下载·时长已审计</x:v>
      </x:c>
      <x:c r="D90" s="309" t="str">
        <x:v>疾病/临床</x:v>
      </x:c>
      <x:c r="E90" s="309" t="str">
        <x:v>Epilepsy_and_Abnormalities</x:v>
      </x:c>
      <x:c r="F90" s="309" t="str">
        <x:v>A dataset of neonatal EEG recordings with seizure annotations</x:v>
      </x:c>
      <x:c r="G90" s="309" t="str">
        <x:v>COMPLETED</x:v>
      </x:c>
      <x:c r="H90" s="309" t="str">
        <x:v>是</x:v>
      </x:c>
      <x:c r="I90" s="309" t="str">
        <x:v>是</x:v>
      </x:c>
      <x:c r="J90" s="352" t="n">
        <x:v>111.89583333333333</x:v>
      </x:c>
      <x:c r="K90" s="352" t="n">
        <x:v>111.89583333333333</x:v>
      </x:c>
      <x:c r="L90" s="352"/>
      <x:c r="M90" s="309" t="str">
        <x:v>公开/登录后下载</x:v>
      </x:c>
      <x:c r="N90" s="309" t="str">
        <x:v>Zenodo 官方文件下载/API</x:v>
      </x:c>
      <x:c r="O90" s="309" t="str">
        <x:v>https://zenodo.org/records/4940267</x:v>
      </x:c>
      <x:c r="P90" s="309" t="str">
        <x:v>02_Biometrics_and_Disease/Epilepsy_and_Abnormalities/A_dataset_of_neonatal_EEG_recordings_with_seizures_annotations</x:v>
      </x:c>
      <x:c r="Q90" s="310" t="str">
        <x:v>无需下载；保持服务器校验记录。</x:v>
      </x:c>
    </x:row>
    <x:row r="91">
      <x:c r="A91" s="308" t="str">
        <x:v>EEG-0522</x:v>
      </x:c>
      <x:c r="B91" s="309" t="str">
        <x:v>完成</x:v>
      </x:c>
      <x:c r="C91" s="309" t="str">
        <x:v>已下载·时长已审计</x:v>
      </x:c>
      <x:c r="D91" s="309" t="str">
        <x:v>健康/人群</x:v>
      </x:c>
      <x:c r="E91" s="309" t="str">
        <x:v>Lifespan_and_Normative</x:v>
      </x:c>
      <x:c r="F91" s="309" t="str">
        <x:v>MIPDB</x:v>
      </x:c>
      <x:c r="G91" s="309" t="str">
        <x:v>COMPLETED</x:v>
      </x:c>
      <x:c r="H91" s="309" t="str">
        <x:v>是</x:v>
      </x:c>
      <x:c r="I91" s="309" t="str">
        <x:v>是</x:v>
      </x:c>
      <x:c r="J91" s="352" t="n">
        <x:v>104.0500522222222</x:v>
      </x:c>
      <x:c r="K91" s="352" t="n">
        <x:v>104.0500522222222</x:v>
      </x:c>
      <x:c r="L91" s="352"/>
      <x:c r="M91" s="309" t="str">
        <x:v>公开/登录后下载</x:v>
      </x:c>
      <x:c r="N91" s="309" t="str">
        <x:v>打开官方入口并按页面说明下载</x:v>
      </x:c>
      <x:c r="O91" s="309" t="str">
        <x:v>https://fcon_1000.projects.nitrc.org/indi/cmi_healthy_brain_network/MIPDB.html</x:v>
      </x:c>
      <x:c r="P91" s="309" t="str">
        <x:v>02_Biometrics_and_Disease/Development_and_Lifespan/MIPDB</x:v>
      </x:c>
      <x:c r="Q91" s="310" t="str">
        <x:v>无需下载；保持服务器校验记录。</x:v>
      </x:c>
    </x:row>
    <x:row r="92">
      <x:c r="A92" s="308" t="str">
        <x:v>EEG-0074</x:v>
      </x:c>
      <x:c r="B92" s="309" t="str">
        <x:v>完成</x:v>
      </x:c>
      <x:c r="C92" s="309" t="str">
        <x:v>已下载·时长已审计</x:v>
      </x:c>
      <x:c r="D92" s="309" t="str">
        <x:v>疾病/临床</x:v>
      </x:c>
      <x:c r="E92" s="309" t="str">
        <x:v>Neurological_Disorders</x:v>
      </x:c>
      <x:c r="F92" s="309" t="str">
        <x:v>CCEP ECoG Dataset across age 4-51</x:v>
      </x:c>
      <x:c r="G92" s="309" t="str">
        <x:v>COMPLETED</x:v>
      </x:c>
      <x:c r="H92" s="309" t="str">
        <x:v>是</x:v>
      </x:c>
      <x:c r="I92" s="309" t="str">
        <x:v>是</x:v>
      </x:c>
      <x:c r="J92" s="352" t="n">
        <x:v>89.39102118458145</x:v>
      </x:c>
      <x:c r="K92" s="352" t="n">
        <x:v>89.39102118458145</x:v>
      </x:c>
      <x:c r="L92" s="352"/>
      <x:c r="M92" s="309" t="str">
        <x:v>公开/登录后下载</x:v>
      </x:c>
      <x:c r="N92" s="309" t="str">
        <x:v>OpenNeuro 官方页面或 BIDS/OpenNeuro 下载工具</x:v>
      </x:c>
      <x:c r="O92" s="309" t="str">
        <x:v>https://openneuro.org/datasets/ds004080/versions/1.2.4</x:v>
      </x:c>
      <x:c r="P92" s="309" t="str">
        <x:v>02_Biometrics_and_Disease/Neurological_Disorders/CCEP_ECoG_Dataset_across_age_4-51</x:v>
      </x:c>
      <x:c r="Q92" s="310" t="str">
        <x:v>无需下载；保持服务器校验记录。</x:v>
      </x:c>
    </x:row>
    <x:row r="93">
      <x:c r="A93" s="308" t="str">
        <x:v>EEG-0013</x:v>
      </x:c>
      <x:c r="B93" s="309" t="str">
        <x:v>完成</x:v>
      </x:c>
      <x:c r="C93" s="309" t="str">
        <x:v>已下载·时长已审计</x:v>
      </x:c>
      <x:c r="D93" s="309" t="str">
        <x:v>疾病/临床</x:v>
      </x:c>
      <x:c r="E93" s="309" t="str">
        <x:v>Epilepsy_and_Abnormalities</x:v>
      </x:c>
      <x:c r="F93" s="309" t="str">
        <x:v>HFO (High-Frequency Oscillations)</x:v>
      </x:c>
      <x:c r="G93" s="309" t="str">
        <x:v>COMPLETED</x:v>
      </x:c>
      <x:c r="H93" s="309" t="str">
        <x:v>是</x:v>
      </x:c>
      <x:c r="I93" s="309" t="str">
        <x:v>是</x:v>
      </x:c>
      <x:c r="J93" s="352" t="n">
        <x:v>89.00694444444444</x:v>
      </x:c>
      <x:c r="K93" s="352" t="n">
        <x:v>89.00694444444444</x:v>
      </x:c>
      <x:c r="L93" s="352"/>
      <x:c r="M93" s="309" t="str">
        <x:v>公开/登录后下载</x:v>
      </x:c>
      <x:c r="N93" s="309" t="str">
        <x:v>OpenNeuro 官方页面或 BIDS/OpenNeuro 下载工具</x:v>
      </x:c>
      <x:c r="O93" s="309" t="str">
        <x:v>https://openneuro.org/datasets/ds003555</x:v>
      </x:c>
      <x:c r="P93" s="309" t="str">
        <x:v>02_Biometrics_and_Disease/Epilepsy_and_Abnormalities/HFO_High-Frequency_Oscillations</x:v>
      </x:c>
      <x:c r="Q93" s="310" t="str">
        <x:v>无需下载；保持服务器校验记录。</x:v>
      </x:c>
    </x:row>
    <x:row r="94">
      <x:c r="A94" s="308" t="str">
        <x:v>EEG-0045</x:v>
      </x:c>
      <x:c r="B94" s="309" t="str">
        <x:v>完成</x:v>
      </x:c>
      <x:c r="C94" s="309" t="str">
        <x:v>已下载·时长已审计</x:v>
      </x:c>
      <x:c r="D94" s="309" t="str">
        <x:v>疾病/临床</x:v>
      </x:c>
      <x:c r="E94" s="309" t="str">
        <x:v>Neurodegenerative_Disorders</x:v>
      </x:c>
      <x:c r="F94" s="309" t="str">
        <x:v>EEG p-adic quantum potential accurately identifies depression, schizophrenia and cognitive decline</x:v>
      </x:c>
      <x:c r="G94" s="309" t="str">
        <x:v>COMPLETED</x:v>
      </x:c>
      <x:c r="H94" s="309" t="str">
        <x:v>是</x:v>
      </x:c>
      <x:c r="I94" s="309" t="str">
        <x:v>是</x:v>
      </x:c>
      <x:c r="J94" s="352" t="n">
        <x:v>84.29973722222223</x:v>
      </x:c>
      <x:c r="K94" s="352" t="n">
        <x:v>84.29973722222223</x:v>
      </x:c>
      <x:c r="L94" s="352"/>
      <x:c r="M94" s="309" t="str">
        <x:v>公开/登录后下载</x:v>
      </x:c>
      <x:c r="N94" s="309" t="str">
        <x:v>Zenodo 官方文件下载/API</x:v>
      </x:c>
      <x:c r="O94" s="309" t="str">
        <x:v>https://zenodo.org/records/7258868</x:v>
      </x:c>
      <x:c r="P94" s="309" t="str">
        <x:v>02_Biometrics_and_Disease/Neurodegenerative_Disorders/EEG_p-adic_quantum_potential_accurately_identifies_depression_schizophrenia_and_cognitive_</x:v>
      </x:c>
      <x:c r="Q94" s="310" t="str">
        <x:v>无需下载；保持服务器校验记录。</x:v>
      </x:c>
    </x:row>
    <x:row r="95">
      <x:c r="A95" s="308" t="str">
        <x:v>EEG-0065</x:v>
      </x:c>
      <x:c r="B95" s="309" t="str">
        <x:v>完成</x:v>
      </x:c>
      <x:c r="C95" s="309" t="str">
        <x:v>已下载·时长已审计</x:v>
      </x:c>
      <x:c r="D95" s="309" t="str">
        <x:v>疾病/临床</x:v>
      </x:c>
      <x:c r="E95" s="309" t="str">
        <x:v>Neurological_Disorders</x:v>
      </x:c>
      <x:c r="F95" s="309" t="str">
        <x:v>ALS-Spelling (EEG-ET)</x:v>
      </x:c>
      <x:c r="G95" s="309" t="str">
        <x:v>COMPLETED</x:v>
      </x:c>
      <x:c r="H95" s="309" t="str">
        <x:v>是</x:v>
      </x:c>
      <x:c r="I95" s="309" t="str">
        <x:v>是</x:v>
      </x:c>
      <x:c r="J95" s="352" t="n">
        <x:v>66.32305555555556</x:v>
      </x:c>
      <x:c r="K95" s="352" t="n">
        <x:v>66.32305555555556</x:v>
      </x:c>
      <x:c r="L95" s="352"/>
      <x:c r="M95" s="309" t="str">
        <x:v>公开/登录后下载</x:v>
      </x:c>
      <x:c r="N95" s="309" t="str">
        <x:v>打开官方入口并按页面说明下载</x:v>
      </x:c>
      <x:c r="O95" s="309" t="str">
        <x:v>https://doi.org/10.6084/m9.figshare.24485689.v1</x:v>
      </x:c>
      <x:c r="P95" s="309" t="str">
        <x:v>02_Biometrics_and_Disease/Neurological_Disorders/ALS-Spelling_EEG-ET</x:v>
      </x:c>
      <x:c r="Q95" s="310" t="str">
        <x:v>无需下载；保持服务器校验记录。</x:v>
      </x:c>
    </x:row>
    <x:row r="96">
      <x:c r="A96" s="308" t="str">
        <x:v>EEG-0521</x:v>
      </x:c>
      <x:c r="B96" s="309" t="str">
        <x:v>完成</x:v>
      </x:c>
      <x:c r="C96" s="309" t="str">
        <x:v>已下载·时长已审计</x:v>
      </x:c>
      <x:c r="D96" s="309" t="str">
        <x:v>健康/人群</x:v>
      </x:c>
      <x:c r="E96" s="309" t="str">
        <x:v>Lifespan_and_Normative</x:v>
      </x:c>
      <x:c r="F96" s="309" t="str">
        <x:v>Mind in Motion Older Adults Walking EEG</x:v>
      </x:c>
      <x:c r="G96" s="309" t="str">
        <x:v>COMPLETED</x:v>
      </x:c>
      <x:c r="H96" s="309" t="str">
        <x:v>是</x:v>
      </x:c>
      <x:c r="I96" s="309" t="str">
        <x:v>是</x:v>
      </x:c>
      <x:c r="J96" s="352" t="n">
        <x:v>61.09685944444434</x:v>
      </x:c>
      <x:c r="K96" s="352" t="n">
        <x:v>61.09685944444434</x:v>
      </x:c>
      <x:c r="L96" s="352"/>
      <x:c r="M96" s="309" t="str">
        <x:v>公开/登录后下载</x:v>
      </x:c>
      <x:c r="N96" s="309" t="str">
        <x:v>OpenNeuro 官方页面或 BIDS/OpenNeuro 下载工具</x:v>
      </x:c>
      <x:c r="O96" s="309" t="str">
        <x:v>https://openneuro.org/datasets/ds006095/versions/1.0.0</x:v>
      </x:c>
      <x:c r="P96" s="309" t="str">
        <x:v>02_Biometrics_and_Disease/Development_and_Lifespan/Mind_in_Motion_Older_Adults_Walking_EEG</x:v>
      </x:c>
      <x:c r="Q96" s="310" t="str">
        <x:v>无需下载；保持服务器校验记录。</x:v>
      </x:c>
    </x:row>
    <x:row r="97">
      <x:c r="A97" s="308" t="str">
        <x:v>EEG-0015</x:v>
      </x:c>
      <x:c r="B97" s="309" t="str">
        <x:v>完成</x:v>
      </x:c>
      <x:c r="C97" s="309" t="str">
        <x:v>已下载·时长已审计</x:v>
      </x:c>
      <x:c r="D97" s="309" t="str">
        <x:v>疾病/临床</x:v>
      </x:c>
      <x:c r="E97" s="309" t="str">
        <x:v>Epilepsy_and_Abnormalities</x:v>
      </x:c>
      <x:c r="F97" s="309" t="str">
        <x:v>HUP iEEG Epilepsy Dataset</x:v>
      </x:c>
      <x:c r="G97" s="309" t="str">
        <x:v>COMPLETED</x:v>
      </x:c>
      <x:c r="H97" s="309" t="str">
        <x:v>是</x:v>
      </x:c>
      <x:c r="I97" s="309" t="str">
        <x:v>是</x:v>
      </x:c>
      <x:c r="J97" s="352" t="n">
        <x:v>49.769444444444446</x:v>
      </x:c>
      <x:c r="K97" s="352" t="n">
        <x:v>49.769444444444446</x:v>
      </x:c>
      <x:c r="L97" s="352"/>
      <x:c r="M97" s="309" t="str">
        <x:v>公开/登录后下载</x:v>
      </x:c>
      <x:c r="N97" s="309" t="str">
        <x:v>OpenNeuro 官方页面或 BIDS/OpenNeuro 下载工具</x:v>
      </x:c>
      <x:c r="O97" s="309" t="str">
        <x:v>https://openneuro.org/datasets/ds004100</x:v>
      </x:c>
      <x:c r="P97" s="309" t="str">
        <x:v>02_Biometrics_and_Disease/Epilepsy_and_Abnormalities/HUP_iEEG_Epilepsy_Dataset</x:v>
      </x:c>
      <x:c r="Q97" s="310" t="str">
        <x:v>无需下载；保持服务器校验记录。</x:v>
      </x:c>
    </x:row>
    <x:row r="98">
      <x:c r="A98" s="308" t="str">
        <x:v>EEG-0080</x:v>
      </x:c>
      <x:c r="B98" s="309" t="str">
        <x:v>完成</x:v>
      </x:c>
      <x:c r="C98" s="309" t="str">
        <x:v>已下载·时长已审计</x:v>
      </x:c>
      <x:c r="D98" s="309" t="str">
        <x:v>疾病/临床</x:v>
      </x:c>
      <x:c r="E98" s="309" t="str">
        <x:v>Neurological_Disorders</x:v>
      </x:c>
      <x:c r="F98" s="309" t="str">
        <x:v>EEG: Simon Conflict in Parkinson's</x:v>
      </x:c>
      <x:c r="G98" s="309" t="str">
        <x:v>COMPLETED</x:v>
      </x:c>
      <x:c r="H98" s="309" t="str">
        <x:v>是</x:v>
      </x:c>
      <x:c r="I98" s="309" t="str">
        <x:v>是</x:v>
      </x:c>
      <x:c r="J98" s="352" t="n">
        <x:v>48.53486111111113</x:v>
      </x:c>
      <x:c r="K98" s="352" t="n">
        <x:v>48.53486111111113</x:v>
      </x:c>
      <x:c r="L98" s="352"/>
      <x:c r="M98" s="309" t="str">
        <x:v>公开/登录后下载</x:v>
      </x:c>
      <x:c r="N98" s="309" t="str">
        <x:v>Hugging Face：huggingface-cli download 或 Git LFS</x:v>
      </x:c>
      <x:c r="O98" s="309" t="str">
        <x:v>https://huggingface.co/datasets/EEGDash/ds003509</x:v>
      </x:c>
      <x:c r="P98" s="309" t="str">
        <x:v>02_Biometrics_and_Disease/Neurological_Disorders/EEG_Simon_Conflict_in_Parkinson_s</x:v>
      </x:c>
      <x:c r="Q98" s="310" t="str">
        <x:v>无需下载；保持服务器校验记录。</x:v>
      </x:c>
    </x:row>
    <x:row r="99">
      <x:c r="A99" s="308" t="str">
        <x:v>EEG-0082</x:v>
      </x:c>
      <x:c r="B99" s="309" t="str">
        <x:v>完成</x:v>
      </x:c>
      <x:c r="C99" s="309" t="str">
        <x:v>已下载·时长已审计</x:v>
      </x:c>
      <x:c r="D99" s="309" t="str">
        <x:v>健康/人群</x:v>
      </x:c>
      <x:c r="E99" s="309" t="str">
        <x:v>Sensory_Physiology</x:v>
      </x:c>
      <x:c r="F99" s="309" t="str">
        <x:v>Human Spinal-cord Somatosensory Evoked Potentials EEG</x:v>
      </x:c>
      <x:c r="G99" s="309" t="str">
        <x:v>COMPLETED</x:v>
      </x:c>
      <x:c r="H99" s="309" t="str">
        <x:v>是</x:v>
      </x:c>
      <x:c r="I99" s="309" t="str">
        <x:v>是</x:v>
      </x:c>
      <x:c r="J99" s="352" t="n">
        <x:v>43.48990400000004</x:v>
      </x:c>
      <x:c r="K99" s="352" t="n">
        <x:v>43.48990400000004</x:v>
      </x:c>
      <x:c r="L99" s="352"/>
      <x:c r="M99" s="309" t="str">
        <x:v>公开/登录后下载</x:v>
      </x:c>
      <x:c r="N99" s="309" t="str">
        <x:v>OpenNeuro 官方页面或 BIDS/OpenNeuro 下载工具</x:v>
      </x:c>
      <x:c r="O99" s="309" t="str">
        <x:v>https://openneuro.org/datasets/ds004388/versions/1.0.0</x:v>
      </x:c>
      <x:c r="P99" s="309" t="str">
        <x:v>02_Biometrics_and_Disease/Neurological_Disorders/Human_Spinal-cord_Somatosensory_Evoked_Potentials_EEG</x:v>
      </x:c>
      <x:c r="Q99" s="310" t="str">
        <x:v>无需下载；保持服务器校验记录。</x:v>
      </x:c>
    </x:row>
    <x:row r="100">
      <x:c r="A100" s="308" t="str">
        <x:v>EEG-0040</x:v>
      </x:c>
      <x:c r="B100" s="309" t="str">
        <x:v>完成</x:v>
      </x:c>
      <x:c r="C100" s="309" t="str">
        <x:v>已下载·时长已审计</x:v>
      </x:c>
      <x:c r="D100" s="309" t="str">
        <x:v>疾病/临床</x:v>
      </x:c>
      <x:c r="E100" s="309" t="str">
        <x:v>Neurodegenerative_Disorders</x:v>
      </x:c>
      <x:c r="F100" s="309" t="str">
        <x:v>AD65 (Alzheimer/FTD)</x:v>
      </x:c>
      <x:c r="G100" s="309" t="str">
        <x:v>COMPLETED</x:v>
      </x:c>
      <x:c r="H100" s="309" t="str">
        <x:v>是</x:v>
      </x:c>
      <x:c r="I100" s="309" t="str">
        <x:v>是</x:v>
      </x:c>
      <x:c r="J100" s="352" t="n">
        <x:v>39.00595000000006</x:v>
      </x:c>
      <x:c r="K100" s="352" t="n">
        <x:v>39.00595000000006</x:v>
      </x:c>
      <x:c r="L100" s="352"/>
      <x:c r="M100" s="309" t="str">
        <x:v>公开/登录后下载</x:v>
      </x:c>
      <x:c r="N100" s="309" t="str">
        <x:v>OpenNeuro 官方页面或 BIDS/OpenNeuro 下载工具</x:v>
      </x:c>
      <x:c r="O100" s="309" t="str">
        <x:v>https://openneuro.org/datasets/ds004504</x:v>
      </x:c>
      <x:c r="P100" s="309" t="str">
        <x:v>02_Biometrics_and_Disease/Neurodegenerative_Disorders/AD65_Alzheimer_FTD</x:v>
      </x:c>
      <x:c r="Q100" s="310" t="str">
        <x:v>无需下载；保持服务器校验记录。</x:v>
      </x:c>
    </x:row>
    <x:row r="101">
      <x:c r="A101" s="308" t="str">
        <x:v>EEG-0079</x:v>
      </x:c>
      <x:c r="B101" s="309" t="str">
        <x:v>完成</x:v>
      </x:c>
      <x:c r="C101" s="309" t="str">
        <x:v>已下载·时长已审计</x:v>
      </x:c>
      <x:c r="D101" s="309" t="str">
        <x:v>疾病/临床</x:v>
      </x:c>
      <x:c r="E101" s="309" t="str">
        <x:v>Neurological_Disorders</x:v>
      </x:c>
      <x:c r="F101" s="309" t="str">
        <x:v>EEG: Reinforcement Learning in Parkinson’s</x:v>
      </x:c>
      <x:c r="G101" s="309" t="str">
        <x:v>COMPLETED</x:v>
      </x:c>
      <x:c r="H101" s="309" t="str">
        <x:v>是</x:v>
      </x:c>
      <x:c r="I101" s="309" t="str">
        <x:v>是</x:v>
      </x:c>
      <x:c r="J101" s="352" t="n">
        <x:v>35.38127777777776</x:v>
      </x:c>
      <x:c r="K101" s="352" t="n">
        <x:v>35.38127777777776</x:v>
      </x:c>
      <x:c r="L101" s="352"/>
      <x:c r="M101" s="309" t="str">
        <x:v>需要申请</x:v>
      </x:c>
      <x:c r="N101" s="309" t="str">
        <x:v>Hugging Face：huggingface-cli download 或 Git LFS</x:v>
      </x:c>
      <x:c r="O101" s="309" t="str">
        <x:v>https://huggingface.co/datasets/EEGDash/ds003506</x:v>
      </x:c>
      <x:c r="P101" s="309" t="str">
        <x:v>02_Biometrics_and_Disease/Neurological_Disorders/EEG_Reinforcement_Learning_in_Parkinson_s</x:v>
      </x:c>
      <x:c r="Q101" s="310" t="str">
        <x:v>无需下载；保持服务器校验记录。</x:v>
      </x:c>
    </x:row>
    <x:row r="102">
      <x:c r="A102" s="308" t="str">
        <x:v>EEG-0085</x:v>
      </x:c>
      <x:c r="B102" s="309" t="str">
        <x:v>完成</x:v>
      </x:c>
      <x:c r="C102" s="309" t="str">
        <x:v>已下载·时长已审计</x:v>
      </x:c>
      <x:c r="D102" s="309" t="str">
        <x:v>疾病/临床</x:v>
      </x:c>
      <x:c r="E102" s="309" t="str">
        <x:v>Neurological_Disorders</x:v>
      </x:c>
      <x:c r="F102" s="309" t="str">
        <x:v>Lower-Limb-MI (stroke)</x:v>
      </x:c>
      <x:c r="G102" s="309" t="str">
        <x:v>COMPLETED</x:v>
      </x:c>
      <x:c r="H102" s="309" t="str">
        <x:v>是</x:v>
      </x:c>
      <x:c r="I102" s="309" t="str">
        <x:v>是</x:v>
      </x:c>
      <x:c r="J102" s="352" t="n">
        <x:v>33.448055555555555</x:v>
      </x:c>
      <x:c r="K102" s="352" t="n">
        <x:v>33.448055555555555</x:v>
      </x:c>
      <x:c r="L102" s="352"/>
      <x:c r="M102" s="309" t="str">
        <x:v>公开/登录后下载</x:v>
      </x:c>
      <x:c r="N102" s="309" t="str">
        <x:v>Figshare 官方文件下载/API</x:v>
      </x:c>
      <x:c r="O102" s="309" t="str">
        <x:v>https://springernature.figshare.com/articles/dataset/Lower_limb_motor_imagery_EEG.../27130299</x:v>
      </x:c>
      <x:c r="P102" s="309" t="str">
        <x:v>02_Biometrics_and_Disease/Neurological_Disorders/Lower-Limb-MI_stroke</x:v>
      </x:c>
      <x:c r="Q102" s="310" t="str">
        <x:v>无需下载；保持服务器校验记录。</x:v>
      </x:c>
    </x:row>
    <x:row r="103">
      <x:c r="A103" s="308" t="str">
        <x:v>EEG-0016</x:v>
      </x:c>
      <x:c r="B103" s="309" t="str">
        <x:v>完成</x:v>
      </x:c>
      <x:c r="C103" s="309" t="str">
        <x:v>已下载·时长已审计</x:v>
      </x:c>
      <x:c r="D103" s="309" t="str">
        <x:v>疾病/临床</x:v>
      </x:c>
      <x:c r="E103" s="309" t="str">
        <x:v>Epilepsy_and_Abnormalities</x:v>
      </x:c>
      <x:c r="F103" s="309" t="str">
        <x:v>vEpiSet (Interictal Epileptiform Discharge EEG Dataset)</x:v>
      </x:c>
      <x:c r="G103" s="309" t="str">
        <x:v>COMPLETED</x:v>
      </x:c>
      <x:c r="H103" s="309" t="str">
        <x:v>是</x:v>
      </x:c>
      <x:c r="I103" s="309" t="str">
        <x:v>是</x:v>
      </x:c>
      <x:c r="J103" s="352" t="n">
        <x:v>28.241666666666667</x:v>
      </x:c>
      <x:c r="K103" s="352" t="n">
        <x:v>28.241666666666667</x:v>
      </x:c>
      <x:c r="L103" s="352"/>
      <x:c r="M103" s="309" t="str">
        <x:v>公开/登录后下载</x:v>
      </x:c>
      <x:c r="N103" s="309" t="str">
        <x:v>Figshare 官方文件下载/API</x:v>
      </x:c>
      <x:c r="O103" s="309" t="str">
        <x:v>https://springernature.figshare.com/articles/dataset/28069568</x:v>
      </x:c>
      <x:c r="P103" s="309" t="str">
        <x:v>02_Biometrics_and_Disease/Epilepsy_and_Abnormalities/Interictal_Epileptiform_Discharge_EEG_Dataset</x:v>
      </x:c>
      <x:c r="Q103" s="310" t="str">
        <x:v>无需下载；保持服务器校验记录。</x:v>
      </x:c>
    </x:row>
    <x:row r="104">
      <x:c r="A104" s="308" t="str">
        <x:v>EEG-0052</x:v>
      </x:c>
      <x:c r="B104" s="309" t="str">
        <x:v>完成</x:v>
      </x:c>
      <x:c r="C104" s="309" t="str">
        <x:v>已下载·时长已审计</x:v>
      </x:c>
      <x:c r="D104" s="309" t="str">
        <x:v>疾病/临床</x:v>
      </x:c>
      <x:c r="E104" s="309" t="str">
        <x:v>Mental_and_Developmental_Disorders</x:v>
      </x:c>
      <x:c r="F104" s="309" t="str">
        <x:v>Depression resting (BDI)</x:v>
      </x:c>
      <x:c r="G104" s="309" t="str">
        <x:v>COMPLETED</x:v>
      </x:c>
      <x:c r="H104" s="309" t="str">
        <x:v>是</x:v>
      </x:c>
      <x:c r="I104" s="309" t="str">
        <x:v>是</x:v>
      </x:c>
      <x:c r="J104" s="352" t="n">
        <x:v>23.359657777777795</x:v>
      </x:c>
      <x:c r="K104" s="352" t="n">
        <x:v>23.359657777777795</x:v>
      </x:c>
      <x:c r="L104" s="352"/>
      <x:c r="M104" s="309" t="str">
        <x:v>公开/登录后下载</x:v>
      </x:c>
      <x:c r="N104" s="309" t="str">
        <x:v>OpenNeuro 官方页面或 BIDS/OpenNeuro 下载工具</x:v>
      </x:c>
      <x:c r="O104" s="309" t="str">
        <x:v>https://openneuro.org/datasets/ds003478</x:v>
      </x:c>
      <x:c r="P104" s="309" t="str">
        <x:v>02_Biometrics_and_Disease/Mental_and_Developmental_Disorders/Depression_resting_BDI</x:v>
      </x:c>
      <x:c r="Q104" s="310" t="str">
        <x:v>无需下载；保持服务器校验记录。</x:v>
      </x:c>
    </x:row>
    <x:row r="105">
      <x:c r="A105" s="308" t="str">
        <x:v>EEG-0520</x:v>
      </x:c>
      <x:c r="B105" s="309" t="str">
        <x:v>完成</x:v>
      </x:c>
      <x:c r="C105" s="309" t="str">
        <x:v>已下载·时长已审计</x:v>
      </x:c>
      <x:c r="D105" s="309" t="str">
        <x:v>健康/人群</x:v>
      </x:c>
      <x:c r="E105" s="309" t="str">
        <x:v>Lifespan_and_Normative</x:v>
      </x:c>
      <x:c r="F105" s="309" t="str">
        <x:v>Infant First-year Resting EEG Dataset</x:v>
      </x:c>
      <x:c r="G105" s="309" t="str">
        <x:v>COMPLETED</x:v>
      </x:c>
      <x:c r="H105" s="309" t="str">
        <x:v>是</x:v>
      </x:c>
      <x:c r="I105" s="309" t="str">
        <x:v>是</x:v>
      </x:c>
      <x:c r="J105" s="352" t="n">
        <x:v>22.83888888888889</x:v>
      </x:c>
      <x:c r="K105" s="352" t="n">
        <x:v>22.83888888888889</x:v>
      </x:c>
      <x:c r="L105" s="352"/>
      <x:c r="M105" s="309" t="str">
        <x:v>公开/登录后下载</x:v>
      </x:c>
      <x:c r="N105" s="309" t="str">
        <x:v>OpenNeuro 官方页面或 BIDS/OpenNeuro 下载工具</x:v>
      </x:c>
      <x:c r="O105" s="309" t="str">
        <x:v>https://openneuro.org/datasets/ds004577</x:v>
      </x:c>
      <x:c r="P105" s="309" t="str">
        <x:v>02_Biometrics_and_Disease/Development_and_Lifespan/Infant_First-year_Resting_EEG_Dataset</x:v>
      </x:c>
      <x:c r="Q105" s="310" t="str">
        <x:v>无需下载；保持服务器校验记录。</x:v>
      </x:c>
    </x:row>
    <x:row r="106">
      <x:c r="A106" s="308" t="str">
        <x:v>EEG-0070</x:v>
      </x:c>
      <x:c r="B106" s="309" t="str">
        <x:v>完成</x:v>
      </x:c>
      <x:c r="C106" s="309" t="str">
        <x:v>已下载·时长已审计</x:v>
      </x:c>
      <x:c r="D106" s="309" t="str">
        <x:v>疾病/临床</x:v>
      </x:c>
      <x:c r="E106" s="309" t="str">
        <x:v>Neurological_Disorders</x:v>
      </x:c>
      <x:c r="F106" s="309" t="str">
        <x:v>BNCI 006-2014 (SCP training in stroke)</x:v>
      </x:c>
      <x:c r="G106" s="309" t="str">
        <x:v>COMPLETED</x:v>
      </x:c>
      <x:c r="H106" s="309" t="str">
        <x:v>是</x:v>
      </x:c>
      <x:c r="I106" s="309" t="str">
        <x:v>是</x:v>
      </x:c>
      <x:c r="J106" s="352" t="n">
        <x:v>21.875555555555554</x:v>
      </x:c>
      <x:c r="K106" s="352" t="n">
        <x:v>21.875555555555554</x:v>
      </x:c>
      <x:c r="L106" s="352"/>
      <x:c r="M106" s="309" t="str">
        <x:v>公开/登录后下载</x:v>
      </x:c>
      <x:c r="N106" s="309" t="str">
        <x:v>打开官方入口并按页面说明下载</x:v>
      </x:c>
      <x:c r="O106" s="309" t="str">
        <x:v>http://bnci-horizon-2020.eu/database/data-sets</x:v>
      </x:c>
      <x:c r="P106" s="309" t="str">
        <x:v>02_Biometrics_and_Disease/Neurological_Disorders/BNCI_006-2014_SCP_training_in_stroke</x:v>
      </x:c>
      <x:c r="Q106" s="310" t="str">
        <x:v>无需下载；保持服务器校验记录。</x:v>
      </x:c>
    </x:row>
    <x:row r="107">
      <x:c r="A107" s="308" t="str">
        <x:v>EEG-0087</x:v>
      </x:c>
      <x:c r="B107" s="309" t="str">
        <x:v>完成</x:v>
      </x:c>
      <x:c r="C107" s="309" t="str">
        <x:v>已下载·时长已审计</x:v>
      </x:c>
      <x:c r="D107" s="309" t="str">
        <x:v>疾病/临床</x:v>
      </x:c>
      <x:c r="E107" s="309" t="str">
        <x:v>Neurological_Disorders</x:v>
      </x:c>
      <x:c r="F107" s="309" t="str">
        <x:v>Ultra High-Density EEG of Interictal Migraine and Controls</x:v>
      </x:c>
      <x:c r="G107" s="309" t="str">
        <x:v>COMPLETED</x:v>
      </x:c>
      <x:c r="H107" s="309" t="str">
        <x:v>是</x:v>
      </x:c>
      <x:c r="I107" s="309" t="str">
        <x:v>是</x:v>
      </x:c>
      <x:c r="J107" s="352" t="n">
        <x:v>21.232222222222223</x:v>
      </x:c>
      <x:c r="K107" s="352" t="n">
        <x:v>21.232222222222223</x:v>
      </x:c>
      <x:c r="L107" s="352"/>
      <x:c r="M107" s="309" t="str">
        <x:v>公开/登录后下载</x:v>
      </x:c>
      <x:c r="N107" s="309" t="str">
        <x:v>打开官方入口并按页面说明下载</x:v>
      </x:c>
      <x:c r="O107" s="309" t="str">
        <x:v>https://kilthub.cmu.edu/articles/dataset/Ultra_high-density_EEG_recording_of_interictal_migraine_and_controls_sensory_and_rest/12636731</x:v>
      </x:c>
      <x:c r="P107" s="309" t="str">
        <x:v>02_Biometrics_and_Disease/Neurological_Disorders/Migrainedb</x:v>
      </x:c>
      <x:c r="Q107" s="310" t="str">
        <x:v>无需下载；保持服务器校验记录。</x:v>
      </x:c>
    </x:row>
    <x:row r="108">
      <x:c r="A108" s="308" t="str">
        <x:v>EEG-0057</x:v>
      </x:c>
      <x:c r="B108" s="309" t="str">
        <x:v>完成</x:v>
      </x:c>
      <x:c r="C108" s="309" t="str">
        <x:v>已下载·时长已审计</x:v>
      </x:c>
      <x:c r="D108" s="309" t="str">
        <x:v>疾病/临床</x:v>
      </x:c>
      <x:c r="E108" s="309" t="str">
        <x:v>Mental_and_Developmental_Disorders</x:v>
      </x:c>
      <x:c r="F108" s="309" t="str">
        <x:v>MDD (Mumtaz)</x:v>
      </x:c>
      <x:c r="G108" s="309" t="str">
        <x:v>COMPLETED</x:v>
      </x:c>
      <x:c r="H108" s="309" t="str">
        <x:v>是</x:v>
      </x:c>
      <x:c r="I108" s="309" t="str">
        <x:v>是</x:v>
      </x:c>
      <x:c r="J108" s="352" t="n">
        <x:v>20.555833333333332</x:v>
      </x:c>
      <x:c r="K108" s="352" t="n">
        <x:v>20.555833333333332</x:v>
      </x:c>
      <x:c r="L108" s="352"/>
      <x:c r="M108" s="309" t="str">
        <x:v>需要申请</x:v>
      </x:c>
      <x:c r="N108" s="309" t="str">
        <x:v>打开官方入口并按页面说明下载</x:v>
      </x:c>
      <x:c r="O108" s="309" t="str">
        <x:v>https://doi.org/10.6084/m9.figshare.4244171</x:v>
      </x:c>
      <x:c r="P108" s="309" t="str">
        <x:v>02_Biometrics_and_Disease/Mental_and_Developmental_Disorders/MDD_Mumtaz</x:v>
      </x:c>
      <x:c r="Q108" s="310" t="str">
        <x:v>无需下载；保持服务器校验记录。</x:v>
      </x:c>
    </x:row>
    <x:row r="109">
      <x:c r="A109" s="308" t="str">
        <x:v>EEG-0092</x:v>
      </x:c>
      <x:c r="B109" s="309" t="str">
        <x:v>完成</x:v>
      </x:c>
      <x:c r="C109" s="309" t="str">
        <x:v>已下载·时长已审计</x:v>
      </x:c>
      <x:c r="D109" s="309" t="str">
        <x:v>疾病/临床</x:v>
      </x:c>
      <x:c r="E109" s="309" t="str">
        <x:v>Neurological_Disorders</x:v>
      </x:c>
      <x:c r="F109" s="309" t="str">
        <x:v>PD-EEG Resting-State &amp; Walking EEG</x:v>
      </x:c>
      <x:c r="G109" s="309" t="str">
        <x:v>COMPLETED</x:v>
      </x:c>
      <x:c r="H109" s="309" t="str">
        <x:v>是</x:v>
      </x:c>
      <x:c r="I109" s="309" t="str">
        <x:v>是</x:v>
      </x:c>
      <x:c r="J109" s="352" t="n">
        <x:v>19.488683333333334</x:v>
      </x:c>
      <x:c r="K109" s="352" t="n">
        <x:v>19.488683333333334</x:v>
      </x:c>
      <x:c r="L109" s="352"/>
      <x:c r="M109" s="309" t="str">
        <x:v>公开/登录后下载</x:v>
      </x:c>
      <x:c r="N109" s="309" t="str">
        <x:v>OpenNeuro 官方页面或 BIDS/OpenNeuro 下载工具</x:v>
      </x:c>
      <x:c r="O109" s="309" t="str">
        <x:v>https://openneuro.org/datasets/ds007526/versions/1.0.2</x:v>
      </x:c>
      <x:c r="P109" s="309" t="str">
        <x:v>02_Biometrics_and_Disease/Neurological_Disorders/PD-EEG_Resting-State_Walking_EEG</x:v>
      </x:c>
      <x:c r="Q109" s="310" t="str">
        <x:v>无需下载；保持服务器校验记录。</x:v>
      </x:c>
    </x:row>
    <x:row r="110">
      <x:c r="A110" s="308" t="str">
        <x:v>EEG-0018</x:v>
      </x:c>
      <x:c r="B110" s="309" t="str">
        <x:v>完成</x:v>
      </x:c>
      <x:c r="C110" s="309" t="str">
        <x:v>已下载·时长已审计</x:v>
      </x:c>
      <x:c r="D110" s="309" t="str">
        <x:v>疾病/临床</x:v>
      </x:c>
      <x:c r="E110" s="309" t="str">
        <x:v>Epilepsy_and_Abnormalities</x:v>
      </x:c>
      <x:c r="F110" s="309" t="str">
        <x:v>Kaggle UPenn and Mayo Clinic Seizure Detection</x:v>
      </x:c>
      <x:c r="G110" s="309" t="str">
        <x:v>COMPLETED</x:v>
      </x:c>
      <x:c r="H110" s="309" t="str">
        <x:v>是</x:v>
      </x:c>
      <x:c r="I110" s="309" t="str">
        <x:v>是</x:v>
      </x:c>
      <x:c r="J110" s="352" t="n">
        <x:v>16.350194145529045</x:v>
      </x:c>
      <x:c r="K110" s="352" t="n">
        <x:v>16.350194145529045</x:v>
      </x:c>
      <x:c r="L110" s="352"/>
      <x:c r="M110" s="309" t="str">
        <x:v>公开/登录后下载</x:v>
      </x:c>
      <x:c r="N110" s="309" t="str">
        <x:v>Kaggle：接受规则后使用 Kaggle CLI</x:v>
      </x:c>
      <x:c r="O110" s="309" t="str">
        <x:v>https://www.kaggle.com/c/seizure-detection/data</x:v>
      </x:c>
      <x:c r="P110" s="309" t="str">
        <x:v>02_Biometrics_and_Disease/Epilepsy_and_Abnormalities/Kaggle_UPenn_and_Mayo_Clinic_Seizure_Detection</x:v>
      </x:c>
      <x:c r="Q110" s="310" t="str">
        <x:v>无需下载；保持服务器校验记录。</x:v>
      </x:c>
    </x:row>
    <x:row r="111">
      <x:c r="A111" s="308" t="str">
        <x:v>EEG-0044</x:v>
      </x:c>
      <x:c r="B111" s="309" t="str">
        <x:v>完成</x:v>
      </x:c>
      <x:c r="C111" s="309" t="str">
        <x:v>已下载·时长已审计</x:v>
      </x:c>
      <x:c r="D111" s="309" t="str">
        <x:v>疾病/临床</x:v>
      </x:c>
      <x:c r="E111" s="309" t="str">
        <x:v>Neurodegenerative_Disorders</x:v>
      </x:c>
      <x:c r="F111" s="309" t="str">
        <x:v>Dementia Photo-stimulation Open-eyes EEG</x:v>
      </x:c>
      <x:c r="G111" s="309" t="str">
        <x:v>COMPLETED</x:v>
      </x:c>
      <x:c r="H111" s="309" t="str">
        <x:v>是</x:v>
      </x:c>
      <x:c r="I111" s="309" t="str">
        <x:v>是</x:v>
      </x:c>
      <x:c r="J111" s="352" t="n">
        <x:v>14.963480000000004</x:v>
      </x:c>
      <x:c r="K111" s="352" t="n">
        <x:v>14.963480000000004</x:v>
      </x:c>
      <x:c r="L111" s="352"/>
      <x:c r="M111" s="309" t="str">
        <x:v>公开/登录后下载</x:v>
      </x:c>
      <x:c r="N111" s="309" t="str">
        <x:v>OpenNeuro 官方页面或 BIDS/OpenNeuro 下载工具</x:v>
      </x:c>
      <x:c r="O111" s="309" t="str">
        <x:v>https://openneuro.org/datasets/ds006036/versions/1.0.6</x:v>
      </x:c>
      <x:c r="P111" s="309" t="str">
        <x:v>02_Biometrics_and_Disease/Neurodegenerative_Disorders/Dementia_Photo-stimulation_Open-eyes_EEG</x:v>
      </x:c>
      <x:c r="Q111" s="310" t="str">
        <x:v>无需下载；保持服务器校验记录。</x:v>
      </x:c>
    </x:row>
    <x:row r="112">
      <x:c r="A112" s="308" t="str">
        <x:v>EEG-0078</x:v>
      </x:c>
      <x:c r="B112" s="309" t="str">
        <x:v>完成</x:v>
      </x:c>
      <x:c r="C112" s="309" t="str">
        <x:v>已下载·时长已审计</x:v>
      </x:c>
      <x:c r="D112" s="309" t="str">
        <x:v>疾病/临床</x:v>
      </x:c>
      <x:c r="E112" s="309" t="str">
        <x:v>Neurological_Disorders</x:v>
      </x:c>
      <x:c r="F112" s="309" t="str">
        <x:v>EEG: 3-Stim Auditory Oddball and Rest in Parkinson’s</x:v>
      </x:c>
      <x:c r="G112" s="309" t="str">
        <x:v>COMPLETED</x:v>
      </x:c>
      <x:c r="H112" s="309" t="str">
        <x:v>是</x:v>
      </x:c>
      <x:c r="I112" s="309" t="str">
        <x:v>是</x:v>
      </x:c>
      <x:c r="J112" s="352" t="n">
        <x:v>12.759916666666669</x:v>
      </x:c>
      <x:c r="K112" s="352" t="n">
        <x:v>12.759916666666669</x:v>
      </x:c>
      <x:c r="L112" s="352"/>
      <x:c r="M112" s="309" t="str">
        <x:v>需要申请</x:v>
      </x:c>
      <x:c r="N112" s="309" t="str">
        <x:v>Hugging Face：huggingface-cli download 或 Git LFS</x:v>
      </x:c>
      <x:c r="O112" s="309" t="str">
        <x:v>https://huggingface.co/datasets/EEGDash/ds003490</x:v>
      </x:c>
      <x:c r="P112" s="309" t="str">
        <x:v>02_Biometrics_and_Disease/Neurological_Disorders/EEG_3-Stim_Auditory_Oddball_and_Rest_in_Parkinson_s</x:v>
      </x:c>
      <x:c r="Q112" s="310" t="str">
        <x:v>无需下载；保持服务器校验记录。</x:v>
      </x:c>
    </x:row>
    <x:row r="113">
      <x:c r="A113" s="308" t="str">
        <x:v>EEG-0089</x:v>
      </x:c>
      <x:c r="B113" s="309" t="str">
        <x:v>完成</x:v>
      </x:c>
      <x:c r="C113" s="309" t="str">
        <x:v>已下载·时长已审计</x:v>
      </x:c>
      <x:c r="D113" s="309" t="str">
        <x:v>疾病/临床</x:v>
      </x:c>
      <x:c r="E113" s="309" t="str">
        <x:v>Neurological_Disorders</x:v>
      </x:c>
      <x:c r="F113" s="309" t="str">
        <x:v>Mu and Beta Oscillatory Changes during a motor task following Rehabilitation in Chronic MCA Stroke: Insights from EEG</x:v>
      </x:c>
      <x:c r="G113" s="309" t="str">
        <x:v>COMPLETED</x:v>
      </x:c>
      <x:c r="H113" s="309" t="str">
        <x:v>是</x:v>
      </x:c>
      <x:c r="I113" s="309" t="str">
        <x:v>是</x:v>
      </x:c>
      <x:c r="J113" s="352" t="n">
        <x:v>12.290877777777778</x:v>
      </x:c>
      <x:c r="K113" s="352" t="n">
        <x:v>12.290877777777778</x:v>
      </x:c>
      <x:c r="L113" s="352"/>
      <x:c r="M113" s="309" t="str">
        <x:v>公开/登录后下载</x:v>
      </x:c>
      <x:c r="N113" s="309" t="str">
        <x:v>Zenodo 官方文件下载/API</x:v>
      </x:c>
      <x:c r="O113" s="309" t="str">
        <x:v>https://zenodo.org/records/19599466</x:v>
      </x:c>
      <x:c r="P113" s="309" t="str">
        <x:v>02_Biometrics_and_Disease/Neurological_Disorders/Mu_and_Beta_Oscillatory_Changes_during_a_motor_task_following_Rehabilitation_in_Chronic_MC</x:v>
      </x:c>
      <x:c r="Q113" s="310" t="str">
        <x:v>无需下载；保持服务器校验记录。</x:v>
      </x:c>
    </x:row>
    <x:row r="114">
      <x:c r="A114" s="308" t="str">
        <x:v>EEG-0055</x:v>
      </x:c>
      <x:c r="B114" s="309" t="str">
        <x:v>完成</x:v>
      </x:c>
      <x:c r="C114" s="309" t="str">
        <x:v>已下载·时长已审计</x:v>
      </x:c>
      <x:c r="D114" s="309" t="str">
        <x:v>疾病/临床</x:v>
      </x:c>
      <x:c r="E114" s="309" t="str">
        <x:v>Mental_and_Developmental_Disorders</x:v>
      </x:c>
      <x:c r="F114" s="309" t="str">
        <x:v>FEPCR</x:v>
      </x:c>
      <x:c r="G114" s="309" t="str">
        <x:v>COMPLETED</x:v>
      </x:c>
      <x:c r="H114" s="309" t="str">
        <x:v>是</x:v>
      </x:c>
      <x:c r="I114" s="309" t="str">
        <x:v>是</x:v>
      </x:c>
      <x:c r="J114" s="352" t="n">
        <x:v>12.265277302055557</x:v>
      </x:c>
      <x:c r="K114" s="352" t="n">
        <x:v>12.265277302055557</x:v>
      </x:c>
      <x:c r="L114" s="352"/>
      <x:c r="M114" s="309" t="str">
        <x:v>公开/登录后下载</x:v>
      </x:c>
      <x:c r="N114" s="309" t="str">
        <x:v>Hugging Face：huggingface-cli download 或 Git LFS</x:v>
      </x:c>
      <x:c r="O114" s="309" t="str">
        <x:v>https://huggingface.co/datasets/EEGDash/ds003944</x:v>
      </x:c>
      <x:c r="P114" s="309" t="str">
        <x:v>02_Biometrics_and_Disease/Mental_and_Developmental_Disorders/FEPCR</x:v>
      </x:c>
      <x:c r="Q114" s="310" t="str">
        <x:v>无需下载；保持服务器校验记录。</x:v>
      </x:c>
    </x:row>
    <x:row r="115">
      <x:c r="A115" s="308" t="str">
        <x:v>EEG-0056</x:v>
      </x:c>
      <x:c r="B115" s="309" t="str">
        <x:v>完成</x:v>
      </x:c>
      <x:c r="C115" s="309" t="str">
        <x:v>已下载·时长已审计</x:v>
      </x:c>
      <x:c r="D115" s="309" t="str">
        <x:v>疾病/临床</x:v>
      </x:c>
      <x:c r="E115" s="309" t="str">
        <x:v>Mental_and_Developmental_Disorders</x:v>
      </x:c>
      <x:c r="F115" s="309" t="str">
        <x:v>Fribourg Ultimatum Game in Schizophrenia Study</x:v>
      </x:c>
      <x:c r="G115" s="309" t="str">
        <x:v>COMPLETED</x:v>
      </x:c>
      <x:c r="H115" s="309" t="str">
        <x:v>是</x:v>
      </x:c>
      <x:c r="I115" s="309" t="str">
        <x:v>是</x:v>
      </x:c>
      <x:c r="J115" s="352" t="n">
        <x:v>12.056666666666667</x:v>
      </x:c>
      <x:c r="K115" s="352" t="n">
        <x:v>12.056666666666667</x:v>
      </x:c>
      <x:c r="L115" s="352"/>
      <x:c r="M115" s="309" t="str">
        <x:v>需要申请</x:v>
      </x:c>
      <x:c r="N115" s="309" t="str">
        <x:v>Hugging Face：huggingface-cli download 或 Git LFS</x:v>
      </x:c>
      <x:c r="O115" s="309" t="str">
        <x:v>https://huggingface.co/datasets/EEGDash/ds004000</x:v>
      </x:c>
      <x:c r="P115" s="309" t="str">
        <x:v>02_Biometrics_and_Disease/Mental_and_Developmental_Disorders/Fribourg_Ultimatum_Game_in_Schizophrenia_Study</x:v>
      </x:c>
      <x:c r="Q115" s="310" t="str">
        <x:v>无需下载；保持服务器校验记录。</x:v>
      </x:c>
    </x:row>
    <x:row r="116">
      <x:c r="A116" s="308" t="str">
        <x:v>EEG-0083</x:v>
      </x:c>
      <x:c r="B116" s="309" t="str">
        <x:v>完成</x:v>
      </x:c>
      <x:c r="C116" s="309" t="str">
        <x:v>已下载·时长已审计</x:v>
      </x:c>
      <x:c r="D116" s="309" t="str">
        <x:v>疾病/临床</x:v>
      </x:c>
      <x:c r="E116" s="309" t="str">
        <x:v>Neurological_Disorders</x:v>
      </x:c>
      <x:c r="F116" s="309" t="str">
        <x:v>Intraoperative Medianus-tibialis Stimulation EEG</x:v>
      </x:c>
      <x:c r="G116" s="309" t="str">
        <x:v>COMPLETED</x:v>
      </x:c>
      <x:c r="H116" s="309" t="str">
        <x:v>是</x:v>
      </x:c>
      <x:c r="I116" s="309" t="str">
        <x:v>是</x:v>
      </x:c>
      <x:c r="J116" s="352" t="n">
        <x:v>11.763055555555555</x:v>
      </x:c>
      <x:c r="K116" s="352" t="n">
        <x:v>11.763055555555555</x:v>
      </x:c>
      <x:c r="L116" s="352"/>
      <x:c r="M116" s="309" t="str">
        <x:v>公开/登录后下载</x:v>
      </x:c>
      <x:c r="N116" s="309" t="str">
        <x:v>OpenNeuro 官方页面或 BIDS/OpenNeuro 下载工具</x:v>
      </x:c>
      <x:c r="O116" s="309" t="str">
        <x:v>https://openneuro.org/datasets/ds004381/versions/1.0.2</x:v>
      </x:c>
      <x:c r="P116" s="309" t="str">
        <x:v>02_Biometrics_and_Disease/Neurological_Disorders/Intraoperative_Medianus-tibialis_Stimulation_EEG</x:v>
      </x:c>
      <x:c r="Q116" s="310" t="str">
        <x:v>无需下载；保持服务器校验记录。</x:v>
      </x:c>
    </x:row>
    <x:row r="117">
      <x:c r="A117" s="308" t="str">
        <x:v>EEG-0075</x:v>
      </x:c>
      <x:c r="B117" s="309" t="str">
        <x:v>完成</x:v>
      </x:c>
      <x:c r="C117" s="309" t="str">
        <x:v>已下载·时长已审计</x:v>
      </x:c>
      <x:c r="D117" s="309" t="str">
        <x:v>疾病/临床</x:v>
      </x:c>
      <x:c r="E117" s="309" t="str">
        <x:v>Neurological_Disorders</x:v>
      </x:c>
      <x:c r="F117" s="309" t="str">
        <x:v>Dataset of electrophysiological signals (EEG, ECG, EMG) during Music therapy with adult burn patients in the Intensive Care Unit.</x:v>
      </x:c>
      <x:c r="G117" s="309" t="str">
        <x:v>COMPLETED</x:v>
      </x:c>
      <x:c r="H117" s="309" t="str">
        <x:v>是</x:v>
      </x:c>
      <x:c r="I117" s="309" t="str">
        <x:v>是</x:v>
      </x:c>
      <x:c r="J117" s="352" t="n">
        <x:v>10.940555555555555</x:v>
      </x:c>
      <x:c r="K117" s="352" t="n">
        <x:v>10.940555555555555</x:v>
      </x:c>
      <x:c r="L117" s="352"/>
      <x:c r="M117" s="309" t="str">
        <x:v>公开/登录后下载</x:v>
      </x:c>
      <x:c r="N117" s="309" t="str">
        <x:v>OpenNeuro 官方页面或 BIDS/OpenNeuro 下载工具</x:v>
      </x:c>
      <x:c r="O117" s="309" t="str">
        <x:v>https://openneuro.org/datasets/ds004840/versions/1.0.1</x:v>
      </x:c>
      <x:c r="P117" s="309" t="str">
        <x:v>02_Biometrics_and_Disease/Neurological_Disorders/Dataset_of_electrophysiological_signals_EEG_ECG_EMG_during_Music_therapy_with_adult_burn_p</x:v>
      </x:c>
      <x:c r="Q117" s="310" t="str">
        <x:v>无需下载；保持服务器校验记录。</x:v>
      </x:c>
    </x:row>
    <x:row r="118">
      <x:c r="A118" s="308" t="str">
        <x:v>EEG-0060</x:v>
      </x:c>
      <x:c r="B118" s="309" t="str">
        <x:v>完成</x:v>
      </x:c>
      <x:c r="C118" s="309" t="str">
        <x:v>已下载·时长已审计</x:v>
      </x:c>
      <x:c r="D118" s="309" t="str">
        <x:v>疾病/临床</x:v>
      </x:c>
      <x:c r="E118" s="309" t="str">
        <x:v>Mental_and_Developmental_Disorders</x:v>
      </x:c>
      <x:c r="F118" s="309" t="str">
        <x:v>Schizophrenia-81</x:v>
      </x:c>
      <x:c r="G118" s="309" t="str">
        <x:v>COMPLETED</x:v>
      </x:c>
      <x:c r="H118" s="309" t="str">
        <x:v>是</x:v>
      </x:c>
      <x:c r="I118" s="309" t="str">
        <x:v>是</x:v>
      </x:c>
      <x:c r="J118" s="352" t="n">
        <x:v>9.605833333333333</x:v>
      </x:c>
      <x:c r="K118" s="352" t="n">
        <x:v>9.605833333333333</x:v>
      </x:c>
      <x:c r="L118" s="352"/>
      <x:c r="M118" s="309" t="str">
        <x:v>公开/登录后下载</x:v>
      </x:c>
      <x:c r="N118" s="309" t="str">
        <x:v>Kaggle：接受规则后使用 Kaggle CLI</x:v>
      </x:c>
      <x:c r="O118" s="309" t="str">
        <x:v>https://www.kaggle.com/datasets/broach/button-tone-sz</x:v>
      </x:c>
      <x:c r="P118" s="309" t="str">
        <x:v>02_Biometrics_and_Disease/Mental_and_Developmental_Disorders/Schizophrenia-81</x:v>
      </x:c>
      <x:c r="Q118" s="310" t="str">
        <x:v>无需下载；保持服务器校验记录。</x:v>
      </x:c>
    </x:row>
    <x:row r="119">
      <x:c r="A119" s="308" t="str">
        <x:v>EEG-0098</x:v>
      </x:c>
      <x:c r="B119" s="309" t="str">
        <x:v>完成</x:v>
      </x:c>
      <x:c r="C119" s="309" t="str">
        <x:v>已下载·时长已审计</x:v>
      </x:c>
      <x:c r="D119" s="309" t="str">
        <x:v>疾病/临床</x:v>
      </x:c>
      <x:c r="E119" s="309" t="str">
        <x:v>Neurological_Disorders</x:v>
      </x:c>
      <x:c r="F119" s="309" t="str">
        <x:v>Tinnitus Acoustic Therapy EEG Database</x:v>
      </x:c>
      <x:c r="G119" s="309" t="str">
        <x:v>COMPLETED</x:v>
      </x:c>
      <x:c r="H119" s="309" t="str">
        <x:v>是</x:v>
      </x:c>
      <x:c r="I119" s="309" t="str">
        <x:v>是</x:v>
      </x:c>
      <x:c r="J119" s="352" t="n">
        <x:v>8.41</x:v>
      </x:c>
      <x:c r="K119" s="352" t="n">
        <x:v>8.41</x:v>
      </x:c>
      <x:c r="L119" s="352"/>
      <x:c r="M119" s="309" t="str">
        <x:v>公开/登录后下载</x:v>
      </x:c>
      <x:c r="N119" s="309" t="str">
        <x:v>打开官方入口并按页面说明下载</x:v>
      </x:c>
      <x:c r="O119" s="309" t="str">
        <x:v>https://data.mendeley.com/datasets/kj443jc4yc</x:v>
      </x:c>
      <x:c r="P119" s="309" t="str">
        <x:v>02_Biometrics_and_Disease/Neurological_Disorders/Tinnitus_Acoustic_Therapy_EEG_Database</x:v>
      </x:c>
      <x:c r="Q119" s="310" t="str">
        <x:v>无需下载；保持服务器校验记录。</x:v>
      </x:c>
    </x:row>
    <x:row r="120">
      <x:c r="A120" s="308" t="str">
        <x:v>EEG-0054</x:v>
      </x:c>
      <x:c r="B120" s="309" t="str">
        <x:v>完成</x:v>
      </x:c>
      <x:c r="C120" s="309" t="str">
        <x:v>已下载·时长已审计</x:v>
      </x:c>
      <x:c r="D120" s="309" t="str">
        <x:v>疾病/临床</x:v>
      </x:c>
      <x:c r="E120" s="309" t="str">
        <x:v>Mental_and_Developmental_Disorders</x:v>
      </x:c>
      <x:c r="F120" s="309" t="str">
        <x:v>EEG in schizophrenia</x:v>
      </x:c>
      <x:c r="G120" s="309" t="str">
        <x:v>COMPLETED</x:v>
      </x:c>
      <x:c r="H120" s="309" t="str">
        <x:v>是</x:v>
      </x:c>
      <x:c r="I120" s="309" t="str">
        <x:v>是</x:v>
      </x:c>
      <x:c r="J120" s="352" t="n">
        <x:v>8.0175</x:v>
      </x:c>
      <x:c r="K120" s="352" t="n">
        <x:v>8.0175</x:v>
      </x:c>
      <x:c r="L120" s="352"/>
      <x:c r="M120" s="309" t="str">
        <x:v>公开/登录后下载</x:v>
      </x:c>
      <x:c r="N120" s="309" t="str">
        <x:v>打开官方入口并按页面说明下载</x:v>
      </x:c>
      <x:c r="O120" s="309" t="str">
        <x:v>https://repod.icm.edu.pl/dataset.xhtml?persistentId=doi%3A10.18150%2Frepod.0107441</x:v>
      </x:c>
      <x:c r="P120" s="309" t="str">
        <x:v>02_Biometrics_and_Disease/Mental_and_Developmental_Disorders/EEG_in_schizophrenia</x:v>
      </x:c>
      <x:c r="Q120" s="310" t="str">
        <x:v>无需下载；保持服务器校验记录。</x:v>
      </x:c>
    </x:row>
    <x:row r="121">
      <x:c r="A121" s="308" t="str">
        <x:v>EEG-0030</x:v>
      </x:c>
      <x:c r="B121" s="309" t="str">
        <x:v>完成</x:v>
      </x:c>
      <x:c r="C121" s="309" t="str">
        <x:v>已下载·时长已审计</x:v>
      </x:c>
      <x:c r="D121" s="309" t="str">
        <x:v>疾病/临床</x:v>
      </x:c>
      <x:c r="E121" s="309" t="str">
        <x:v>Epilepsy_and_Abnormalities</x:v>
      </x:c>
      <x:c r="F121" s="309" t="str">
        <x:v>OpenNeuro ds003029 Epilepsy iEEG Multicenter</x:v>
      </x:c>
      <x:c r="G121" s="309" t="str">
        <x:v>COMPLETED</x:v>
      </x:c>
      <x:c r="H121" s="309" t="str">
        <x:v>是</x:v>
      </x:c>
      <x:c r="I121" s="309" t="str">
        <x:v>是</x:v>
      </x:c>
      <x:c r="J121" s="352" t="n">
        <x:v>7.958339006721048</x:v>
      </x:c>
      <x:c r="K121" s="352" t="n">
        <x:v>7.958339006721048</x:v>
      </x:c>
      <x:c r="L121" s="352"/>
      <x:c r="M121" s="309" t="str">
        <x:v>公开/登录后下载</x:v>
      </x:c>
      <x:c r="N121" s="309" t="str">
        <x:v>OpenNeuro 官方页面或 BIDS/OpenNeuro 下载工具</x:v>
      </x:c>
      <x:c r="O121" s="309" t="str">
        <x:v>https://openneuro.org/datasets/ds003029</x:v>
      </x:c>
      <x:c r="P121" s="309" t="str">
        <x:v>02_Biometrics_and_Disease/Epilepsy_and_Abnormalities/OpenNeuro_ds003029_Epilepsy_iEEG_Multicenter</x:v>
      </x:c>
      <x:c r="Q121" s="310" t="str">
        <x:v>无需下载；保持服务器校验记录。</x:v>
      </x:c>
    </x:row>
    <x:row r="122">
      <x:c r="A122" s="308" t="str">
        <x:v>EEG-0048</x:v>
      </x:c>
      <x:c r="B122" s="309" t="str">
        <x:v>完成</x:v>
      </x:c>
      <x:c r="C122" s="309" t="str">
        <x:v>已下载·时长已审计</x:v>
      </x:c>
      <x:c r="D122" s="309" t="str">
        <x:v>疾病/临床</x:v>
      </x:c>
      <x:c r="E122" s="309" t="str">
        <x:v>Mental_and_Developmental_Disorders</x:v>
      </x:c>
      <x:c r="F122" s="309" t="str">
        <x:v>Adult ADHD EEG</x:v>
      </x:c>
      <x:c r="G122" s="309" t="str">
        <x:v>COMPLETED</x:v>
      </x:c>
      <x:c r="H122" s="309" t="str">
        <x:v>是</x:v>
      </x:c>
      <x:c r="I122" s="309" t="str">
        <x:v>是</x:v>
      </x:c>
      <x:c r="J122" s="352" t="n">
        <x:v>7.111111111111111</x:v>
      </x:c>
      <x:c r="K122" s="352" t="n">
        <x:v>7.111111111111111</x:v>
      </x:c>
      <x:c r="L122" s="352"/>
      <x:c r="M122" s="309" t="str">
        <x:v>公开/登录后下载</x:v>
      </x:c>
      <x:c r="N122" s="309" t="str">
        <x:v>打开官方入口并按页面说明下载</x:v>
      </x:c>
      <x:c r="O122" s="309" t="str">
        <x:v>https://data.mendeley.com/datasets/6k4g25fhzg/1</x:v>
      </x:c>
      <x:c r="P122" s="309" t="str">
        <x:v>02_Biometrics_and_Disease/Mental_and_Developmental_Disorders/Adult_ADHD_EEG</x:v>
      </x:c>
      <x:c r="Q122" s="310" t="str">
        <x:v>无需下载；保持服务器校验记录。</x:v>
      </x:c>
    </x:row>
    <x:row r="123">
      <x:c r="A123" s="308" t="str">
        <x:v>EEG-0059</x:v>
      </x:c>
      <x:c r="B123" s="309" t="str">
        <x:v>完成</x:v>
      </x:c>
      <x:c r="C123" s="309" t="str">
        <x:v>已下载·时长已审计</x:v>
      </x:c>
      <x:c r="D123" s="309" t="str">
        <x:v>疾病/临床</x:v>
      </x:c>
      <x:c r="E123" s="309" t="str">
        <x:v>Mental_and_Developmental_Disorders</x:v>
      </x:c>
      <x:c r="F123" s="309" t="str">
        <x:v>Power Spectral Density-Based Resting-State EEG Classification of First-Episode Psychosis</x:v>
      </x:c>
      <x:c r="G123" s="309" t="str">
        <x:v>COMPLETED</x:v>
      </x:c>
      <x:c r="H123" s="309" t="str">
        <x:v>是</x:v>
      </x:c>
      <x:c r="I123" s="309" t="str">
        <x:v>是</x:v>
      </x:c>
      <x:c r="J123" s="352" t="n">
        <x:v>6.05</x:v>
      </x:c>
      <x:c r="K123" s="352" t="n">
        <x:v>6.05</x:v>
      </x:c>
      <x:c r="L123" s="352"/>
      <x:c r="M123" s="309" t="str">
        <x:v>公开/登录后下载</x:v>
      </x:c>
      <x:c r="N123" s="309" t="str">
        <x:v>Zenodo 官方文件下载/API</x:v>
      </x:c>
      <x:c r="O123" s="309" t="str">
        <x:v>https://zenodo.org/records/7315010</x:v>
      </x:c>
      <x:c r="P123" s="309" t="str">
        <x:v>02_Biometrics_and_Disease/Mental_and_Developmental_Disorders/Power_Spectral_Density-Based_Resting-State_EEG_Classification_of_First-Episode_Psychosis</x:v>
      </x:c>
      <x:c r="Q123" s="310" t="str">
        <x:v>无需下载；保持服务器校验记录。</x:v>
      </x:c>
    </x:row>
    <x:row r="124">
      <x:c r="A124" s="308" t="str">
        <x:v>EEG-0039</x:v>
      </x:c>
      <x:c r="B124" s="309" t="str">
        <x:v>完成</x:v>
      </x:c>
      <x:c r="C124" s="309" t="str">
        <x:v>已下载·时长已审计</x:v>
      </x:c>
      <x:c r="D124" s="309" t="str">
        <x:v>疾病/临床</x:v>
      </x:c>
      <x:c r="E124" s="309" t="str">
        <x:v>Neurodegenerative_Disorders</x:v>
      </x:c>
      <x:c r="F124" s="309" t="str">
        <x:v>AD-Auditory</x:v>
      </x:c>
      <x:c r="G124" s="309" t="str">
        <x:v>COMPLETED</x:v>
      </x:c>
      <x:c r="H124" s="309" t="str">
        <x:v>是</x:v>
      </x:c>
      <x:c r="I124" s="309" t="str">
        <x:v>是</x:v>
      </x:c>
      <x:c r="J124" s="352" t="n">
        <x:v>5.2027777777777775</x:v>
      </x:c>
      <x:c r="K124" s="352" t="n">
        <x:v>5.2027777777777775</x:v>
      </x:c>
      <x:c r="L124" s="352"/>
      <x:c r="M124" s="309" t="str">
        <x:v>公开/登录后下载</x:v>
      </x:c>
      <x:c r="N124" s="309" t="str">
        <x:v>OpenNeuro 官方页面或 BIDS/OpenNeuro 下载工具</x:v>
      </x:c>
      <x:c r="O124" s="309" t="str">
        <x:v>https://openneuro.org/datasets/ds005048</x:v>
      </x:c>
      <x:c r="P124" s="309" t="str">
        <x:v>02_Biometrics_and_Disease/Neurodegenerative_Disorders/AD-Auditory</x:v>
      </x:c>
      <x:c r="Q124" s="310" t="str">
        <x:v>无需下载；保持服务器校验记录。</x:v>
      </x:c>
    </x:row>
    <x:row r="125">
      <x:c r="A125" s="308" t="str">
        <x:v>EEG-0084</x:v>
      </x:c>
      <x:c r="B125" s="309" t="str">
        <x:v>完成</x:v>
      </x:c>
      <x:c r="C125" s="309" t="str">
        <x:v>已下载·时长已审计</x:v>
      </x:c>
      <x:c r="D125" s="309" t="str">
        <x:v>疾病/临床</x:v>
      </x:c>
      <x:c r="E125" s="309" t="str">
        <x:v>Neurological_Disorders</x:v>
      </x:c>
      <x:c r="F125" s="309" t="str">
        <x:v>Liu2024</x:v>
      </x:c>
      <x:c r="G125" s="309" t="str">
        <x:v>COMPLETED</x:v>
      </x:c>
      <x:c r="H125" s="309" t="str">
        <x:v>是</x:v>
      </x:c>
      <x:c r="I125" s="309" t="str">
        <x:v>是</x:v>
      </x:c>
      <x:c r="J125" s="352" t="n">
        <x:v>4.444444444444445</x:v>
      </x:c>
      <x:c r="K125" s="352" t="n">
        <x:v>4.444444444444445</x:v>
      </x:c>
      <x:c r="L125" s="352"/>
      <x:c r="M125" s="309" t="str">
        <x:v>需要申请</x:v>
      </x:c>
      <x:c r="N125" s="309" t="str">
        <x:v>打开官方入口并按页面说明下载</x:v>
      </x:c>
      <x:c r="O125" s="309" t="str">
        <x:v>https://moabb.neurotechx.com/docs/generated/moabb.datasets.Liu2024.html</x:v>
      </x:c>
      <x:c r="P125" s="309" t="str">
        <x:v>02_Biometrics_and_Disease/Neurological_Disorders/Liu2024</x:v>
      </x:c>
      <x:c r="Q125" s="310" t="str">
        <x:v>无需下载；保持服务器校验记录。</x:v>
      </x:c>
    </x:row>
    <x:row r="126">
      <x:c r="A126" s="308" t="str">
        <x:v>EEG-0041</x:v>
      </x:c>
      <x:c r="B126" s="309" t="str">
        <x:v>完成</x:v>
      </x:c>
      <x:c r="C126" s="309" t="str">
        <x:v>已下载·时长已审计</x:v>
      </x:c>
      <x:c r="D126" s="309" t="str">
        <x:v>疾病/临床</x:v>
      </x:c>
      <x:c r="E126" s="309" t="str">
        <x:v>Neurodegenerative_Disorders</x:v>
      </x:c>
      <x:c r="F126" s="309" t="str">
        <x:v>Alzheimer Risk Classification Sample-enrichment EEG</x:v>
      </x:c>
      <x:c r="G126" s="309" t="str">
        <x:v>COMPLETED</x:v>
      </x:c>
      <x:c r="H126" s="309" t="str">
        <x:v>是</x:v>
      </x:c>
      <x:c r="I126" s="309" t="str">
        <x:v>是</x:v>
      </x:c>
      <x:c r="J126" s="352" t="n">
        <x:v>3.9115555555555552</x:v>
      </x:c>
      <x:c r="K126" s="352" t="n">
        <x:v>3.9115555555555552</x:v>
      </x:c>
      <x:c r="L126" s="352"/>
      <x:c r="M126" s="309" t="str">
        <x:v>公开/登录后下载</x:v>
      </x:c>
      <x:c r="N126" s="309" t="str">
        <x:v>OpenNeuro 官方页面或 BIDS/OpenNeuro 下载工具</x:v>
      </x:c>
      <x:c r="O126" s="309" t="str">
        <x:v>https://openneuro.org/datasets/ds007427/versions/1.0.1</x:v>
      </x:c>
      <x:c r="P126" s="309" t="str">
        <x:v>02_Biometrics_and_Disease/Neurodegenerative_Disorders/Alzheimer_Risk_Classification_Sample-enrichment_EEG</x:v>
      </x:c>
      <x:c r="Q126" s="310" t="str">
        <x:v>无需下载；保持服务器校验记录。</x:v>
      </x:c>
    </x:row>
    <x:row r="127">
      <x:c r="A127" s="308" t="str">
        <x:v>EEG-0008</x:v>
      </x:c>
      <x:c r="B127" s="309" t="str">
        <x:v>完成</x:v>
      </x:c>
      <x:c r="C127" s="309" t="str">
        <x:v>已下载·时长已审计</x:v>
      </x:c>
      <x:c r="D127" s="309" t="str">
        <x:v>疾病/临床</x:v>
      </x:c>
      <x:c r="E127" s="309" t="str">
        <x:v>Epilepsy_and_Abnormalities</x:v>
      </x:c>
      <x:c r="F127" s="309" t="str">
        <x:v>Bonn EEG Seizure Dataset</x:v>
      </x:c>
      <x:c r="G127" s="309" t="str">
        <x:v>COMPLETED</x:v>
      </x:c>
      <x:c r="H127" s="309" t="str">
        <x:v>是</x:v>
      </x:c>
      <x:c r="I127" s="309" t="str">
        <x:v>是</x:v>
      </x:c>
      <x:c r="J127" s="352" t="n">
        <x:v>3.277620976774251</x:v>
      </x:c>
      <x:c r="K127" s="352" t="n">
        <x:v>3.277620976774251</x:v>
      </x:c>
      <x:c r="L127" s="352"/>
      <x:c r="M127" s="309" t="str">
        <x:v>公开/登录后下载</x:v>
      </x:c>
      <x:c r="N127" s="309" t="str">
        <x:v>打开官方入口并按页面说明下载</x:v>
      </x:c>
      <x:c r="O127" s="309" t="str">
        <x:v>https://www.ukbonn.de/epileptologie/arbeitsgruppen/ag-lehnertz-neurophysik/downloads/</x:v>
      </x:c>
      <x:c r="P127" s="309" t="str">
        <x:v>02_Biometrics_and_Disease/Epilepsy_and_Abnormalities/Bonn_EEG_Seizure_Dataset</x:v>
      </x:c>
      <x:c r="Q127" s="310" t="str">
        <x:v>无需下载；保持服务器校验记录。</x:v>
      </x:c>
    </x:row>
    <x:row r="128">
      <x:c r="A128" s="308" t="str">
        <x:v>EEG-0071</x:v>
      </x:c>
      <x:c r="B128" s="309" t="str">
        <x:v>完成</x:v>
      </x:c>
      <x:c r="C128" s="309" t="str">
        <x:v>已下载·时长已审计</x:v>
      </x:c>
      <x:c r="D128" s="309" t="str">
        <x:v>疾病/临床</x:v>
      </x:c>
      <x:c r="E128" s="309" t="str">
        <x:v>Neurological_Disorders</x:v>
      </x:c>
      <x:c r="F128" s="309" t="str">
        <x:v>BNCI 008-2014 (P300 speller, ALS)</x:v>
      </x:c>
      <x:c r="G128" s="309" t="str">
        <x:v>COMPLETED</x:v>
      </x:c>
      <x:c r="H128" s="309" t="str">
        <x:v>是</x:v>
      </x:c>
      <x:c r="I128" s="309" t="str">
        <x:v>是</x:v>
      </x:c>
      <x:c r="J128" s="352" t="n">
        <x:v>3.018263888888889</x:v>
      </x:c>
      <x:c r="K128" s="352" t="n">
        <x:v>3.018263888888889</x:v>
      </x:c>
      <x:c r="L128" s="352"/>
      <x:c r="M128" s="309" t="str">
        <x:v>公开/登录后下载</x:v>
      </x:c>
      <x:c r="N128" s="309" t="str">
        <x:v>打开官方入口并按页面说明下载</x:v>
      </x:c>
      <x:c r="O128" s="309" t="str">
        <x:v>http://bnci-horizon-2020.eu/database/data-sets</x:v>
      </x:c>
      <x:c r="P128" s="309" t="str">
        <x:v>02_Biometrics_and_Disease/Neurological_Disorders/BNCI_008-2014_P300_speller_ALS</x:v>
      </x:c>
      <x:c r="Q128" s="310" t="str">
        <x:v>无需下载；保持服务器校验记录。</x:v>
      </x:c>
    </x:row>
    <x:row r="129">
      <x:c r="A129" s="308" t="str">
        <x:v>EEG-0063</x:v>
      </x:c>
      <x:c r="B129" s="309" t="str">
        <x:v>完成</x:v>
      </x:c>
      <x:c r="C129" s="309" t="str">
        <x:v>已下载·时长已审计</x:v>
      </x:c>
      <x:c r="D129" s="309" t="str">
        <x:v>疾病/临床</x:v>
      </x:c>
      <x:c r="E129" s="309" t="str">
        <x:v>Neurological_Disorders</x:v>
      </x:c>
      <x:c r="F129" s="309" t="str">
        <x:v>Clinical BCI Challenge WCCI 2020 (Stroke Motor Attempt)</x:v>
      </x:c>
      <x:c r="G129" s="309" t="str">
        <x:v>COMPLETED</x:v>
      </x:c>
      <x:c r="H129" s="309" t="str">
        <x:v>是</x:v>
      </x:c>
      <x:c r="I129" s="309" t="str">
        <x:v>是</x:v>
      </x:c>
      <x:c r="J129" s="352" t="n">
        <x:v>2.6666666666666665</x:v>
      </x:c>
      <x:c r="K129" s="352" t="n">
        <x:v>2.6666666666666665</x:v>
      </x:c>
      <x:c r="L129" s="352"/>
      <x:c r="M129" s="309" t="str">
        <x:v>公开/登录后下载</x:v>
      </x:c>
      <x:c r="N129" s="309" t="str">
        <x:v>GitHub release/仓库说明中的官方数据入口</x:v>
      </x:c>
      <x:c r="O129" s="309" t="str">
        <x:v>https://github.com/5anirban9/Clinical-Brain-Computer-Interfaces-Challenge-WCCI-2020-Glasgow</x:v>
      </x:c>
      <x:c r="P129" s="309" t="str">
        <x:v>02_Biometrics_and_Disease/Neurological_Disorders/Acute_Stroke_Motor_Imagery_EEG_Dataset</x:v>
      </x:c>
      <x:c r="Q129" s="310" t="str">
        <x:v>无需下载；保持服务器校验记录。</x:v>
      </x:c>
    </x:row>
    <x:row r="130">
      <x:c r="A130" s="308" t="str">
        <x:v>EEG-0094</x:v>
      </x:c>
      <x:c r="B130" s="309" t="str">
        <x:v>完成</x:v>
      </x:c>
      <x:c r="C130" s="309" t="str">
        <x:v>已下载·时长已审计</x:v>
      </x:c>
      <x:c r="D130" s="309" t="str">
        <x:v>疾病/临床</x:v>
      </x:c>
      <x:c r="E130" s="309" t="str">
        <x:v>Neurological_Disorders</x:v>
      </x:c>
      <x:c r="F130" s="309" t="str">
        <x:v>PD31 (Parkinson)</x:v>
      </x:c>
      <x:c r="G130" s="309" t="str">
        <x:v>COMPLETED</x:v>
      </x:c>
      <x:c r="H130" s="309" t="str">
        <x:v>是</x:v>
      </x:c>
      <x:c r="I130" s="309" t="str">
        <x:v>是</x:v>
      </x:c>
      <x:c r="J130" s="352" t="n">
        <x:v>2.517777777777778</x:v>
      </x:c>
      <x:c r="K130" s="352" t="n">
        <x:v>2.517777777777778</x:v>
      </x:c>
      <x:c r="L130" s="352"/>
      <x:c r="M130" s="309" t="str">
        <x:v>公开/登录后下载</x:v>
      </x:c>
      <x:c r="N130" s="309" t="str">
        <x:v>OpenNeuro 官方页面或 BIDS/OpenNeuro 下载工具</x:v>
      </x:c>
      <x:c r="O130" s="309" t="str">
        <x:v>https://openneuro.org/datasets/ds002778</x:v>
      </x:c>
      <x:c r="P130" s="309" t="str">
        <x:v>02_Biometrics_and_Disease/Neurological_Disorders/PD31_Parkinson</x:v>
      </x:c>
      <x:c r="Q130" s="310" t="str">
        <x:v>无需下载；保持服务器校验记录。</x:v>
      </x:c>
    </x:row>
    <x:row r="131">
      <x:c r="A131" s="308" t="str">
        <x:v>EEG-0047</x:v>
      </x:c>
      <x:c r="B131" s="309" t="str">
        <x:v>完成</x:v>
      </x:c>
      <x:c r="C131" s="309" t="str">
        <x:v>已下载·时长已审计</x:v>
      </x:c>
      <x:c r="D131" s="309" t="str">
        <x:v>疾病/临床</x:v>
      </x:c>
      <x:c r="E131" s="309" t="str">
        <x:v>Neurodegenerative_Disorders</x:v>
      </x:c>
      <x:c r="F131" s="309" t="str">
        <x:v>Resting-state high-density EEG using EGI GES 300 for healthy elders, SCD, MCI and Alzheimer's disease</x:v>
      </x:c>
      <x:c r="G131" s="309" t="str">
        <x:v>COMPLETED</x:v>
      </x:c>
      <x:c r="H131" s="309" t="str">
        <x:v>是</x:v>
      </x:c>
      <x:c r="I131" s="309" t="str">
        <x:v>是</x:v>
      </x:c>
      <x:c r="J131" s="352" t="n">
        <x:v>1.5</x:v>
      </x:c>
      <x:c r="K131" s="352" t="n">
        <x:v>1.5</x:v>
      </x:c>
      <x:c r="L131" s="352"/>
      <x:c r="M131" s="309" t="str">
        <x:v>需要申请</x:v>
      </x:c>
      <x:c r="N131" s="309" t="str">
        <x:v>打开官方入口并按页面说明下载</x:v>
      </x:c>
      <x:c r="O131" s="309" t="str">
        <x:v>https://doi.org/10.5281/zenodo.4316608</x:v>
      </x:c>
      <x:c r="P131" s="309" t="str">
        <x:v>02_Biometrics_and_Disease/Neurodegenerative_Disorders/Resting-state_high-density_EEG_using_EGI_GES_300_for_healthy_elders_SCD_MCI_and_Alzheimer_</x:v>
      </x:c>
      <x:c r="Q131" s="310" t="str">
        <x:v>无需下载；保持服务器校验记录。</x:v>
      </x:c>
    </x:row>
    <x:row r="132">
      <x:c r="A132" s="308" t="str">
        <x:v>EEG-0100</x:v>
      </x:c>
      <x:c r="B132" s="309" t="str">
        <x:v>完成</x:v>
      </x:c>
      <x:c r="C132" s="309" t="str">
        <x:v>已下载·时长已审计</x:v>
      </x:c>
      <x:c r="D132" s="309" t="str">
        <x:v>疾病/临床</x:v>
      </x:c>
      <x:c r="E132" s="309" t="str">
        <x:v>Neurological_Disorders</x:v>
      </x:c>
      <x:c r="F132" s="309" t="str">
        <x:v>UNMDataset</x:v>
      </x:c>
      <x:c r="G132" s="309" t="str">
        <x:v>COMPLETED</x:v>
      </x:c>
      <x:c r="H132" s="309" t="str">
        <x:v>是</x:v>
      </x:c>
      <x:c r="I132" s="309" t="str">
        <x:v>是</x:v>
      </x:c>
      <x:c r="J132" s="352" t="n">
        <x:v>1.4660000000000002</x:v>
      </x:c>
      <x:c r="K132" s="352" t="n">
        <x:v>1.4660000000000002</x:v>
      </x:c>
      <x:c r="L132" s="352"/>
      <x:c r="M132" s="309" t="str">
        <x:v>公开/登录后下载</x:v>
      </x:c>
      <x:c r="N132" s="309" t="str">
        <x:v>打开官方入口并按页面说明下载</x:v>
      </x:c>
      <x:c r="O132" s="309" t="str">
        <x:v>https://narayanan.lab.uiowa.edu/datasets</x:v>
      </x:c>
      <x:c r="P132" s="309" t="str">
        <x:v>02_Biometrics_and_Disease/Neurological_Disorders/UNMDataset</x:v>
      </x:c>
      <x:c r="Q132" s="310" t="str">
        <x:v>无需下载；保持服务器校验记录。</x:v>
      </x:c>
    </x:row>
    <x:row r="133">
      <x:c r="A133" s="308" t="str">
        <x:v>EEG-0017</x:v>
      </x:c>
      <x:c r="B133" s="309" t="str">
        <x:v>完成</x:v>
      </x:c>
      <x:c r="C133" s="309" t="str">
        <x:v>已下载·时长已审计</x:v>
      </x:c>
      <x:c r="D133" s="309" t="str">
        <x:v>疾病/临床</x:v>
      </x:c>
      <x:c r="E133" s="309" t="str">
        <x:v>Epilepsy_and_Abnormalities</x:v>
      </x:c>
      <x:c r="F133" s="309" t="str">
        <x:v>Intracranial entrainment reveals statistical learning across levels of abstraction</x:v>
      </x:c>
      <x:c r="G133" s="309" t="str">
        <x:v>COMPLETED</x:v>
      </x:c>
      <x:c r="H133" s="309" t="str">
        <x:v>是</x:v>
      </x:c>
      <x:c r="I133" s="309" t="str">
        <x:v>是</x:v>
      </x:c>
      <x:c r="J133" s="352" t="n">
        <x:v>1.2263498263888888</x:v>
      </x:c>
      <x:c r="K133" s="352" t="n">
        <x:v>1.2263498263888888</x:v>
      </x:c>
      <x:c r="L133" s="352"/>
      <x:c r="M133" s="309" t="str">
        <x:v>公开/登录后下载</x:v>
      </x:c>
      <x:c r="N133" s="309" t="str">
        <x:v>Zenodo 官方文件下载/API</x:v>
      </x:c>
      <x:c r="O133" s="309" t="str">
        <x:v>https://zenodo.org/records/8018664</x:v>
      </x:c>
      <x:c r="P133" s="309" t="str">
        <x:v>02_Biometrics_and_Disease/Epilepsy_and_Abnormalities/Intracranial_entrainment_reveals_statistical_learning_across_levels_of_abstraction</x:v>
      </x:c>
      <x:c r="Q133" s="310" t="str">
        <x:v>无需下载；保持服务器校验记录。</x:v>
      </x:c>
    </x:row>
    <x:row r="134">
      <x:c r="A134" s="308" t="str">
        <x:v>EEG-0042</x:v>
      </x:c>
      <x:c r="B134" s="309" t="str">
        <x:v>完成</x:v>
      </x:c>
      <x:c r="C134" s="309" t="str">
        <x:v>已下载·时长已审计</x:v>
      </x:c>
      <x:c r="D134" s="309" t="str">
        <x:v>疾病/临床</x:v>
      </x:c>
      <x:c r="E134" s="309" t="str">
        <x:v>Neurodegenerative_Disorders</x:v>
      </x:c>
      <x:c r="F134" s="309" t="str">
        <x:v>APAVA</x:v>
      </x:c>
      <x:c r="G134" s="309" t="str">
        <x:v>COMPLETED</x:v>
      </x:c>
      <x:c r="H134" s="309" t="str">
        <x:v>是</x:v>
      </x:c>
      <x:c r="I134" s="309" t="str">
        <x:v>是</x:v>
      </x:c>
      <x:c r="J134" s="352" t="n">
        <x:v>0.9208333333333333</x:v>
      </x:c>
      <x:c r="K134" s="352" t="n">
        <x:v>0.9208333333333333</x:v>
      </x:c>
      <x:c r="L134" s="352"/>
      <x:c r="M134" s="309" t="str">
        <x:v>需要申请</x:v>
      </x:c>
      <x:c r="N134" s="309" t="str">
        <x:v>缺少有效入口；先补入口</x:v>
      </x:c>
      <x:c r="O134" s="309" t="str"/>
      <x:c r="P134" s="309" t="str">
        <x:v>02_Biometrics_and_Disease/Neurodegenerative_Disorders/APAVA</x:v>
      </x:c>
      <x:c r="Q134" s="310" t="str">
        <x:v>无需下载；保持服务器校验记录。</x:v>
      </x:c>
    </x:row>
    <x:row r="135">
      <x:c r="A135" s="308" t="str">
        <x:v>EEG-0010</x:v>
      </x:c>
      <x:c r="B135" s="309" t="str">
        <x:v>完成</x:v>
      </x:c>
      <x:c r="C135" s="309" t="str">
        <x:v>已下载·时长已审计</x:v>
      </x:c>
      <x:c r="D135" s="309" t="str">
        <x:v>疾病/临床</x:v>
      </x:c>
      <x:c r="E135" s="309" t="str">
        <x:v>Epilepsy_and_Abnormalities</x:v>
      </x:c>
      <x:c r="F135" s="309" t="str">
        <x:v>Criteria for defining interictal epileptiform discharges in EEG: a clinical validation study</x:v>
      </x:c>
      <x:c r="G135" s="309" t="str">
        <x:v>COMPLETED</x:v>
      </x:c>
      <x:c r="H135" s="309" t="str">
        <x:v>是</x:v>
      </x:c>
      <x:c r="I135" s="309" t="str">
        <x:v>是</x:v>
      </x:c>
      <x:c r="J135" s="352" t="n">
        <x:v>0.35083333333333333</x:v>
      </x:c>
      <x:c r="K135" s="352" t="n">
        <x:v>0.35083333333333333</x:v>
      </x:c>
      <x:c r="L135" s="352"/>
      <x:c r="M135" s="309" t="str">
        <x:v>公开/登录后下载</x:v>
      </x:c>
      <x:c r="N135" s="309" t="str">
        <x:v>Zenodo 官方文件下载/API</x:v>
      </x:c>
      <x:c r="O135" s="309" t="str">
        <x:v>https://zenodo.org/records/4688758</x:v>
      </x:c>
      <x:c r="P135" s="309" t="str">
        <x:v>02_Biometrics_and_Disease/Epilepsy_and_Abnormalities/Criteria_for_defining_interictal_epileptiform_discharges_in_EEG_a_clinical_validation_stud</x:v>
      </x:c>
      <x:c r="Q135" s="310" t="str">
        <x:v>无需下载；保持服务器校验记录。</x:v>
      </x:c>
    </x:row>
    <x:row r="136">
      <x:c r="A136" s="308" t="str">
        <x:v>EEG-0582</x:v>
      </x:c>
      <x:c r="B136" s="309" t="str">
        <x:v>完成</x:v>
      </x:c>
      <x:c r="C136" s="309" t="str">
        <x:v>已下载·时长已审计</x:v>
      </x:c>
      <x:c r="D136" s="309" t="str">
        <x:v>疾病/临床</x:v>
      </x:c>
      <x:c r="E136" s="309" t="str">
        <x:v>Clinical_Abnormalities</x:v>
      </x:c>
      <x:c r="F136" s="309" t="str">
        <x:v>TUEG (TUH EEG Corpus)</x:v>
      </x:c>
      <x:c r="G136" s="309" t="str">
        <x:v>COMPLETED_PARENT</x:v>
      </x:c>
      <x:c r="H136" s="309" t="str">
        <x:v>是</x:v>
      </x:c>
      <x:c r="I136" s="309" t="str">
        <x:v>是</x:v>
      </x:c>
      <x:c r="J136" s="352" t="n">
        <x:v>27077.3</x:v>
      </x:c>
      <x:c r="K136" s="352"/>
      <x:c r="L136" s="352"/>
      <x:c r="M136" s="309" t="str">
        <x:v>需要申请</x:v>
      </x:c>
      <x:c r="N136" s="309" t="str">
        <x:v>打开官方入口并按页面说明下载</x:v>
      </x:c>
      <x:c r="O136" s="309" t="str">
        <x:v>https://isip.piconepress.com/projects/nedc/html/tuh_eeg/</x:v>
      </x:c>
      <x:c r="P136" s="309" t="str">
        <x:v>02_Biometrics_and_Disease/Clinical_Abnormalities/TUEG_TUH_EEG_Corpus</x:v>
      </x:c>
      <x:c r="Q136" s="310" t="str">
        <x:v>无需下载；保持服务器校验记录。</x:v>
      </x:c>
    </x:row>
    <x:row r="137">
      <x:c r="A137" s="339" t="str">
        <x:v>EEG-0036</x:v>
      </x:c>
      <x:c r="B137" s="340" t="str">
        <x:v>排除</x:v>
      </x:c>
      <x:c r="C137" s="340" t="str">
        <x:v>已下载·TUEG 重叠</x:v>
      </x:c>
      <x:c r="D137" s="340" t="str">
        <x:v>疾病/临床</x:v>
      </x:c>
      <x:c r="E137" s="340" t="str">
        <x:v>Epilepsy_and_Abnormalities</x:v>
      </x:c>
      <x:c r="F137" s="340" t="str">
        <x:v>TUSZ (TUH Seizure)</x:v>
      </x:c>
      <x:c r="G137" s="340" t="str">
        <x:v>COMPLETED</x:v>
      </x:c>
      <x:c r="H137" s="340" t="str">
        <x:v>否</x:v>
      </x:c>
      <x:c r="I137" s="340" t="str">
        <x:v>否</x:v>
      </x:c>
      <x:c r="J137" s="353" t="n">
        <x:v>1474.7872222222222</x:v>
      </x:c>
      <x:c r="K137" s="353" t="n">
        <x:v>1474.7872222222222</x:v>
      </x:c>
      <x:c r="L137" s="353"/>
      <x:c r="M137" s="340" t="str">
        <x:v>需要申请</x:v>
      </x:c>
      <x:c r="N137" s="340" t="str">
        <x:v>打开官方入口并按页面说明下载</x:v>
      </x:c>
      <x:c r="O137" s="340" t="str">
        <x:v>https://isip.piconepress.com/projects/nedc/html/tuh_eeg/</x:v>
      </x:c>
      <x:c r="P137" s="340" t="str">
        <x:v>02_Biometrics_and_Disease/Epilepsy_and_Abnormalities/TUSZ_TUH_Seizure</x:v>
      </x:c>
      <x:c r="Q137" s="341" t="str">
        <x:v>保留子集目录，但总时长/人数不与 TUEG 父库重复相加。</x:v>
      </x:c>
    </x:row>
    <x:row r="138">
      <x:c r="A138" s="339" t="str">
        <x:v>EEG-0107</x:v>
      </x:c>
      <x:c r="B138" s="340" t="str">
        <x:v>排除</x:v>
      </x:c>
      <x:c r="C138" s="340" t="str">
        <x:v>已下载·TUEG 重叠</x:v>
      </x:c>
      <x:c r="D138" s="340" t="str">
        <x:v>疾病/临床</x:v>
      </x:c>
      <x:c r="E138" s="340" t="str">
        <x:v>Clinical_Abnormalities</x:v>
      </x:c>
      <x:c r="F138" s="340" t="str">
        <x:v>TUAB (TUH Abnormal)</x:v>
      </x:c>
      <x:c r="G138" s="340" t="str">
        <x:v>COMPLETED</x:v>
      </x:c>
      <x:c r="H138" s="340" t="str">
        <x:v>否</x:v>
      </x:c>
      <x:c r="I138" s="340" t="str">
        <x:v>否</x:v>
      </x:c>
      <x:c r="J138" s="353" t="n">
        <x:v>1141.0022222222221</x:v>
      </x:c>
      <x:c r="K138" s="353" t="n">
        <x:v>1141.0022222222221</x:v>
      </x:c>
      <x:c r="L138" s="353"/>
      <x:c r="M138" s="340" t="str">
        <x:v>需要申请</x:v>
      </x:c>
      <x:c r="N138" s="340" t="str">
        <x:v>打开官方入口并按页面说明下载</x:v>
      </x:c>
      <x:c r="O138" s="340" t="str">
        <x:v>https://isip.piconepress.com/projects/nedc/html/tuh_eeg/</x:v>
      </x:c>
      <x:c r="P138" s="340" t="str">
        <x:v>02_Biometrics_and_Disease/Clinical_Abnormalities/TUAB_TUH_Abnormal</x:v>
      </x:c>
      <x:c r="Q138" s="341" t="str">
        <x:v>保留子集目录，但总时长/人数不与 TUEG 父库重复相加。</x:v>
      </x:c>
    </x:row>
    <x:row r="139">
      <x:c r="A139" s="339" t="str">
        <x:v>EEG-0033</x:v>
      </x:c>
      <x:c r="B139" s="340" t="str">
        <x:v>排除</x:v>
      </x:c>
      <x:c r="C139" s="340" t="str">
        <x:v>已下载·TUEG 重叠</x:v>
      </x:c>
      <x:c r="D139" s="340" t="str">
        <x:v>疾病/临床</x:v>
      </x:c>
      <x:c r="E139" s="340" t="str">
        <x:v>Epilepsy_and_Abnormalities</x:v>
      </x:c>
      <x:c r="F139" s="340" t="str">
        <x:v>TUEP (TUH Epilepsy)</x:v>
      </x:c>
      <x:c r="G139" s="340" t="str">
        <x:v>COMPLETED</x:v>
      </x:c>
      <x:c r="H139" s="340" t="str">
        <x:v>否</x:v>
      </x:c>
      <x:c r="I139" s="340" t="str">
        <x:v>否</x:v>
      </x:c>
      <x:c r="J139" s="353" t="n">
        <x:v>626.7663888888889</x:v>
      </x:c>
      <x:c r="K139" s="353" t="n">
        <x:v>626.7663888888889</x:v>
      </x:c>
      <x:c r="L139" s="353"/>
      <x:c r="M139" s="340" t="str">
        <x:v>需要申请</x:v>
      </x:c>
      <x:c r="N139" s="340" t="str">
        <x:v>打开官方入口并按页面说明下载</x:v>
      </x:c>
      <x:c r="O139" s="340" t="str">
        <x:v>https://isip.piconepress.com/projects/nedc/html/tuh_eeg/</x:v>
      </x:c>
      <x:c r="P139" s="340" t="str">
        <x:v>02_Biometrics_and_Disease/Epilepsy_and_Abnormalities/TUEP_TUH_Epilepsy</x:v>
      </x:c>
      <x:c r="Q139" s="341" t="str">
        <x:v>保留子集目录，但总时长/人数不与 TUEG 父库重复相加。</x:v>
      </x:c>
    </x:row>
    <x:row r="140">
      <x:c r="A140" s="339" t="str">
        <x:v>EEG-0034</x:v>
      </x:c>
      <x:c r="B140" s="340" t="str">
        <x:v>排除</x:v>
      </x:c>
      <x:c r="C140" s="340" t="str">
        <x:v>已下载·TUEG 重叠</x:v>
      </x:c>
      <x:c r="D140" s="340" t="str">
        <x:v>疾病/临床</x:v>
      </x:c>
      <x:c r="E140" s="340" t="str">
        <x:v>Epilepsy_and_Abnormalities</x:v>
      </x:c>
      <x:c r="F140" s="340" t="str">
        <x:v>TUEV (TUH Events)</x:v>
      </x:c>
      <x:c r="G140" s="340" t="str">
        <x:v>COMPLETED</x:v>
      </x:c>
      <x:c r="H140" s="340" t="str">
        <x:v>否</x:v>
      </x:c>
      <x:c r="I140" s="340" t="str">
        <x:v>否</x:v>
      </x:c>
      <x:c r="J140" s="353" t="n">
        <x:v>148.7447222222222</x:v>
      </x:c>
      <x:c r="K140" s="353" t="n">
        <x:v>148.7447222222222</x:v>
      </x:c>
      <x:c r="L140" s="353"/>
      <x:c r="M140" s="340" t="str">
        <x:v>需要申请</x:v>
      </x:c>
      <x:c r="N140" s="340" t="str">
        <x:v>打开官方入口并按页面说明下载</x:v>
      </x:c>
      <x:c r="O140" s="340" t="str">
        <x:v>https://isip.piconepress.com/projects/nedc/html/tuh_eeg/</x:v>
      </x:c>
      <x:c r="P140" s="340" t="str">
        <x:v>02_Biometrics_and_Disease/Epilepsy_and_Abnormalities/TUEV_TUH_Events</x:v>
      </x:c>
      <x:c r="Q140" s="341" t="str">
        <x:v>保留子集目录，但总时长/人数不与 TUEG 父库重复相加。</x:v>
      </x:c>
    </x:row>
    <x:row r="141">
      <x:c r="A141" s="339" t="str">
        <x:v>EEG-0007</x:v>
      </x:c>
      <x:c r="B141" s="340" t="str">
        <x:v>排除</x:v>
      </x:c>
      <x:c r="C141" s="340" t="str">
        <x:v>已下载·非独立 raw</x:v>
      </x:c>
      <x:c r="D141" s="340" t="str">
        <x:v>疾病/临床</x:v>
      </x:c>
      <x:c r="E141" s="340" t="str">
        <x:v>Epilepsy_and_Abnormalities</x:v>
      </x:c>
      <x:c r="F141" s="340" t="str">
        <x:v>BEED</x:v>
      </x:c>
      <x:c r="G141" s="340" t="str">
        <x:v>COMPLETED</x:v>
      </x:c>
      <x:c r="H141" s="340" t="str">
        <x:v>否</x:v>
      </x:c>
      <x:c r="I141" s="340" t="str">
        <x:v>否</x:v>
      </x:c>
      <x:c r="J141" s="353"/>
      <x:c r="K141" s="353" t="n">
        <x:v>88.88888888888889</x:v>
      </x:c>
      <x:c r="L141" s="353"/>
      <x:c r="M141" s="340" t="str">
        <x:v>公开/登录后下载</x:v>
      </x:c>
      <x:c r="N141" s="340" t="str">
        <x:v>GitHub release/仓库说明中的官方数据入口</x:v>
      </x:c>
      <x:c r="O141" s="340" t="str">
        <x:v>https://github.com/renan-cunha/BEED</x:v>
      </x:c>
      <x:c r="P141" s="340" t="str">
        <x:v>02_Biometrics_and_Disease/Epilepsy_and_Abnormalities/BEED</x:v>
      </x:c>
      <x:c r="Q141" s="341" t="str">
        <x:v>仅有 processed features/protocol；不计入 raw EEG 主指标。</x:v>
      </x:c>
    </x:row>
    <x:row r="142">
      <x:c r="A142" s="339" t="str">
        <x:v>EEG-0035</x:v>
      </x:c>
      <x:c r="B142" s="340" t="str">
        <x:v>排除</x:v>
      </x:c>
      <x:c r="C142" s="340" t="str">
        <x:v>已下载·TUEG 重叠</x:v>
      </x:c>
      <x:c r="D142" s="340" t="str">
        <x:v>疾病/临床</x:v>
      </x:c>
      <x:c r="E142" s="340" t="str">
        <x:v>Epilepsy_and_Abnormalities</x:v>
      </x:c>
      <x:c r="F142" s="340" t="str">
        <x:v>TUSL (TUH Slowing)</x:v>
      </x:c>
      <x:c r="G142" s="340" t="str">
        <x:v>COMPLETED</x:v>
      </x:c>
      <x:c r="H142" s="340" t="str">
        <x:v>否</x:v>
      </x:c>
      <x:c r="I142" s="340" t="str">
        <x:v>否</x:v>
      </x:c>
      <x:c r="J142" s="353" t="n">
        <x:v>27.59638888888889</x:v>
      </x:c>
      <x:c r="K142" s="353" t="n">
        <x:v>27.59638888888889</x:v>
      </x:c>
      <x:c r="L142" s="353"/>
      <x:c r="M142" s="340" t="str">
        <x:v>需要申请</x:v>
      </x:c>
      <x:c r="N142" s="340" t="str">
        <x:v>打开官方入口并按页面说明下载</x:v>
      </x:c>
      <x:c r="O142" s="340" t="str">
        <x:v>https://isip.piconepress.com/projects/nedc/html/tuh_eeg/</x:v>
      </x:c>
      <x:c r="P142" s="340" t="str">
        <x:v>02_Biometrics_and_Disease/Epilepsy_and_Abnormalities/TUSL_TUH_Slowing</x:v>
      </x:c>
      <x:c r="Q142" s="341" t="str">
        <x:v>保留子集目录，但总时长/人数不与 TUEG 父库重复相加。</x:v>
      </x:c>
    </x:row>
    <x:row r="143">
      <x:c r="A143" s="339" t="str">
        <x:v>EEG-0050</x:v>
      </x:c>
      <x:c r="B143" s="340" t="str">
        <x:v>排除</x:v>
      </x:c>
      <x:c r="C143" s="340" t="str">
        <x:v>已下载·非独立 raw</x:v>
      </x:c>
      <x:c r="D143" s="340" t="str">
        <x:v>疾病/临床</x:v>
      </x:c>
      <x:c r="E143" s="340" t="str">
        <x:v>Mental_and_Developmental_Disorders</x:v>
      </x:c>
      <x:c r="F143" s="340" t="str">
        <x:v>Autism Detection Dataset</x:v>
      </x:c>
      <x:c r="G143" s="340" t="str">
        <x:v>COMPLETED</x:v>
      </x:c>
      <x:c r="H143" s="340" t="str">
        <x:v>否</x:v>
      </x:c>
      <x:c r="I143" s="340" t="str">
        <x:v>否</x:v>
      </x:c>
      <x:c r="J143" s="353"/>
      <x:c r="K143" s="353"/>
      <x:c r="L143" s="353"/>
      <x:c r="M143" s="340" t="str">
        <x:v>公开/登录后下载</x:v>
      </x:c>
      <x:c r="N143" s="340" t="str">
        <x:v>打开官方入口并按页面说明下载</x:v>
      </x:c>
      <x:c r="O143" s="340" t="str">
        <x:v>https://bci.med.tsinghua.edu.cn/download.html</x:v>
      </x:c>
      <x:c r="P143" s="340" t="str">
        <x:v>02_Biometrics_and_Disease/Mental_and_Developmental_Disorders/Autism_Detection_Dataset</x:v>
      </x:c>
      <x:c r="Q143" s="341" t="str">
        <x:v>下载内容未确认可用 EEG signal；不计入 raw EEG 主指标。</x:v>
      </x:c>
    </x:row>
    <x:row r="144">
      <x:c r="A144" s="342" t="str">
        <x:v>EEG-0602</x:v>
      </x:c>
      <x:c r="B144" s="343" t="str">
        <x:v>舍弃</x:v>
      </x:c>
      <x:c r="C144" s="343" t="str">
        <x:v>舍弃</x:v>
      </x:c>
      <x:c r="D144" s="343" t="str">
        <x:v>疾病/临床</x:v>
      </x:c>
      <x:c r="E144" s="343" t="str">
        <x:v>Epilepsy_and_Seizure_Monitoring</x:v>
      </x:c>
      <x:c r="F144" s="343" t="str">
        <x:v>SeizeIT1</x:v>
      </x:c>
      <x:c r="G144" s="343" t="str">
        <x:v>NOT_IN_SERVER_AUDIT</x:v>
      </x:c>
      <x:c r="H144" s="343" t="str">
        <x:v>否</x:v>
      </x:c>
      <x:c r="I144" s="343" t="str">
        <x:v>否</x:v>
      </x:c>
      <x:c r="J144" s="354"/>
      <x:c r="K144" s="354" t="n">
        <x:v>5900</x:v>
      </x:c>
      <x:c r="L144" s="354"/>
      <x:c r="M144" s="343" t="str">
        <x:v>当前不可获取</x:v>
      </x:c>
      <x:c r="N144" s="343" t="str">
        <x:v>打开官方入口并按页面说明下载</x:v>
      </x:c>
      <x:c r="O144" s="343" t="str">
        <x:v>https://rdr.kuleuven.be/dataset.xhtml?persistentId=doi:10.48804/P5Q0OJ</x:v>
      </x:c>
      <x:c r="P144" s="343" t="str">
        <x:v>02_Healthcare_and_Disease/Epilepsy_and_Seizure_Monitoring/SeizeIT1</x:v>
      </x:c>
      <x:c r="Q144" s="344" t="str">
        <x:v>舍弃下载：SeizeIT1 当前官方文件访问不可用；可用 SeizeIT2 替代。</x:v>
      </x:c>
    </x:row>
    <x:row r="145">
      <x:c r="A145" s="342" t="str">
        <x:v>EEG-0011</x:v>
      </x:c>
      <x:c r="B145" s="343" t="str">
        <x:v>舍弃</x:v>
      </x:c>
      <x:c r="C145" s="343" t="str">
        <x:v>舍弃</x:v>
      </x:c>
      <x:c r="D145" s="343" t="str">
        <x:v>疾病/临床</x:v>
      </x:c>
      <x:c r="E145" s="343" t="str">
        <x:v>Epilepsy_and_Abnormalities</x:v>
      </x:c>
      <x:c r="F145" s="343" t="str">
        <x:v>EPILEPSIAE European Epilepsy Database</x:v>
      </x:c>
      <x:c r="G145" s="343" t="str">
        <x:v>MANUAL_APPLICATION_OR_LOGIN</x:v>
      </x:c>
      <x:c r="H145" s="343" t="str">
        <x:v>否</x:v>
      </x:c>
      <x:c r="I145" s="343" t="str">
        <x:v>否</x:v>
      </x:c>
      <x:c r="J145" s="354"/>
      <x:c r="K145" s="354"/>
      <x:c r="L145" s="354"/>
      <x:c r="M145" s="343" t="str">
        <x:v>需要申请</x:v>
      </x:c>
      <x:c r="N145" s="343" t="str">
        <x:v>打开官方入口并按页面说明下载</x:v>
      </x:c>
      <x:c r="O145" s="343" t="str">
        <x:v>https://www.epilepsiae.eu/</x:v>
      </x:c>
      <x:c r="P145" s="343" t="str">
        <x:v>02_Biometrics_and_Disease/Epilepsy_and_Abnormalities/EPILEPSIAE_European_Epilepsy_Database</x:v>
      </x:c>
      <x:c r="Q145" s="344" t="str">
        <x:v>舍弃下载：EPILEPSIAE 为付费/受限申请；保留目录证据，不进入本轮执行队列。</x:v>
      </x:c>
    </x:row>
    <x:row r="146">
      <x:c r="A146" s="342" t="str">
        <x:v>EEG-0051</x:v>
      </x:c>
      <x:c r="B146" s="343" t="str">
        <x:v>舍弃</x:v>
      </x:c>
      <x:c r="C146" s="343" t="str">
        <x:v>舍弃</x:v>
      </x:c>
      <x:c r="D146" s="343" t="str">
        <x:v>疾病/临床</x:v>
      </x:c>
      <x:c r="E146" s="343" t="str">
        <x:v>Mental_and_Developmental_Disorders</x:v>
      </x:c>
      <x:c r="F146" s="343" t="str">
        <x:v>B-SNIP1</x:v>
      </x:c>
      <x:c r="G146" s="343" t="str">
        <x:v>MANUAL_APPLICATION_OR_LOGIN</x:v>
      </x:c>
      <x:c r="H146" s="343" t="str">
        <x:v>否</x:v>
      </x:c>
      <x:c r="I146" s="343" t="str">
        <x:v>否</x:v>
      </x:c>
      <x:c r="J146" s="354"/>
      <x:c r="K146" s="354"/>
      <x:c r="L146" s="354"/>
      <x:c r="M146" s="343" t="str">
        <x:v>公开/登录后下载</x:v>
      </x:c>
      <x:c r="N146" s="343" t="str">
        <x:v>打开官方入口并按页面说明下载</x:v>
      </x:c>
      <x:c r="O146" s="343" t="str">
        <x:v>https://nda.nih.gov/edit_collection.html?id=2274</x:v>
      </x:c>
      <x:c r="P146" s="343" t="str">
        <x:v>02_Biometrics_and_Disease/Mental_and_Developmental_Disorders/B-SNIP1</x:v>
      </x:c>
      <x:c r="Q146" s="344" t="str">
        <x:v>舍弃下载：NIMH NDA 登录/受控访问未能打通；保留 B-SNIP1 目录记录。</x:v>
      </x:c>
    </x:row>
    <x:row r="147">
      <x:c r="A147" s="345" t="str">
        <x:v>EEG-0053</x:v>
      </x:c>
      <x:c r="B147" s="346" t="str">
        <x:v>舍弃</x:v>
      </x:c>
      <x:c r="C147" s="346" t="str">
        <x:v>舍弃</x:v>
      </x:c>
      <x:c r="D147" s="346" t="str">
        <x:v>疾病/临床</x:v>
      </x:c>
      <x:c r="E147" s="346" t="str">
        <x:v>Mental_and_Developmental_Disorders</x:v>
      </x:c>
      <x:c r="F147" s="346" t="str">
        <x:v>EEG Data for ADHD</x:v>
      </x:c>
      <x:c r="G147" s="346" t="str">
        <x:v>MANUAL_APPLICATION_OR_LOGIN</x:v>
      </x:c>
      <x:c r="H147" s="346" t="str">
        <x:v>否</x:v>
      </x:c>
      <x:c r="I147" s="346" t="str">
        <x:v>否</x:v>
      </x:c>
      <x:c r="J147" s="355"/>
      <x:c r="K147" s="355"/>
      <x:c r="L147" s="355"/>
      <x:c r="M147" s="346" t="str">
        <x:v>公开/登录后下载</x:v>
      </x:c>
      <x:c r="N147" s="346" t="str">
        <x:v>打开官方入口并按页面说明下载</x:v>
      </x:c>
      <x:c r="O147" s="346" t="str">
        <x:v>https://ieee-dataport.org/open-access/eeg-data-adhd-control-children</x:v>
      </x:c>
      <x:c r="P147" s="346" t="str">
        <x:v>02_Biometrics_and_Disease/Mental_and_Developmental_Disorders/EEG_Data_for_ADHD</x:v>
      </x:c>
      <x:c r="Q147" s="347" t="str">
        <x:v>舍弃下载：IEEE DataPort 需要学校订阅且当前无法取得；保留 ADHD 目录记录。</x:v>
      </x:c>
    </x:row>
  </x:sheetData>
  <x:pageMargins left="0.7" right="0.7" top="0.75" bottom="0.75" header="0.3" footer="0.3"/>
  <x:tableParts count="1">
    <x:tablePart xmlns:r="http://schemas.openxmlformats.org/officeDocument/2006/relationships" r:id="R3751cba0bd7a457d"/>
  </x:tableParts>
</x:worksheet>
</file>

<file path=xl/worksheets/sheet16.xml><?xml version="1.0" encoding="utf-8"?>
<x:worksheet xmlns:x="http://schemas.openxmlformats.org/spreadsheetml/2006/main">
  <x:sheetFormatPr defaultRowHeight="15"/>
  <x:cols>
    <x:col min="1" max="1" width="13" hidden="0" customWidth="1"/>
    <x:col min="2" max="2" width="24" hidden="0" customWidth="1"/>
    <x:col min="3" max="3" width="29" hidden="0" customWidth="1"/>
    <x:col min="4" max="4" width="37" hidden="0" customWidth="1"/>
    <x:col min="5" max="5" width="30" hidden="0" customWidth="1"/>
    <x:col min="6" max="6" width="34" hidden="0" customWidth="1"/>
    <x:col min="7" max="7" width="22" hidden="0" customWidth="1"/>
    <x:col min="8" max="8" width="44" hidden="0" customWidth="1"/>
    <x:col min="9" max="9" width="46" hidden="0" customWidth="1"/>
    <x:col min="10" max="10" width="33" hidden="0" customWidth="1"/>
    <x:col min="11" max="11" width="20" hidden="0" customWidth="1"/>
    <x:col min="12" max="12" width="20" hidden="0" customWidth="1"/>
    <x:col min="13" max="13" width="20" hidden="0" customWidth="1"/>
    <x:col min="14" max="14" width="24" hidden="0" customWidth="1"/>
    <x:col min="15" max="15" width="37" hidden="0" customWidth="1"/>
    <x:col min="16" max="16" width="38" hidden="0" customWidth="1"/>
    <x:col min="17" max="17" width="44" hidden="0" customWidth="1"/>
    <x:col min="18" max="18" width="48" hidden="0" customWidth="1"/>
    <x:col min="19" max="19" width="14" hidden="0" customWidth="1"/>
    <x:col min="20" max="20" width="18" hidden="0" customWidth="1"/>
    <x:col min="21" max="21" width="17" hidden="0" customWidth="1"/>
  </x:cols>
  <x:sheetData>
    <x:row r="1" ht="32" customHeight="1">
      <x:c r="A1" s="293" t="str">
        <x:v>Unique ID</x:v>
      </x:c>
      <x:c r="B1" s="294" t="str">
        <x:v>大类目录</x:v>
      </x:c>
      <x:c r="C1" s="294" t="str">
        <x:v>小类目录</x:v>
      </x:c>
      <x:c r="D1" s="294" t="str">
        <x:v>规范数据集名称</x:v>
      </x:c>
      <x:c r="E1" s="294" t="str">
        <x:v>合并别名</x:v>
      </x:c>
      <x:c r="F1" s="294" t="str">
        <x:v>稳定标识（DOI/OpenNeuro/BNCI/仓库ID）</x:v>
      </x:c>
      <x:c r="G1" s="294" t="str">
        <x:v>下载状态</x:v>
      </x:c>
      <x:c r="H1" s="294" t="str">
        <x:v>下载/申请入口</x:v>
      </x:c>
      <x:c r="I1" s="294" t="str">
        <x:v>任务</x:v>
      </x:c>
      <x:c r="J1" s="294" t="str">
        <x:v>受试者数</x:v>
      </x:c>
      <x:c r="K1" s="294" t="str">
        <x:v>通道数</x:v>
      </x:c>
      <x:c r="L1" s="294" t="str">
        <x:v>采样率</x:v>
      </x:c>
      <x:c r="M1" s="294" t="str">
        <x:v>格式</x:v>
      </x:c>
      <x:c r="N1" s="294" t="str">
        <x:v>Raw/Processed</x:v>
      </x:c>
      <x:c r="O1" s="294" t="str">
        <x:v>许可与申请说明</x:v>
      </x:c>
      <x:c r="P1" s="294" t="str">
        <x:v>论文/作者</x:v>
      </x:c>
      <x:c r="Q1" s="294" t="str">
        <x:v>建议相对路径</x:v>
      </x:c>
      <x:c r="R1" s="294" t="str">
        <x:v>核验结论</x:v>
      </x:c>
      <x:c r="S1" s="294" t="str">
        <x:v>fMRI TR (s)</x:v>
      </x:c>
      <x:c r="T1" s="294" t="str">
        <x:v>Recording duration (s)</x:v>
      </x:c>
      <x:c r="U1" s="295" t="str">
        <x:v>Number of scans</x:v>
      </x:c>
    </x:row>
    <x:row r="2">
      <x:c r="A2" s="305" t="str">
        <x:v>EEG-0583</x:v>
      </x:c>
      <x:c r="B2" s="306" t="str">
        <x:v>02_Healthcare_and_Disease</x:v>
      </x:c>
      <x:c r="C2" s="306" t="str">
        <x:v>Mental_and_Developmental_Disorders</x:v>
      </x:c>
      <x:c r="D2" s="306" t="str">
        <x:v>Albrecht2019</x:v>
      </x:c>
      <x:c r="E2" s="306" t="str">
        <x:v>Schizophrenia modified Simon task EEG</x:v>
      </x:c>
      <x:c r="F2" s="306" t="str">
        <x:v>HuggingFace:jalauer/Albrecht2019 | Zenodo:889204</x:v>
      </x:c>
      <x:c r="G2" s="306" t="str">
        <x:v>DOWNLOAD_PUBLIC</x:v>
      </x:c>
      <x:c r="H2" s="306" t="str">
        <x:v>https://huggingface.co/datasets/jalauer/Albrecht2019</x:v>
      </x:c>
      <x:c r="I2" s="306" t="str">
        <x:v>精神分裂症/分裂情感障碍 vs 健康对照；modified Simon reinforcement-learning task</x:v>
      </x:c>
      <x:c r="J2" s="306" t="str">
        <x:v>78（46 patients + 32 controls）</x:v>
      </x:c>
      <x:c r="K2" s="306" t="str">
        <x:v>64</x:v>
      </x:c>
      <x:c r="L2" s="306" t="str">
        <x:v>1000 Hz</x:v>
      </x:c>
      <x:c r="M2" s="306" t="str">
        <x:v>MAT / EEGLAB-derived</x:v>
      </x:c>
      <x:c r="N2" s="306" t="str">
        <x:v>预处理与伪影校正 EEG；仓库含实验数据</x:v>
      </x:c>
      <x:c r="O2" s="306" t="str">
        <x:v>PDDL；EEG-Bench 再分发页不是原始所有者，引用原论文和数据来源</x:v>
      </x:c>
      <x:c r="P2" s="306" t="str">
        <x:v>Albrecht et al. (2019), Neuropsychologia; EEG-Bench clinical benchmark</x:v>
      </x:c>
      <x:c r="Q2" s="306" t="str">
        <x:v>02_Healthcare_and_Disease/Mental_and_Developmental_Disorders/Albrecht2019</x:v>
      </x:c>
      <x:c r="R2" s="306" t="str">
        <x:v>新增；EEG-Bench 论文与公开仓库交叉核验；51 h 为论文基准表记录</x:v>
      </x:c>
      <x:c r="S2" s="306"/>
      <x:c r="T2" s="306" t="n">
        <x:v>183600</x:v>
      </x:c>
      <x:c r="U2" s="307" t="n">
        <x:v>78</x:v>
      </x:c>
    </x:row>
    <x:row r="3">
      <x:c r="A3" s="226" t="str">
        <x:v>EEG-0584</x:v>
      </x:c>
      <x:c r="B3" s="259" t="str">
        <x:v>08_Health_and_Population</x:v>
      </x:c>
      <x:c r="C3" s="259" t="str">
        <x:v>Mental_Health_Risk_Phenotype</x:v>
      </x:c>
      <x:c r="D3" s="259" t="str">
        <x:v>Gruendler2009</x:v>
      </x:c>
      <x:c r="E3" s="259" t="str">
        <x:v>OC symptomatology flanker EEG</x:v>
      </x:c>
      <x:c r="F3" s="259" t="str">
        <x:v>HuggingFace:jalauer/Gruendler2009</x:v>
      </x:c>
      <x:c r="G3" s="259" t="str">
        <x:v>DOWNLOAD_PUBLIC</x:v>
      </x:c>
      <x:c r="H3" s="259" t="str">
        <x:v>https://huggingface.co/datasets/jalauer/Gruendler2009</x:v>
      </x:c>
      <x:c r="I3" s="259" t="str">
        <x:v>高/低强迫症状量表分组；flanker error-related negativity</x:v>
      </x:c>
      <x:c r="J3" s="259" t="str">
        <x:v>46 名本科生（按 OCI-R 高/低分组；非确诊 OCD 病例）</x:v>
      </x:c>
      <x:c r="K3" s="259" t="str">
        <x:v>64 EEG + 2 EOG + 1 EKG</x:v>
      </x:c>
      <x:c r="L3" s="259" t="str">
        <x:v>500 Hz</x:v>
      </x:c>
      <x:c r="M3" s="259" t="str">
        <x:v>CNT</x:v>
      </x:c>
      <x:c r="N3" s="259" t="str">
        <x:v>Raw + possible preprocessed variants</x:v>
      </x:c>
      <x:c r="O3" s="259" t="str">
        <x:v>PDDL；EEG-Bench 再分发页不是原始所有者</x:v>
      </x:c>
      <x:c r="P3" s="259" t="str">
        <x:v>Gründler et al. (2009), Neuropsychologia; EEG-Bench clinical benchmark</x:v>
      </x:c>
      <x:c r="Q3" s="259" t="str">
        <x:v>08_Health_and_Population/Mental_Health_Risk_Phenotype/Gruendler2009</x:v>
      </x:c>
      <x:c r="R3" s="259" t="str">
        <x:v>新增；不标为确诊 OCD 疾病队列；22 h 为 EEG-Bench 表记录</x:v>
      </x:c>
      <x:c r="S3" s="259"/>
      <x:c r="T3" s="259" t="n">
        <x:v>79200</x:v>
      </x:c>
      <x:c r="U3" s="215" t="n">
        <x:v>46</x:v>
      </x:c>
    </x:row>
    <x:row r="4">
      <x:c r="A4" s="308" t="str">
        <x:v>EEG-0585</x:v>
      </x:c>
      <x:c r="B4" s="309" t="str">
        <x:v>02_Healthcare_and_Disease</x:v>
      </x:c>
      <x:c r="C4" s="309" t="str">
        <x:v>Neurological_Disorders</x:v>
      </x:c>
      <x:c r="D4" s="309" t="str">
        <x:v>Singh2020</x:v>
      </x:c>
      <x:c r="E4" s="309" t="str">
        <x:v>Parkinson pedaling / freezing-of-gait EEG</x:v>
      </x:c>
      <x:c r="F4" s="309" t="str">
        <x:v>HuggingFace:jalauer/Singh2020</x:v>
      </x:c>
      <x:c r="G4" s="309" t="str">
        <x:v>DOWNLOAD_PUBLIC</x:v>
      </x:c>
      <x:c r="H4" s="309" t="str">
        <x:v>https://huggingface.co/datasets/jalauer/Singh2020</x:v>
      </x:c>
      <x:c r="I4" s="309" t="str">
        <x:v>PD freezing-of-gait positive/negative and healthy control lower-limb pedaling</x:v>
      </x:c>
      <x:c r="J4" s="309" t="str">
        <x:v>39（13 FOG+ PD + 13 FOG- PD + 13 controls）</x:v>
      </x:c>
      <x:c r="K4" s="309" t="str">
        <x:v>64 + accelerometer</x:v>
      </x:c>
      <x:c r="L4" s="309" t="str">
        <x:v>500 Hz</x:v>
      </x:c>
      <x:c r="M4" s="309" t="str">
        <x:v>BrainVision + MAT</x:v>
      </x:c>
      <x:c r="N4" s="309" t="str">
        <x:v>Raw + processed</x:v>
      </x:c>
      <x:c r="O4" s="309" t="str">
        <x:v>PDDL；EEG-Bench 再分发页不是原始所有者</x:v>
      </x:c>
      <x:c r="P4" s="309" t="str">
        <x:v>Singh et al. (2020), Clinical Neurophysiology; EEG-Bench</x:v>
      </x:c>
      <x:c r="Q4" s="309" t="str">
        <x:v>02_Healthcare_and_Disease/Neurological_Disorders/Singh2020</x:v>
      </x:c>
      <x:c r="R4" s="309" t="str">
        <x:v>新增；39 名与 7 h 由仓库/EEG-Bench 交叉核验</x:v>
      </x:c>
      <x:c r="S4" s="309"/>
      <x:c r="T4" s="309" t="n">
        <x:v>25200</x:v>
      </x:c>
      <x:c r="U4" s="310" t="n">
        <x:v>39</x:v>
      </x:c>
    </x:row>
    <x:row r="5">
      <x:c r="A5" s="226" t="str">
        <x:v>EEG-0586</x:v>
      </x:c>
      <x:c r="B5" s="259" t="str">
        <x:v>02_Healthcare_and_Disease</x:v>
      </x:c>
      <x:c r="C5" s="259" t="str">
        <x:v>Neurological_Disorders</x:v>
      </x:c>
      <x:c r="D5" s="259" t="str">
        <x:v>Singh2021</x:v>
      </x:c>
      <x:c r="E5" s="259" t="str">
        <x:v>Parkinson interval timing EEG</x:v>
      </x:c>
      <x:c r="F5" s="259" t="str">
        <x:v>HuggingFace:jalauer/Singh2021</x:v>
      </x:c>
      <x:c r="G5" s="259" t="str">
        <x:v>DOWNLOAD_PUBLIC</x:v>
      </x:c>
      <x:c r="H5" s="259" t="str">
        <x:v>https://huggingface.co/datasets/jalauer/Singh2021</x:v>
      </x:c>
      <x:c r="I5" s="259" t="str">
        <x:v>PD vs healthy control；3/7-second interval timing；ON/OFF medication subset</x:v>
      </x:c>
      <x:c r="J5" s="259" t="str">
        <x:v>120（83 PD + 37 controls）；129 recordings</x:v>
      </x:c>
      <x:c r="K5" s="259" t="str">
        <x:v>64 + accelerometer</x:v>
      </x:c>
      <x:c r="L5" s="259" t="str">
        <x:v>500 Hz</x:v>
      </x:c>
      <x:c r="M5" s="259" t="str">
        <x:v>BrainVision</x:v>
      </x:c>
      <x:c r="N5" s="259" t="str">
        <x:v>Raw</x:v>
      </x:c>
      <x:c r="O5" s="259" t="str">
        <x:v>PDDL；EEG-Bench 再分发页不是原始所有者</x:v>
      </x:c>
      <x:c r="P5" s="259" t="str">
        <x:v>Singh et al. (2021), npj Parkinson's Disease; EEG-Bench</x:v>
      </x:c>
      <x:c r="Q5" s="259" t="str">
        <x:v>02_Healthcare_and_Disease/Neurological_Disorders/Singh2021</x:v>
      </x:c>
      <x:c r="R5" s="259" t="str">
        <x:v>新增；受试者与记录数分开；58 h 为 EEG-Bench 表记录</x:v>
      </x:c>
      <x:c r="S5" s="259"/>
      <x:c r="T5" s="259" t="n">
        <x:v>208800</x:v>
      </x:c>
      <x:c r="U5" s="215" t="n">
        <x:v>129</x:v>
      </x:c>
    </x:row>
    <x:row r="6">
      <x:c r="A6" s="308" t="str">
        <x:v>EEG-0587</x:v>
      </x:c>
      <x:c r="B6" s="309" t="str">
        <x:v>08_Health_and_Population</x:v>
      </x:c>
      <x:c r="C6" s="309" t="str">
        <x:v>Population_Sleep_Health</x:v>
      </x:c>
      <x:c r="D6" s="309" t="str">
        <x:v>HCHS/SOL Polysomnography</x:v>
      </x:c>
      <x:c r="E6" s="309" t="str">
        <x:v>Hispanic Community Health Study / Study of Latinos PSG</x:v>
      </x:c>
      <x:c r="F6" s="309" t="str">
        <x:v>NSRR:hchs | DOI:10.25822/bmb1-c442</x:v>
      </x:c>
      <x:c r="G6" s="309" t="str">
        <x:v>DOWNLOAD_APPLICATION_REQUIRED</x:v>
      </x:c>
      <x:c r="H6" s="309" t="str">
        <x:v>https://sleepdata.org/datasets/hchs</x:v>
      </x:c>
      <x:c r="I6" s="309" t="str">
        <x:v>Hispanic/Latino population sleep and cardiometabolic epidemiology</x:v>
      </x:c>
      <x:c r="J6" s="309" t="str">
        <x:v>12,088 个有原始 PSG/EEG 的参与者（父队列约 16,000）</x:v>
      </x:c>
      <x:c r="K6" s="309" t="str">
        <x:v>ARES PSG montage（含 EEG）</x:v>
      </x:c>
      <x:c r="L6" s="309" t="str">
        <x:v>见 NSRR official montage</x:v>
      </x:c>
      <x:c r="M6" s="309" t="str">
        <x:v>EDF + XML</x:v>
      </x:c>
      <x:c r="N6" s="309" t="str">
        <x:v>Raw PSG + expert annotations</x:v>
      </x:c>
      <x:c r="O6" s="309" t="str">
        <x:v>NSRR 账户、数据使用协议与项目审批</x:v>
      </x:c>
      <x:c r="P6" s="309" t="str">
        <x:v>HCHS/SOL; NSRR</x:v>
      </x:c>
      <x:c r="Q6" s="309" t="str">
        <x:v>08_Health_and_Population/Population_Sleep_Health/HCHS_SOL</x:v>
      </x:c>
      <x:c r="R6" s="309" t="str">
        <x:v>新增大型队列；按实际可用 raw PSG/EEG 12,088 人计，不用父队列人数替代</x:v>
      </x:c>
      <x:c r="S6" s="309"/>
      <x:c r="T6" s="309"/>
      <x:c r="U6" s="310" t="n">
        <x:v>12088</x:v>
      </x:c>
    </x:row>
    <x:row r="7">
      <x:c r="A7" s="226" t="str">
        <x:v>EEG-0588</x:v>
      </x:c>
      <x:c r="B7" s="259" t="str">
        <x:v>08_Health_and_Population</x:v>
      </x:c>
      <x:c r="C7" s="259" t="str">
        <x:v>Aging_and_Dementia_Risk</x:v>
      </x:c>
      <x:c r="D7" s="259" t="str">
        <x:v>HAASSA</x:v>
      </x:c>
      <x:c r="E7" s="259" t="str">
        <x:v>Honolulu-Asia Aging Study of Sleep Apnea</x:v>
      </x:c>
      <x:c r="F7" s="259" t="str">
        <x:v>NSRR:haassa | DOI:10.25822/s9wh-3k51</x:v>
      </x:c>
      <x:c r="G7" s="259" t="str">
        <x:v>DOWNLOAD_APPLICATION_REQUIRED</x:v>
      </x:c>
      <x:c r="H7" s="259" t="str">
        <x:v>https://sleepdata.org/datasets/haassa</x:v>
      </x:c>
      <x:c r="I7" s="259" t="str">
        <x:v>老年日本裔美国男性；睡眠呼吸障碍、认知与痴呆风险</x:v>
      </x:c>
      <x:c r="J7" s="259" t="str">
        <x:v>717 个有原始 PSG/EEG 的参与者</x:v>
      </x:c>
      <x:c r="K7" s="259" t="str">
        <x:v>2 EEG + PSG channels</x:v>
      </x:c>
      <x:c r="L7" s="259" t="str">
        <x:v>EEG 125 Hz</x:v>
      </x:c>
      <x:c r="M7" s="259" t="str">
        <x:v>EDF + XML</x:v>
      </x:c>
      <x:c r="N7" s="259" t="str">
        <x:v>Raw PSG + annotations</x:v>
      </x:c>
      <x:c r="O7" s="259" t="str">
        <x:v>特殊审批：先获 Kuakini Medical Center 数据方许可，再签 NSRR DUA</x:v>
      </x:c>
      <x:c r="P7" s="259" t="str">
        <x:v>HAASSA; NSRR</x:v>
      </x:c>
      <x:c r="Q7" s="259" t="str">
        <x:v>08_Health_and_Population/Aging_and_Dementia_Risk/HAASSA</x:v>
      </x:c>
      <x:c r="R7" s="259" t="str">
        <x:v>新增；717 为官方 raw PSG 文件口径</x:v>
      </x:c>
      <x:c r="S7" s="259"/>
      <x:c r="T7" s="259"/>
      <x:c r="U7" s="215" t="n">
        <x:v>717</x:v>
      </x:c>
    </x:row>
    <x:row r="8">
      <x:c r="A8" s="308" t="str">
        <x:v>EEG-0589</x:v>
      </x:c>
      <x:c r="B8" s="309" t="str">
        <x:v>08_Health_and_Population</x:v>
      </x:c>
      <x:c r="C8" s="309" t="str">
        <x:v>Sleep_Disordered_Breathing_Risk</x:v>
      </x:c>
      <x:c r="D8" s="309" t="str">
        <x:v>ApoE Sleep Disordered Breathing</x:v>
      </x:c>
      <x:c r="E8" s="309" t="str">
        <x:v>Sleep Disordered Breathing, ApoE and Lipid Metabolism</x:v>
      </x:c>
      <x:c r="F8" s="309" t="str">
        <x:v>NSRR:apoe</x:v>
      </x:c>
      <x:c r="G8" s="309" t="str">
        <x:v>DOWNLOAD_APPLICATION_REQUIRED</x:v>
      </x:c>
      <x:c r="H8" s="309" t="str">
        <x:v>https://sleepdata.org/datasets/apoe</x:v>
      </x:c>
      <x:c r="I8" s="309" t="str">
        <x:v>ApoE genotype, lipid metabolism and untreated suspected sleep-disordered breathing</x:v>
      </x:c>
      <x:c r="J8" s="309" t="str">
        <x:v>712 个有 EDF/EEG 的参与者</x:v>
      </x:c>
      <x:c r="K8" s="309" t="str">
        <x:v>PSG（含 EEG）</x:v>
      </x:c>
      <x:c r="L8" s="309" t="str">
        <x:v>EEG 256 Hz</x:v>
      </x:c>
      <x:c r="M8" s="309" t="str">
        <x:v>EDF + STA + CSV</x:v>
      </x:c>
      <x:c r="N8" s="309" t="str">
        <x:v>Raw PSG + manually scored stages</x:v>
      </x:c>
      <x:c r="O8" s="309" t="str">
        <x:v>NSRR data request / DUA</x:v>
      </x:c>
      <x:c r="P8" s="309" t="str">
        <x:v>ApoE sleep study; NSRR</x:v>
      </x:c>
      <x:c r="Q8" s="309" t="str">
        <x:v>08_Health_and_Population/Sleep_Disordered_Breathing_Risk/ApoE</x:v>
      </x:c>
      <x:c r="R8" s="309" t="str">
        <x:v>新增；712 为官方含 EEG 的 EDF 文件口径</x:v>
      </x:c>
      <x:c r="S8" s="309"/>
      <x:c r="T8" s="309"/>
      <x:c r="U8" s="310" t="n">
        <x:v>712</x:v>
      </x:c>
    </x:row>
    <x:row r="9">
      <x:c r="A9" s="226" t="str">
        <x:v>EEG-0590</x:v>
      </x:c>
      <x:c r="B9" s="259" t="str">
        <x:v>08_Health_and_Population</x:v>
      </x:c>
      <x:c r="C9" s="259" t="str">
        <x:v>Maternal_and_Pregnancy_Health</x:v>
      </x:c>
      <x:c r="D9" s="259" t="str">
        <x:v>nuMoM2b Sleep Breathing Substudy</x:v>
      </x:c>
      <x:c r="E9" s="259" t="str">
        <x:v>NUMOM2B PSG</x:v>
      </x:c>
      <x:c r="F9" s="259" t="str">
        <x:v>NSRR:numom2b | DOI:10.25822/37mc-6v21</x:v>
      </x:c>
      <x:c r="G9" s="259" t="str">
        <x:v>DOWNLOAD_APPLICATION_REQUIRED</x:v>
      </x:c>
      <x:c r="H9" s="259" t="str">
        <x:v>https://sleepdata.org/datasets/numom2b</x:v>
      </x:c>
      <x:c r="I9" s="259" t="str">
        <x:v>nulliparous pregnancy outcomes, sleep-disordered breathing and maternal health</x:v>
      </x:c>
      <x:c r="J9" s="259" t="str">
        <x:v>3,009 个 Visit 1 raw PSG/EEG；2,332 为同队列 Visit 3 随访，不重复相加</x:v>
      </x:c>
      <x:c r="K9" s="259" t="str">
        <x:v>PSG（含 EEG）</x:v>
      </x:c>
      <x:c r="L9" s="259" t="str">
        <x:v>见 NSRR official montage</x:v>
      </x:c>
      <x:c r="M9" s="259" t="str">
        <x:v>EDF + XML</x:v>
      </x:c>
      <x:c r="N9" s="259" t="str">
        <x:v>Raw PSG + annotations</x:v>
      </x:c>
      <x:c r="O9" s="259" t="str">
        <x:v>NSRR data request / DUA</x:v>
      </x:c>
      <x:c r="P9" s="259" t="str">
        <x:v>nuMoM2b Sleep Breathing Substudy; NSRR</x:v>
      </x:c>
      <x:c r="Q9" s="259" t="str">
        <x:v>08_Health_and_Population/Maternal_and_Pregnancy_Health/NUMOM2B</x:v>
      </x:c>
      <x:c r="R9" s="259" t="str">
        <x:v>新增；按 Visit 1 的 3,009 个实际 raw PSG 计唯一基线参与者</x:v>
      </x:c>
      <x:c r="S9" s="259"/>
      <x:c r="T9" s="259"/>
      <x:c r="U9" s="215" t="n">
        <x:v>5341</x:v>
      </x:c>
    </x:row>
    <x:row r="10">
      <x:c r="A10" s="308" t="str">
        <x:v>EEG-0591</x:v>
      </x:c>
      <x:c r="B10" s="309" t="str">
        <x:v>02_Healthcare_and_Disease</x:v>
      </x:c>
      <x:c r="C10" s="309" t="str">
        <x:v>Sleep_and_Narcolepsy</x:v>
      </x:c>
      <x:c r="D10" s="309" t="str">
        <x:v>Mignot Nature Communications (MNC)</x:v>
      </x:c>
      <x:c r="E10" s="309" t="str">
        <x:v>MNC sleep staging / narcolepsy dataset</x:v>
      </x:c>
      <x:c r="F10" s="309" t="str">
        <x:v>NSRR:mnc</x:v>
      </x:c>
      <x:c r="G10" s="309" t="str">
        <x:v>DOWNLOAD_APPLICATION_REQUIRED</x:v>
      </x:c>
      <x:c r="H10" s="309" t="str">
        <x:v>https://sleepdata.org/datasets/mnc</x:v>
      </x:c>
      <x:c r="I10" s="309" t="str">
        <x:v>normal and abnormal sleep staging; type-1 narcolepsy marker</x:v>
      </x:c>
      <x:c r="J10" s="309" t="str">
        <x:v>约 3,000（NSRR 列表口径；多队列正常/异常睡眠记录）</x:v>
      </x:c>
      <x:c r="K10" s="309" t="str">
        <x:v>PSG（cohort-dependent）</x:v>
      </x:c>
      <x:c r="L10" s="309" t="str">
        <x:v>cohort-dependent</x:v>
      </x:c>
      <x:c r="M10" s="309" t="str">
        <x:v>Harmonized EDF + annotations</x:v>
      </x:c>
      <x:c r="N10" s="309" t="str">
        <x:v>Raw harmonized PSG + staging</x:v>
      </x:c>
      <x:c r="O10" s="309" t="str">
        <x:v>NSRR data request / DUA</x:v>
      </x:c>
      <x:c r="P10" s="309" t="str">
        <x:v>Stephansen et al. (2018), Nature Communications; NSRR</x:v>
      </x:c>
      <x:c r="Q10" s="309" t="str">
        <x:v>02_Healthcare_and_Disease/Sleep_and_Narcolepsy/MNC</x:v>
      </x:c>
      <x:c r="R10" s="309" t="str">
        <x:v>新增大型临床睡眠汇编；3,000 为官方列表近似数，非全局唯一精确值</x:v>
      </x:c>
      <x:c r="S10" s="309"/>
      <x:c r="T10" s="309"/>
      <x:c r="U10" s="310" t="n">
        <x:v>3000</x:v>
      </x:c>
    </x:row>
    <x:row r="11">
      <x:c r="A11" s="226" t="str">
        <x:v>EEG-0592</x:v>
      </x:c>
      <x:c r="B11" s="259" t="str">
        <x:v>02_Healthcare_and_Disease</x:v>
      </x:c>
      <x:c r="C11" s="259" t="str">
        <x:v>Clinical_Sleep_Disorders</x:v>
      </x:c>
      <x:c r="D11" s="259" t="str">
        <x:v>Comprehensive Polysomnography (CPS)</x:v>
      </x:c>
      <x:c r="E11" s="259" t="str">
        <x:v>CPS sleep arousal dataset</x:v>
      </x:c>
      <x:c r="F11" s="259" t="str">
        <x:v>PhysioNet:cps-dataset-sleep:v1.0.0 | DOI:10.13026/sxs0-h317</x:v>
      </x:c>
      <x:c r="G11" s="259" t="str">
        <x:v>DOWNLOAD_APPLICATION_REQUIRED</x:v>
      </x:c>
      <x:c r="H11" s="259" t="str">
        <x:v>https://physionet.org/content/cps-dataset-sleep/1.0.0/</x:v>
      </x:c>
      <x:c r="I11" s="259" t="str">
        <x:v>clinical sleep arousal, apnea/hypopnea and diagnostic decision support</x:v>
      </x:c>
      <x:c r="J11" s="259" t="str">
        <x:v>113 diagnostic PSG recordings / subjects</x:v>
      </x:c>
      <x:c r="K11" s="259" t="str">
        <x:v>up to 36 raw channels；含 10 个 EEG derivations/electrodes</x:v>
      </x:c>
      <x:c r="L11" s="259" t="str">
        <x:v>EEG original 128 Hz; distributed WFDB 256 Hz</x:v>
      </x:c>
      <x:c r="M11" s="259" t="str">
        <x:v>WFDB + TXT + YAML</x:v>
      </x:c>
      <x:c r="N11" s="259" t="str">
        <x:v>Raw multichannel PSG + derived signals + annotations</x:v>
      </x:c>
      <x:c r="O11" s="259" t="str">
        <x:v>PhysioNet credentialed access、CITI training、DUA</x:v>
      </x:c>
      <x:c r="P11" s="259" t="str">
        <x:v>Kraft et al. (2024), PhysioNet</x:v>
      </x:c>
      <x:c r="Q11" s="259" t="str">
        <x:v>02_Healthcare_and_Disease/Clinical_Sleep_Disorders/CPS</x:v>
      </x:c>
      <x:c r="R11" s="259" t="str">
        <x:v>新增；官方页面确认原始 EEG 通道与 113 份临床 PSG</x:v>
      </x:c>
      <x:c r="S11" s="259"/>
      <x:c r="T11" s="259"/>
      <x:c r="U11" s="215" t="n">
        <x:v>113</x:v>
      </x:c>
    </x:row>
    <x:row r="12">
      <x:c r="A12" s="308" t="str">
        <x:v>EEG-0593</x:v>
      </x:c>
      <x:c r="B12" s="309" t="str">
        <x:v>02_Healthcare_and_Disease</x:v>
      </x:c>
      <x:c r="C12" s="309" t="str">
        <x:v>Cardiovascular_and_Sleep_Disorders</x:v>
      </x:c>
      <x:c r="D12" s="309" t="str">
        <x:v>LOFT-HF</x:v>
      </x:c>
      <x:c r="E12" s="309" t="str">
        <x:v>Low Flow Nocturnal Oxygen Therapy in Heart Failure</x:v>
      </x:c>
      <x:c r="F12" s="309" t="str">
        <x:v>NSRR:lofthf</x:v>
      </x:c>
      <x:c r="G12" s="309" t="str">
        <x:v>DOWNLOAD_APPLICATION_REQUIRED</x:v>
      </x:c>
      <x:c r="H12" s="309" t="str">
        <x:v>https://sleepdata.org/datasets/lofthf</x:v>
      </x:c>
      <x:c r="I12" s="309" t="str">
        <x:v>heart failure with reduced ejection fraction and central sleep apnea clinical trial</x:v>
      </x:c>
      <x:c r="J12" s="309" t="str">
        <x:v>161 名有 baseline raw PSG；31 名另有 follow-up；不把随访重复相加</x:v>
      </x:c>
      <x:c r="K12" s="309" t="str">
        <x:v>Type-2 PSG with frontal EEG</x:v>
      </x:c>
      <x:c r="L12" s="309" t="str">
        <x:v>见 NSRR files/montage</x:v>
      </x:c>
      <x:c r="M12" s="309" t="str">
        <x:v>EDF + annotations</x:v>
      </x:c>
      <x:c r="N12" s="309" t="str">
        <x:v>Raw PSG + expert annotations</x:v>
      </x:c>
      <x:c r="O12" s="309" t="str">
        <x:v>NSRR data request / DUA</x:v>
      </x:c>
      <x:c r="P12" s="309" t="str">
        <x:v>LOFT-HF Trial; NSRR</x:v>
      </x:c>
      <x:c r="Q12" s="309" t="str">
        <x:v>02_Healthcare_and_Disease/Cardiovascular_and_Sleep_Disorders/LOFT_HF</x:v>
      </x:c>
      <x:c r="R12" s="309" t="str">
        <x:v>新增；受试者按 161 名 baseline raw PSG 计，31 follow-up 不重复算人</x:v>
      </x:c>
      <x:c r="S12" s="309"/>
      <x:c r="T12" s="309"/>
      <x:c r="U12" s="310" t="n">
        <x:v>192</x:v>
      </x:c>
    </x:row>
    <x:row r="13">
      <x:c r="A13" s="226" t="str">
        <x:v>EEG-0594</x:v>
      </x:c>
      <x:c r="B13" s="259" t="str">
        <x:v>08_Health_and_Population</x:v>
      </x:c>
      <x:c r="C13" s="259" t="str">
        <x:v>Developmental_Clinical_Cohort</x:v>
      </x:c>
      <x:c r="D13" s="259" t="str">
        <x:v>HBN-EEG Release 2</x:v>
      </x:c>
      <x:c r="E13" s="259" t="str">
        <x:v>Healthy Brain Network EEG; ds005506</x:v>
      </x:c>
      <x:c r="F13" s="259" t="str">
        <x:v>OpenNeuro:ds005506 | DOI:10.18112/openneuro.ds005506.v1.0.1</x:v>
      </x:c>
      <x:c r="G13" s="259" t="str">
        <x:v>DOWNLOAD_PUBLIC</x:v>
      </x:c>
      <x:c r="H13" s="259" t="str">
        <x:v>https://openneuro.org/datasets/ds005506</x:v>
      </x:c>
      <x:c r="I13" s="259" t="str">
        <x:v>Multi-task developmental EEG (rest, visual/cognitive tasks and behavioral phenotyping; release-dependent)</x:v>
      </x:c>
      <x:c r="J13" s="259" t="str">
        <x:v>150</x:v>
      </x:c>
      <x:c r="K13" s="259" t="str">
        <x:v>129</x:v>
      </x:c>
      <x:c r="L13" s="259" t="str">
        <x:v>500 Hz</x:v>
      </x:c>
      <x:c r="M13" s="259" t="str">
        <x:v>BIDS EEG / EEGLAB SET</x:v>
      </x:c>
      <x:c r="N13" s="259" t="str">
        <x:v>BIDS-organized EEG release</x:v>
      </x:c>
      <x:c r="O13" s="259" t="str">
        <x:v>CC BY-SA 4.0</x:v>
      </x:c>
      <x:c r="P13" s="259" t="str">
        <x:v>Shirazi et al., HBN-EEG; REVE Appendix B</x:v>
      </x:c>
      <x:c r="Q13" s="259" t="str">
        <x:v>08_Health_and_Population/Developmental_Clinical_Cohort/HBN_EEG_R2_ds005506</x:v>
      </x:c>
      <x:c r="R13" s="259" t="str">
        <x:v>150 subjects、1,405 recordings、127.5 h；按 OpenNeuro 独立 release 去重。</x:v>
      </x:c>
      <x:c r="S13" s="259"/>
      <x:c r="T13" s="259" t="n">
        <x:v>459000</x:v>
      </x:c>
      <x:c r="U13" s="215" t="n">
        <x:v>1405</x:v>
      </x:c>
    </x:row>
    <x:row r="14">
      <x:c r="A14" s="308" t="str">
        <x:v>EEG-0595</x:v>
      </x:c>
      <x:c r="B14" s="309" t="str">
        <x:v>08_Health_and_Population</x:v>
      </x:c>
      <x:c r="C14" s="309" t="str">
        <x:v>Developmental_Clinical_Cohort</x:v>
      </x:c>
      <x:c r="D14" s="309" t="str">
        <x:v>HBN-EEG Release 3</x:v>
      </x:c>
      <x:c r="E14" s="309" t="str">
        <x:v>Healthy Brain Network EEG; ds005507</x:v>
      </x:c>
      <x:c r="F14" s="309" t="str">
        <x:v>OpenNeuro:ds005507 | DOI:10.18112/openneuro.ds005507.v1.0.1</x:v>
      </x:c>
      <x:c r="G14" s="309" t="str">
        <x:v>DOWNLOAD_PUBLIC</x:v>
      </x:c>
      <x:c r="H14" s="309" t="str">
        <x:v>https://openneuro.org/datasets/ds005507</x:v>
      </x:c>
      <x:c r="I14" s="309" t="str">
        <x:v>Multi-task developmental EEG (rest, visual/cognitive tasks and behavioral phenotyping; release-dependent)</x:v>
      </x:c>
      <x:c r="J14" s="309" t="str">
        <x:v>184</x:v>
      </x:c>
      <x:c r="K14" s="309" t="str">
        <x:v>129</x:v>
      </x:c>
      <x:c r="L14" s="309" t="str">
        <x:v>500 Hz</x:v>
      </x:c>
      <x:c r="M14" s="309" t="str">
        <x:v>BIDS EEG / EEGLAB SET</x:v>
      </x:c>
      <x:c r="N14" s="309" t="str">
        <x:v>BIDS-organized EEG release</x:v>
      </x:c>
      <x:c r="O14" s="309" t="str">
        <x:v>CC BY-SA 4.0</x:v>
      </x:c>
      <x:c r="P14" s="309" t="str">
        <x:v>Shirazi et al., HBN-EEG; REVE Appendix B</x:v>
      </x:c>
      <x:c r="Q14" s="309" t="str">
        <x:v>08_Health_and_Population/Developmental_Clinical_Cohort/HBN_EEG_R3_ds005507</x:v>
      </x:c>
      <x:c r="R14" s="309" t="str">
        <x:v>184 subjects、1,812 recordings、158.8 h；按 OpenNeuro 独立 release 去重。</x:v>
      </x:c>
      <x:c r="S14" s="309"/>
      <x:c r="T14" s="309" t="n">
        <x:v>571680</x:v>
      </x:c>
      <x:c r="U14" s="310" t="n">
        <x:v>1812</x:v>
      </x:c>
    </x:row>
    <x:row r="15">
      <x:c r="A15" s="226" t="str">
        <x:v>EEG-0596</x:v>
      </x:c>
      <x:c r="B15" s="259" t="str">
        <x:v>08_Health_and_Population</x:v>
      </x:c>
      <x:c r="C15" s="259" t="str">
        <x:v>Developmental_Clinical_Cohort</x:v>
      </x:c>
      <x:c r="D15" s="259" t="str">
        <x:v>HBN-EEG Release 4</x:v>
      </x:c>
      <x:c r="E15" s="259" t="str">
        <x:v>Healthy Brain Network EEG; ds005508</x:v>
      </x:c>
      <x:c r="F15" s="259" t="str">
        <x:v>OpenNeuro:ds005508 | DOI:10.18112/openneuro.ds005508.v1.0.1</x:v>
      </x:c>
      <x:c r="G15" s="259" t="str">
        <x:v>DOWNLOAD_PUBLIC</x:v>
      </x:c>
      <x:c r="H15" s="259" t="str">
        <x:v>https://openneuro.org/datasets/ds005508</x:v>
      </x:c>
      <x:c r="I15" s="259" t="str">
        <x:v>Multi-task developmental EEG (rest, visual/cognitive tasks and behavioral phenotyping; release-dependent)</x:v>
      </x:c>
      <x:c r="J15" s="259" t="str">
        <x:v>324</x:v>
      </x:c>
      <x:c r="K15" s="259" t="str">
        <x:v>129</x:v>
      </x:c>
      <x:c r="L15" s="259" t="str">
        <x:v>500 Hz</x:v>
      </x:c>
      <x:c r="M15" s="259" t="str">
        <x:v>BIDS EEG / EEGLAB SET</x:v>
      </x:c>
      <x:c r="N15" s="259" t="str">
        <x:v>BIDS-organized EEG release</x:v>
      </x:c>
      <x:c r="O15" s="259" t="str">
        <x:v>CC BY-SA 4.0</x:v>
      </x:c>
      <x:c r="P15" s="259" t="str">
        <x:v>Shirazi et al., HBN-EEG; REVE Appendix B</x:v>
      </x:c>
      <x:c r="Q15" s="259" t="str">
        <x:v>08_Health_and_Population/Developmental_Clinical_Cohort/HBN_EEG_R4_ds005508</x:v>
      </x:c>
      <x:c r="R15" s="259" t="str">
        <x:v>324 subjects、3,342 recordings、261.8 h；按 OpenNeuro 独立 release 去重。</x:v>
      </x:c>
      <x:c r="S15" s="259"/>
      <x:c r="T15" s="259" t="n">
        <x:v>942480</x:v>
      </x:c>
      <x:c r="U15" s="215" t="n">
        <x:v>3342</x:v>
      </x:c>
    </x:row>
    <x:row r="16">
      <x:c r="A16" s="308" t="str">
        <x:v>EEG-0597</x:v>
      </x:c>
      <x:c r="B16" s="309" t="str">
        <x:v>08_Health_and_Population</x:v>
      </x:c>
      <x:c r="C16" s="309" t="str">
        <x:v>Developmental_Clinical_Cohort</x:v>
      </x:c>
      <x:c r="D16" s="309" t="str">
        <x:v>HBN-EEG Release 5</x:v>
      </x:c>
      <x:c r="E16" s="309" t="str">
        <x:v>Healthy Brain Network EEG; ds005509</x:v>
      </x:c>
      <x:c r="F16" s="309" t="str">
        <x:v>OpenNeuro:ds005509 | DOI:10.18112/openneuro.ds005509.v1.0.1</x:v>
      </x:c>
      <x:c r="G16" s="309" t="str">
        <x:v>DOWNLOAD_PUBLIC</x:v>
      </x:c>
      <x:c r="H16" s="309" t="str">
        <x:v>https://openneuro.org/datasets/ds005509</x:v>
      </x:c>
      <x:c r="I16" s="309" t="str">
        <x:v>Multi-task developmental EEG (rest, visual/cognitive tasks and behavioral phenotyping; release-dependent)</x:v>
      </x:c>
      <x:c r="J16" s="309" t="str">
        <x:v>330</x:v>
      </x:c>
      <x:c r="K16" s="309" t="str">
        <x:v>129</x:v>
      </x:c>
      <x:c r="L16" s="309" t="str">
        <x:v>500 Hz</x:v>
      </x:c>
      <x:c r="M16" s="309" t="str">
        <x:v>BIDS EEG / EEGLAB SET</x:v>
      </x:c>
      <x:c r="N16" s="309" t="str">
        <x:v>BIDS-organized EEG release</x:v>
      </x:c>
      <x:c r="O16" s="309" t="str">
        <x:v>CC BY-SA 4.0</x:v>
      </x:c>
      <x:c r="P16" s="309" t="str">
        <x:v>Shirazi et al., HBN-EEG; REVE Appendix B</x:v>
      </x:c>
      <x:c r="Q16" s="309" t="str">
        <x:v>08_Health_and_Population/Developmental_Clinical_Cohort/HBN_EEG_R5_ds005509</x:v>
      </x:c>
      <x:c r="R16" s="309" t="str">
        <x:v>330 subjects、3,326 recordings、255.3 h；按 OpenNeuro 独立 release 去重。</x:v>
      </x:c>
      <x:c r="S16" s="309"/>
      <x:c r="T16" s="309" t="n">
        <x:v>919080</x:v>
      </x:c>
      <x:c r="U16" s="310" t="n">
        <x:v>3326</x:v>
      </x:c>
    </x:row>
    <x:row r="17">
      <x:c r="A17" s="226" t="str">
        <x:v>EEG-0598</x:v>
      </x:c>
      <x:c r="B17" s="259" t="str">
        <x:v>08_Health_and_Population</x:v>
      </x:c>
      <x:c r="C17" s="259" t="str">
        <x:v>Developmental_Clinical_Cohort</x:v>
      </x:c>
      <x:c r="D17" s="259" t="str">
        <x:v>HBN-EEG Release 6</x:v>
      </x:c>
      <x:c r="E17" s="259" t="str">
        <x:v>Healthy Brain Network EEG; ds005510</x:v>
      </x:c>
      <x:c r="F17" s="259" t="str">
        <x:v>OpenNeuro:ds005510 | DOI:10.18112/openneuro.ds005510.v1.0.1</x:v>
      </x:c>
      <x:c r="G17" s="259" t="str">
        <x:v>DOWNLOAD_PUBLIC</x:v>
      </x:c>
      <x:c r="H17" s="259" t="str">
        <x:v>https://openneuro.org/datasets/ds005510</x:v>
      </x:c>
      <x:c r="I17" s="259" t="str">
        <x:v>Multi-task developmental EEG (rest, visual/cognitive tasks and behavioral phenotyping; release-dependent)</x:v>
      </x:c>
      <x:c r="J17" s="259" t="str">
        <x:v>135</x:v>
      </x:c>
      <x:c r="K17" s="259" t="str">
        <x:v>129</x:v>
      </x:c>
      <x:c r="L17" s="259" t="str">
        <x:v>500 Hz</x:v>
      </x:c>
      <x:c r="M17" s="259" t="str">
        <x:v>BIDS EEG / EEGLAB SET</x:v>
      </x:c>
      <x:c r="N17" s="259" t="str">
        <x:v>BIDS-organized EEG release</x:v>
      </x:c>
      <x:c r="O17" s="259" t="str">
        <x:v>CC BY-SA 4.0</x:v>
      </x:c>
      <x:c r="P17" s="259" t="str">
        <x:v>Shirazi et al., HBN-EEG; REVE Appendix B</x:v>
      </x:c>
      <x:c r="Q17" s="259" t="str">
        <x:v>08_Health_and_Population/Developmental_Clinical_Cohort/HBN_EEG_R6_ds005510</x:v>
      </x:c>
      <x:c r="R17" s="259" t="str">
        <x:v>135 subjects、1,227 recordings、103.5 h；按 OpenNeuro 独立 release 去重。</x:v>
      </x:c>
      <x:c r="S17" s="259"/>
      <x:c r="T17" s="259" t="n">
        <x:v>372600</x:v>
      </x:c>
      <x:c r="U17" s="215" t="n">
        <x:v>1227</x:v>
      </x:c>
    </x:row>
    <x:row r="18">
      <x:c r="A18" s="308" t="str">
        <x:v>EEG-0599</x:v>
      </x:c>
      <x:c r="B18" s="309" t="str">
        <x:v>08_Health_and_Population</x:v>
      </x:c>
      <x:c r="C18" s="309" t="str">
        <x:v>Developmental_Clinical_Cohort</x:v>
      </x:c>
      <x:c r="D18" s="309" t="str">
        <x:v>HBN-EEG Release 7</x:v>
      </x:c>
      <x:c r="E18" s="309" t="str">
        <x:v>Healthy Brain Network EEG; ds005511</x:v>
      </x:c>
      <x:c r="F18" s="309" t="str">
        <x:v>OpenNeuro:ds005511 | DOI:10.18112/openneuro.ds005511.v1.0.1</x:v>
      </x:c>
      <x:c r="G18" s="309" t="str">
        <x:v>DOWNLOAD_PUBLIC</x:v>
      </x:c>
      <x:c r="H18" s="309" t="str">
        <x:v>https://openneuro.org/datasets/ds005511</x:v>
      </x:c>
      <x:c r="I18" s="309" t="str">
        <x:v>Multi-task developmental EEG (rest, visual/cognitive tasks and behavioral phenotyping; release-dependent)</x:v>
      </x:c>
      <x:c r="J18" s="309" t="str">
        <x:v>381</x:v>
      </x:c>
      <x:c r="K18" s="309" t="str">
        <x:v>129</x:v>
      </x:c>
      <x:c r="L18" s="309" t="str">
        <x:v>500 Hz</x:v>
      </x:c>
      <x:c r="M18" s="309" t="str">
        <x:v>BIDS EEG / EEGLAB SET</x:v>
      </x:c>
      <x:c r="N18" s="309" t="str">
        <x:v>BIDS-organized EEG release</x:v>
      </x:c>
      <x:c r="O18" s="309" t="str">
        <x:v>CC BY-SA 4.0</x:v>
      </x:c>
      <x:c r="P18" s="309" t="str">
        <x:v>Shirazi et al., HBN-EEG; REVE Appendix B</x:v>
      </x:c>
      <x:c r="Q18" s="309" t="str">
        <x:v>08_Health_and_Population/Developmental_Clinical_Cohort/HBN_EEG_R7_ds005511</x:v>
      </x:c>
      <x:c r="R18" s="309" t="str">
        <x:v>381 subjects、3,100 recordings；官方 release 可核验，但未把未公开的总时长估算成精确值。</x:v>
      </x:c>
      <x:c r="S18" s="309"/>
      <x:c r="T18" s="309"/>
      <x:c r="U18" s="310" t="n">
        <x:v>3100</x:v>
      </x:c>
    </x:row>
    <x:row r="19">
      <x:c r="A19" s="226" t="str">
        <x:v>EEG-0600</x:v>
      </x:c>
      <x:c r="B19" s="259" t="str">
        <x:v>08_Health_and_Population</x:v>
      </x:c>
      <x:c r="C19" s="259" t="str">
        <x:v>Developmental_Clinical_Cohort</x:v>
      </x:c>
      <x:c r="D19" s="259" t="str">
        <x:v>HBN-EEG Release 8</x:v>
      </x:c>
      <x:c r="E19" s="259" t="str">
        <x:v>Healthy Brain Network EEG; ds005512</x:v>
      </x:c>
      <x:c r="F19" s="259" t="str">
        <x:v>OpenNeuro:ds005512 | DOI:10.18112/openneuro.ds005512.v1.0.1</x:v>
      </x:c>
      <x:c r="G19" s="259" t="str">
        <x:v>DOWNLOAD_PUBLIC</x:v>
      </x:c>
      <x:c r="H19" s="259" t="str">
        <x:v>https://openneuro.org/datasets/ds005512</x:v>
      </x:c>
      <x:c r="I19" s="259" t="str">
        <x:v>Multi-task developmental EEG (rest, visual/cognitive tasks and behavioral phenotyping; release-dependent)</x:v>
      </x:c>
      <x:c r="J19" s="259" t="str">
        <x:v>257</x:v>
      </x:c>
      <x:c r="K19" s="259" t="str">
        <x:v>129</x:v>
      </x:c>
      <x:c r="L19" s="259" t="str">
        <x:v>500 Hz</x:v>
      </x:c>
      <x:c r="M19" s="259" t="str">
        <x:v>BIDS EEG / EEGLAB SET</x:v>
      </x:c>
      <x:c r="N19" s="259" t="str">
        <x:v>BIDS-organized EEG release</x:v>
      </x:c>
      <x:c r="O19" s="259" t="str">
        <x:v>CC BY-SA 4.0</x:v>
      </x:c>
      <x:c r="P19" s="259" t="str">
        <x:v>Shirazi et al., HBN-EEG; REVE Appendix B</x:v>
      </x:c>
      <x:c r="Q19" s="259" t="str">
        <x:v>08_Health_and_Population/Developmental_Clinical_Cohort/HBN_EEG_R8_ds005512</x:v>
      </x:c>
      <x:c r="R19" s="259" t="str">
        <x:v>257 subjects、2,320 recordings、179.1 h；按 OpenNeuro 独立 release 去重。</x:v>
      </x:c>
      <x:c r="S19" s="259"/>
      <x:c r="T19" s="259" t="n">
        <x:v>644760</x:v>
      </x:c>
      <x:c r="U19" s="215" t="n">
        <x:v>2320</x:v>
      </x:c>
    </x:row>
    <x:row r="20">
      <x:c r="A20" s="308" t="str">
        <x:v>EEG-0601</x:v>
      </x:c>
      <x:c r="B20" s="309" t="str">
        <x:v>08_Health_and_Population</x:v>
      </x:c>
      <x:c r="C20" s="309" t="str">
        <x:v>Developmental_Clinical_Cohort</x:v>
      </x:c>
      <x:c r="D20" s="309" t="str">
        <x:v>HBN-EEG Release 9</x:v>
      </x:c>
      <x:c r="E20" s="309" t="str">
        <x:v>Healthy Brain Network EEG; ds005514</x:v>
      </x:c>
      <x:c r="F20" s="309" t="str">
        <x:v>OpenNeuro:ds005514 | DOI:10.18112/openneuro.ds005514.v1.0.1</x:v>
      </x:c>
      <x:c r="G20" s="309" t="str">
        <x:v>DOWNLOAD_PUBLIC</x:v>
      </x:c>
      <x:c r="H20" s="309" t="str">
        <x:v>https://openneuro.org/datasets/ds005514</x:v>
      </x:c>
      <x:c r="I20" s="309" t="str">
        <x:v>Multi-task developmental EEG (rest, visual/cognitive tasks and behavioral phenotyping; release-dependent)</x:v>
      </x:c>
      <x:c r="J20" s="309" t="str">
        <x:v>295</x:v>
      </x:c>
      <x:c r="K20" s="309" t="str">
        <x:v>129</x:v>
      </x:c>
      <x:c r="L20" s="309" t="str">
        <x:v>500 Hz</x:v>
      </x:c>
      <x:c r="M20" s="309" t="str">
        <x:v>BIDS EEG / EEGLAB SET</x:v>
      </x:c>
      <x:c r="N20" s="309" t="str">
        <x:v>BIDS-organized EEG release</x:v>
      </x:c>
      <x:c r="O20" s="309" t="str">
        <x:v>CC BY-SA 4.0</x:v>
      </x:c>
      <x:c r="P20" s="309" t="str">
        <x:v>Shirazi et al., HBN-EEG; REVE Appendix B</x:v>
      </x:c>
      <x:c r="Q20" s="309" t="str">
        <x:v>08_Health_and_Population/Developmental_Clinical_Cohort/HBN_EEG_R9_ds005514</x:v>
      </x:c>
      <x:c r="R20" s="309" t="str">
        <x:v>295 subjects、2,885 recordings、210.8 h；按 OpenNeuro 独立 release 去重。</x:v>
      </x:c>
      <x:c r="S20" s="309"/>
      <x:c r="T20" s="309" t="n">
        <x:v>758880</x:v>
      </x:c>
      <x:c r="U20" s="310" t="n">
        <x:v>2885</x:v>
      </x:c>
    </x:row>
    <x:row r="21">
      <x:c r="A21" s="226" t="str">
        <x:v>EEG-0602</x:v>
      </x:c>
      <x:c r="B21" s="259" t="str">
        <x:v>02_Healthcare_and_Disease</x:v>
      </x:c>
      <x:c r="C21" s="259" t="str">
        <x:v>Epilepsy_and_Seizure_Monitoring</x:v>
      </x:c>
      <x:c r="D21" s="259" t="str">
        <x:v>SeizeIT1</x:v>
      </x:c>
      <x:c r="E21" s="259" t="str">
        <x:v>KU Leuven presurgical scalp EEG; SeizeIT 1</x:v>
      </x:c>
      <x:c r="F21" s="259" t="str">
        <x:v>KU Leuven RDR:P5Q0OJ | DOI:10.48804/P5Q0OJ</x:v>
      </x:c>
      <x:c r="G21" s="259" t="str">
        <x:v>DOWNLOAD_UNAVAILABLE</x:v>
      </x:c>
      <x:c r="H21" s="259" t="str">
        <x:v>https://rdr.kuleuven.be/dataset.xhtml?persistentId=doi:10.48804/P5Q0OJ</x:v>
      </x:c>
      <x:c r="I21" s="259" t="str">
        <x:v>Adult presurgical seizure detection with scalp EEG, behind-the-ear EEG and ECG</x:v>
      </x:c>
      <x:c r="J21" s="259" t="str">
        <x:v>42 benchmark subjects (82 patients recorded overall)</x:v>
      </x:c>
      <x:c r="K21" s="259" t="str">
        <x:v>24 scalp EEG + 4 behind-the-ear EEG + ECG</x:v>
      </x:c>
      <x:c r="L21" s="259" t="str">
        <x:v>250 Hz</x:v>
      </x:c>
      <x:c r="M21" s="259" t="str">
        <x:v>EDF + TSV annotations</x:v>
      </x:c>
      <x:c r="N21" s="259" t="str">
        <x:v>Raw continuous EEG + clinician seizure annotations</x:v>
      </x:c>
      <x:c r="O21" s="259" t="str">
        <x:v>Current source notice: no longer shared because the ethics approval expired; use SeizeIT2 as the obtainable alternative.</x:v>
      </x:c>
      <x:c r="P21" s="259" t="str">
        <x:v>NeuroAtlas (2026); Chatzichristos &amp; Claro Bhagubai, SeizeIT1</x:v>
      </x:c>
      <x:c r="Q21" s="259" t="str">
        <x:v>02_Healthcare_and_Disease/Epilepsy_and_Seizure_Monitoring/SeizeIT1</x:v>
      </x:c>
      <x:c r="R21" s="259" t="str">
        <x:v>NeuroAtlas Figure 2 labels 5.9k h; the current SzCORE public benchmark lists 4,211 h for 42 subjects. The hour field stays non-exact in the master row and both scopes are preserved in the comparison sheet.</x:v>
      </x:c>
      <x:c r="S21" s="259"/>
      <x:c r="T21" s="259"/>
      <x:c r="U21" s="215"/>
    </x:row>
    <x:row r="22">
      <x:c r="A22" s="308" t="str">
        <x:v>EEG-0603</x:v>
      </x:c>
      <x:c r="B22" s="309" t="str">
        <x:v>02_Healthcare_and_Disease</x:v>
      </x:c>
      <x:c r="C22" s="309" t="str">
        <x:v>Clinical_Sleep_Disorders</x:v>
      </x:c>
      <x:c r="D22" s="309" t="str">
        <x:v>DCSM Sleep Staging Dataset</x:v>
      </x:c>
      <x:c r="E22" s="309" t="str">
        <x:v>Danish Center for Sleep Medicine; DCSM</x:v>
      </x:c>
      <x:c r="F22" s="309" t="str">
        <x:v>ERDA:db553715ecbe1f3ac66c1dc569826eef</x:v>
      </x:c>
      <x:c r="G22" s="309" t="str">
        <x:v>DOWNLOAD_PUBLIC</x:v>
      </x:c>
      <x:c r="H22" s="309" t="str">
        <x:v>https://erda.ku.dk/public/archives/db553715ecbe1f3ac66c1dc569826eef/published-archive.html</x:v>
      </x:c>
      <x:c r="I22" s="309" t="str">
        <x:v>Clinical sleep staging in patients evaluated for non-specific sleep-related disorders</x:v>
      </x:c>
      <x:c r="J22" s="309" t="str">
        <x:v>255 patients / 255 overnight PSG recordings</x:v>
      </x:c>
      <x:c r="K22" s="309" t="str">
        <x:v>PSG including EEG, EOG and EMG</x:v>
      </x:c>
      <x:c r="L22" s="309" t="str">
        <x:v>256 Hz (EEG/EOG)</x:v>
      </x:c>
      <x:c r="M22" s="309" t="str">
        <x:v>EDF + HDF5 + IDS hypnograms</x:v>
      </x:c>
      <x:c r="N22" s="309" t="str">
        <x:v>Raw PSG + AASM hypnograms</x:v>
      </x:c>
      <x:c r="O22" s="309" t="str">
        <x:v>Public archive; single ZIP or U-Time fetch command</x:v>
      </x:c>
      <x:c r="P22" s="309" t="str">
        <x:v>Perslev et al. (2021), U-Sleep; DCSM data archive; NeuroAtlas</x:v>
      </x:c>
      <x:c r="Q22" s="309" t="str">
        <x:v>02_Healthcare_and_Disease/Clinical_Sleep_Disorders/DCSM</x:v>
      </x:c>
      <x:c r="R22" s="309" t="str">
        <x:v>Official archive confirms 255 anonymized overnight clinical PSGs. No official total-hour figure was found, so duration is left blank.</x:v>
      </x:c>
      <x:c r="S22" s="309"/>
      <x:c r="T22" s="309"/>
      <x:c r="U22" s="310" t="n">
        <x:v>255</x:v>
      </x:c>
    </x:row>
    <x:row r="23">
      <x:c r="A23" s="226" t="str">
        <x:v>EEG-0604</x:v>
      </x:c>
      <x:c r="B23" s="259" t="str">
        <x:v>02_Healthcare_and_Disease</x:v>
      </x:c>
      <x:c r="C23" s="259" t="str">
        <x:v>Sleep_and_Cognitive_Impairment</x:v>
      </x:c>
      <x:c r="D23" s="259" t="str">
        <x:v>George B. Moody PhysioNet Challenge 2026 (PN2026)</x:v>
      </x:c>
      <x:c r="E23" s="259" t="str">
        <x:v>PhysioNet Challenge 2026; Human Sleep Project curated subset</x:v>
      </x:c>
      <x:c r="F23" s="259" t="str">
        <x:v>HSP DOI:10.60508/qjbv-hg78 | Kaggle:physionet/physionetchallenge2026datalargeversion</x:v>
      </x:c>
      <x:c r="G23" s="259" t="str">
        <x:v>DOWNLOAD_PUBLIC</x:v>
      </x:c>
      <x:c r="H23" s="259" t="str">
        <x:v>https://moody-challenge.physionet.org/2026/</x:v>
      </x:c>
      <x:c r="I23" s="259" t="str">
        <x:v>Sleep staging and clinical-event annotation; future cognitive-impairment screening</x:v>
      </x:c>
      <x:c r="J23" s="259" t="str">
        <x:v>Unique subjects not stated; 6,600 public large-training PSG records</x:v>
      </x:c>
      <x:c r="K23" s="259" t="str">
        <x:v>Variable PSG montage including EEG/EOG/EMG/ECG/respiration</x:v>
      </x:c>
      <x:c r="L23" s="259" t="str">
        <x:v>Recording/channel dependent</x:v>
      </x:c>
      <x:c r="M23" s="259" t="str">
        <x:v>EDF + CSV metadata/annotations</x:v>
      </x:c>
      <x:c r="N23" s="259" t="str">
        <x:v>Raw PSG + human and algorithmic annotations</x:v>
      </x:c>
      <x:c r="O23" s="259" t="str">
        <x:v>Public large/small training sets on Kaggle; validation/test remain hidden during the 2026 Challenge.</x:v>
      </x:c>
      <x:c r="P23" s="259" t="str">
        <x:v>George B. Moody PhysioNet Challenge 2026; Human Sleep Project; NeuroAtlas</x:v>
      </x:c>
      <x:c r="Q23" s="259" t="str">
        <x:v>02_Healthcare_and_Disease/Sleep_and_Cognitive_Impairment/PN2026</x:v>
      </x:c>
      <x:c r="R23" s="259" t="str">
        <x:v>Official page lists 5,139 + 319 + 1,142 = 6,600 public large-training PSG records (1.2 TiB). Hidden validation/test are not counted as downloadable records.</x:v>
      </x:c>
      <x:c r="S23" s="259"/>
      <x:c r="T23" s="259"/>
      <x:c r="U23" s="215" t="n">
        <x:v>6600</x:v>
      </x:c>
    </x:row>
    <x:row r="24">
      <x:c r="A24" s="308" t="str">
        <x:v>EEG-0605</x:v>
      </x:c>
      <x:c r="B24" s="309" t="str">
        <x:v>02_Healthcare_and_Disease</x:v>
      </x:c>
      <x:c r="C24" s="309" t="str">
        <x:v>Clinical_Sleep_Disorders</x:v>
      </x:c>
      <x:c r="D24" s="309" t="str">
        <x:v>STAGES</x:v>
      </x:c>
      <x:c r="E24" s="309" t="str">
        <x:v>Stanford Technology Analytics and Genomics in Sleep</x:v>
      </x:c>
      <x:c r="F24" s="309" t="str">
        <x:v>NSRR:stages | DOI:10.25822/me0d-xs45</x:v>
      </x:c>
      <x:c r="G24" s="309" t="str">
        <x:v>DOWNLOAD_APPLICATION_REQUIRED</x:v>
      </x:c>
      <x:c r="H24" s="309" t="str">
        <x:v>https://sleepdata.org/datasets/stages</x:v>
      </x:c>
      <x:c r="I24" s="309" t="str">
        <x:v>Clinical sleep staging, sleep-disorder phenotyping and brain-age evaluation</x:v>
      </x:c>
      <x:c r="J24" s="309" t="str">
        <x:v>1,500 adult/adolescent patients</x:v>
      </x:c>
      <x:c r="K24" s="309" t="str">
        <x:v>Clinical PSG including EEG/EOG/EMG/ECG/respiration</x:v>
      </x:c>
      <x:c r="L24" s="309" t="str">
        <x:v>Site/recording dependent</x:v>
      </x:c>
      <x:c r="M24" s="309" t="str">
        <x:v>EDF + annotations + phenotype tables</x:v>
      </x:c>
      <x:c r="N24" s="309" t="str">
        <x:v>Raw clinical PSG + questionnaire/phenotype data</x:v>
      </x:c>
      <x:c r="O24" s="309" t="str">
        <x:v>NSRR account, approved data request and data-use agreement; available for non-commercial and commercial use under the stated terms.</x:v>
      </x:c>
      <x:c r="P24" s="309" t="str">
        <x:v>STAGES cohort; NSRR; NeuroAtlas</x:v>
      </x:c>
      <x:c r="Q24" s="309" t="str">
        <x:v>02_Healthcare_and_Disease/Clinical_Sleep_Disorders/STAGES</x:v>
      </x:c>
      <x:c r="R24" s="309" t="str">
        <x:v>Official NSRR page reports 1,500 patients and flags four duplicate EDF pairs; the master duration remains blank pending EDF-header audit.</x:v>
      </x:c>
      <x:c r="S24" s="309"/>
      <x:c r="T24" s="309"/>
      <x:c r="U24" s="310" t="n">
        <x:v>1500</x:v>
      </x:c>
    </x:row>
    <x:row r="25">
      <x:c r="A25" s="226" t="str">
        <x:v>EEG-0606</x:v>
      </x:c>
      <x:c r="B25" s="259" t="str">
        <x:v>02_Healthcare_and_Disease</x:v>
      </x:c>
      <x:c r="C25" s="259" t="str">
        <x:v>Sleep_Disordered_Breathing</x:v>
      </x:c>
      <x:c r="D25" s="259" t="str">
        <x:v>UCDDB Sleep Apnea Database</x:v>
      </x:c>
      <x:c r="E25" s="259" t="str">
        <x:v>St. Vincent's University Hospital / University College Dublin Sleep Apnea Database</x:v>
      </x:c>
      <x:c r="F25" s="259" t="str">
        <x:v>PhysioNet:ucddb:v1.0.0 | DOI:10.13026/C26C7D</x:v>
      </x:c>
      <x:c r="G25" s="259" t="str">
        <x:v>DOWNLOAD_PUBLIC</x:v>
      </x:c>
      <x:c r="H25" s="259" t="str">
        <x:v>https://physionet.org/content/ucddb/1.0.0/</x:v>
      </x:c>
      <x:c r="I25" s="259" t="str">
        <x:v>Sleep staging and respiratory-event detection in suspected sleep-disordered breathing</x:v>
      </x:c>
      <x:c r="J25" s="259" t="str">
        <x:v>25 adults / 25 full overnight PSG recordings</x:v>
      </x:c>
      <x:c r="K25" s="259" t="str">
        <x:v>2 EEG + EOG/EMG/ECG/respiration/SpO2 and other PSG channels</x:v>
      </x:c>
      <x:c r="L25" s="259" t="str">
        <x:v>See EDF headers</x:v>
      </x:c>
      <x:c r="M25" s="259" t="str">
        <x:v>EDF (.rec) + TXT annotations</x:v>
      </x:c>
      <x:c r="N25" s="259" t="str">
        <x:v>Raw overnight PSG + sleep-stage/respiratory-event annotations</x:v>
      </x:c>
      <x:c r="O25" s="259" t="str">
        <x:v>Open Data Commons Attribution License v1.0</x:v>
      </x:c>
      <x:c r="P25" s="259" t="str">
        <x:v>UCDDB / PhysioNet; NeuroAtlas</x:v>
      </x:c>
      <x:c r="Q25" s="259" t="str">
        <x:v>02_Healthcare_and_Disease/Sleep_Disordered_Breathing/UCDDB</x:v>
      </x:c>
      <x:c r="R25" s="259" t="str">
        <x:v>Official PhysioNet page confirms 25 subjects and 25 full overnight PSGs. Total hours are not inferred from file size or an assumed night length.</x:v>
      </x:c>
      <x:c r="S25" s="259"/>
      <x:c r="T25" s="259"/>
      <x:c r="U25" s="215" t="n">
        <x:v>25</x:v>
      </x:c>
    </x:row>
    <x:row r="26">
      <x:c r="A26" s="356" t="str">
        <x:v>EEG-0607</x:v>
      </x:c>
      <x:c r="B26" s="357" t="str">
        <x:v>04_Cognition_and_Emotion</x:v>
      </x:c>
      <x:c r="C26" s="357" t="str">
        <x:v>Cognitive_Workload_and_Arithmetic</x:v>
      </x:c>
      <x:c r="D26" s="357" t="str">
        <x:v>ArithmeticTask (Rodriguez-Larios &amp; Alaerts)</x:v>
      </x:c>
      <x:c r="E26" s="357" t="str">
        <x:v>Alpha-theta harmonic relationships arithmetic/rest/breath-focus EEG</x:v>
      </x:c>
      <x:c r="F26" s="357" t="str">
        <x:v>OSF:gh6q3 | DOI:10.1523/JNEUROSCI.2919-18.2019</x:v>
      </x:c>
      <x:c r="G26" s="357" t="str">
        <x:v>DOWNLOAD_PUBLIC</x:v>
      </x:c>
      <x:c r="H26" s="357" t="str">
        <x:v>https://osf.io/gh6q3/</x:v>
      </x:c>
      <x:c r="I26" s="357" t="str">
        <x:v>Arithmetic, rest and breath-focus cognitive-state decoding</x:v>
      </x:c>
      <x:c r="J26" s="357" t="str">
        <x:v>51 included participants (54 recruited across two experiments)</x:v>
      </x:c>
      <x:c r="K26" s="357" t="str">
        <x:v>21 EEG electrodes</x:v>
      </x:c>
      <x:c r="L26" s="357" t="str">
        <x:v>256 Hz</x:v>
      </x:c>
      <x:c r="M26" s="357" t="str">
        <x:v>Raw EEG files from OSF; analysis in MATLAB/Letswave</x:v>
      </x:c>
      <x:c r="N26" s="357" t="str">
        <x:v>Raw continuous EEG</x:v>
      </x:c>
      <x:c r="O26" s="357" t="str">
        <x:v>Public OSF data; follow the project terms and cite the source paper</x:v>
      </x:c>
      <x:c r="P26" s="357" t="str">
        <x:v>Rodriguez-Larios &amp; Alaerts (2019), Journal of Neuroscience; NeuroAtlas</x:v>
      </x:c>
      <x:c r="Q26" s="357" t="str">
        <x:v>04_Cognition_and_Emotion/Cognitive_Workload_and_Arithmetic/ArithmeticTask</x:v>
      </x:c>
      <x:c r="R26" s="357" t="str">
        <x:v>Healthy cognitive experiment, not a disease cohort. The paper confirms 51 included participants, 21 electrodes and 256 Hz; no total-hour number is invented.</x:v>
      </x:c>
      <x:c r="S26" s="357"/>
      <x:c r="T26" s="357"/>
      <x:c r="U26" s="358" t="n">
        <x:v>51</x:v>
      </x:c>
    </x:row>
  </x:sheetData>
  <x:pageMargins left="0.7" right="0.7" top="0.75" bottom="0.75" header="0.3" footer="0.3"/>
  <x:tableParts count="1">
    <x:tablePart xmlns:r="http://schemas.openxmlformats.org/officeDocument/2006/relationships" r:id="Rfdb68951c8c84d87"/>
  </x:tableParts>
</x:worksheet>
</file>

<file path=xl/worksheets/sheet17.xml><?xml version="1.0" encoding="utf-8"?>
<x:worksheet xmlns:x="http://schemas.openxmlformats.org/spreadsheetml/2006/main">
  <x:sheetFormatPr defaultRowHeight="15"/>
  <x:cols>
    <x:col min="1" max="1" width="39" hidden="0" customWidth="1"/>
    <x:col min="2" max="2" width="22" hidden="0" customWidth="1"/>
    <x:col min="3" max="3" width="14" hidden="0" customWidth="1"/>
    <x:col min="4" max="4" width="38" hidden="0" customWidth="1"/>
    <x:col min="5" max="5" width="14" hidden="0" customWidth="1"/>
  </x:cols>
  <x:sheetData>
    <x:row r="1" ht="32" customHeight="1">
      <x:c r="A1" s="322" t="str">
        <x:v>大类代码</x:v>
      </x:c>
      <x:c r="B1" s="323" t="str">
        <x:v>大类</x:v>
      </x:c>
      <x:c r="C1" s="323" t="str">
        <x:v>大类数量</x:v>
      </x:c>
      <x:c r="D1" s="323" t="str">
        <x:v>小类</x:v>
      </x:c>
      <x:c r="E1" s="324" t="str">
        <x:v>小类数量</x:v>
      </x:c>
    </x:row>
    <x:row r="2">
      <x:c r="A2" s="325" t="str">
        <x:v>01_Signal_Reliability</x:v>
      </x:c>
      <x:c r="B2" s="326" t="str">
        <x:v>信号可靠性</x:v>
      </x:c>
      <x:c r="C2" s="326" t="n">
        <x:v>4</x:v>
      </x:c>
      <x:c r="D2" s="326" t="str">
        <x:v>Artifact_Identification</x:v>
      </x:c>
      <x:c r="E2" s="327" t="n">
        <x:v>4</x:v>
      </x:c>
    </x:row>
    <x:row r="3">
      <x:c r="A3" s="226" t="str">
        <x:v>02_Healthcare_and_Disease</x:v>
      </x:c>
      <x:c r="B3" s="259" t="str">
        <x:v>医疗与疾病</x:v>
      </x:c>
      <x:c r="C3" s="259" t="n">
        <x:v>94</x:v>
      </x:c>
      <x:c r="D3" s="259" t="str">
        <x:v>Epilepsy_and_Abnormalities</x:v>
      </x:c>
      <x:c r="E3" s="215" t="n">
        <x:v>30</x:v>
      </x:c>
    </x:row>
    <x:row r="4">
      <x:c r="A4" s="233" t="str">
        <x:v>02_Healthcare_and_Disease</x:v>
      </x:c>
      <x:c r="B4" s="328" t="str">
        <x:v>医疗与疾病</x:v>
      </x:c>
      <x:c r="C4" s="328"/>
      <x:c r="D4" s="328" t="str">
        <x:v>Neurological_Disorders</x:v>
      </x:c>
      <x:c r="E4" s="329" t="n">
        <x:v>24</x:v>
      </x:c>
    </x:row>
    <x:row r="5">
      <x:c r="A5" s="226" t="str">
        <x:v>02_Healthcare_and_Disease</x:v>
      </x:c>
      <x:c r="B5" s="259" t="str">
        <x:v>医疗与疾病</x:v>
      </x:c>
      <x:c r="C5" s="259"/>
      <x:c r="D5" s="259" t="str">
        <x:v>Mental_and_Developmental_Disorders</x:v>
      </x:c>
      <x:c r="E5" s="215" t="n">
        <x:v>14</x:v>
      </x:c>
    </x:row>
    <x:row r="6">
      <x:c r="A6" s="233" t="str">
        <x:v>02_Healthcare_and_Disease</x:v>
      </x:c>
      <x:c r="B6" s="328" t="str">
        <x:v>医疗与疾病</x:v>
      </x:c>
      <x:c r="C6" s="328"/>
      <x:c r="D6" s="328" t="str">
        <x:v>Neurodegenerative_Disorders</x:v>
      </x:c>
      <x:c r="E6" s="329" t="n">
        <x:v>8</x:v>
      </x:c>
    </x:row>
    <x:row r="7">
      <x:c r="A7" s="226" t="str">
        <x:v>02_Healthcare_and_Disease</x:v>
      </x:c>
      <x:c r="B7" s="259" t="str">
        <x:v>医疗与疾病</x:v>
      </x:c>
      <x:c r="C7" s="259"/>
      <x:c r="D7" s="259" t="str">
        <x:v>Clinical_Abnormalities</x:v>
      </x:c>
      <x:c r="E7" s="215" t="n">
        <x:v>7</x:v>
      </x:c>
    </x:row>
    <x:row r="8">
      <x:c r="A8" s="233" t="str">
        <x:v>02_Healthcare_and_Disease</x:v>
      </x:c>
      <x:c r="B8" s="328" t="str">
        <x:v>医疗与疾病</x:v>
      </x:c>
      <x:c r="C8" s="328"/>
      <x:c r="D8" s="328" t="str">
        <x:v>Clinical_Sleep_Disorders</x:v>
      </x:c>
      <x:c r="E8" s="329" t="n">
        <x:v>3</x:v>
      </x:c>
    </x:row>
    <x:row r="9">
      <x:c r="A9" s="226" t="str">
        <x:v>02_Healthcare_and_Disease</x:v>
      </x:c>
      <x:c r="B9" s="259" t="str">
        <x:v>医疗与疾病</x:v>
      </x:c>
      <x:c r="C9" s="259"/>
      <x:c r="D9" s="259" t="str">
        <x:v>Cardiovascular_and_Sleep_Disorders</x:v>
      </x:c>
      <x:c r="E9" s="215" t="n">
        <x:v>1</x:v>
      </x:c>
    </x:row>
    <x:row r="10">
      <x:c r="A10" s="233" t="str">
        <x:v>02_Healthcare_and_Disease</x:v>
      </x:c>
      <x:c r="B10" s="328" t="str">
        <x:v>医疗与疾病</x:v>
      </x:c>
      <x:c r="C10" s="328"/>
      <x:c r="D10" s="328" t="str">
        <x:v>Critical_Care_and_Coma</x:v>
      </x:c>
      <x:c r="E10" s="329" t="n">
        <x:v>1</x:v>
      </x:c>
    </x:row>
    <x:row r="11">
      <x:c r="A11" s="226" t="str">
        <x:v>02_Healthcare_and_Disease</x:v>
      </x:c>
      <x:c r="B11" s="259" t="str">
        <x:v>医疗与疾病</x:v>
      </x:c>
      <x:c r="C11" s="259"/>
      <x:c r="D11" s="259" t="str">
        <x:v>Cross_Diagnostic_Clinical</x:v>
      </x:c>
      <x:c r="E11" s="215" t="n">
        <x:v>1</x:v>
      </x:c>
    </x:row>
    <x:row r="12">
      <x:c r="A12" s="233" t="str">
        <x:v>02_Healthcare_and_Disease</x:v>
      </x:c>
      <x:c r="B12" s="328" t="str">
        <x:v>医疗与疾病</x:v>
      </x:c>
      <x:c r="C12" s="328"/>
      <x:c r="D12" s="328" t="str">
        <x:v>Development_and_Lifespan</x:v>
      </x:c>
      <x:c r="E12" s="329" t="n">
        <x:v>1</x:v>
      </x:c>
    </x:row>
    <x:row r="13">
      <x:c r="A13" s="226" t="str">
        <x:v>02_Healthcare_and_Disease</x:v>
      </x:c>
      <x:c r="B13" s="259" t="str">
        <x:v>医疗与疾病</x:v>
      </x:c>
      <x:c r="C13" s="259"/>
      <x:c r="D13" s="259" t="str">
        <x:v>Epilepsy_and_Seizure_Monitoring</x:v>
      </x:c>
      <x:c r="E13" s="215" t="n">
        <x:v>1</x:v>
      </x:c>
    </x:row>
    <x:row r="14">
      <x:c r="A14" s="233" t="str">
        <x:v>02_Healthcare_and_Disease</x:v>
      </x:c>
      <x:c r="B14" s="328" t="str">
        <x:v>医疗与疾病</x:v>
      </x:c>
      <x:c r="C14" s="328"/>
      <x:c r="D14" s="328" t="str">
        <x:v>Sleep_and_Cognitive_Impairment</x:v>
      </x:c>
      <x:c r="E14" s="329" t="n">
        <x:v>1</x:v>
      </x:c>
    </x:row>
    <x:row r="15">
      <x:c r="A15" s="226" t="str">
        <x:v>02_Healthcare_and_Disease</x:v>
      </x:c>
      <x:c r="B15" s="259" t="str">
        <x:v>医疗与疾病</x:v>
      </x:c>
      <x:c r="C15" s="259"/>
      <x:c r="D15" s="259" t="str">
        <x:v>Sleep_and_Narcolepsy</x:v>
      </x:c>
      <x:c r="E15" s="215" t="n">
        <x:v>1</x:v>
      </x:c>
    </x:row>
    <x:row r="16">
      <x:c r="A16" s="233" t="str">
        <x:v>02_Healthcare_and_Disease</x:v>
      </x:c>
      <x:c r="B16" s="328" t="str">
        <x:v>医疗与疾病</x:v>
      </x:c>
      <x:c r="C16" s="328"/>
      <x:c r="D16" s="328" t="str">
        <x:v>Sleep_Disordered_Breathing</x:v>
      </x:c>
      <x:c r="E16" s="329" t="n">
        <x:v>1</x:v>
      </x:c>
    </x:row>
    <x:row r="17">
      <x:c r="A17" s="226" t="str">
        <x:v>03_Consciousness_and_State</x:v>
      </x:c>
      <x:c r="B17" s="259" t="str">
        <x:v>意识与状态</x:v>
      </x:c>
      <x:c r="C17" s="259" t="n">
        <x:v>65</x:v>
      </x:c>
      <x:c r="D17" s="259" t="str">
        <x:v>Sleep_Staging</x:v>
      </x:c>
      <x:c r="E17" s="215" t="n">
        <x:v>33</x:v>
      </x:c>
    </x:row>
    <x:row r="18">
      <x:c r="A18" s="233" t="str">
        <x:v>03_Consciousness_and_State</x:v>
      </x:c>
      <x:c r="B18" s="328" t="str">
        <x:v>意识与状态</x:v>
      </x:c>
      <x:c r="C18" s="328"/>
      <x:c r="D18" s="328" t="str">
        <x:v>Resting_State</x:v>
      </x:c>
      <x:c r="E18" s="329" t="n">
        <x:v>30</x:v>
      </x:c>
    </x:row>
    <x:row r="19">
      <x:c r="A19" s="226" t="str">
        <x:v>03_Consciousness_and_State</x:v>
      </x:c>
      <x:c r="B19" s="259" t="str">
        <x:v>意识与状态</x:v>
      </x:c>
      <x:c r="C19" s="259"/>
      <x:c r="D19" s="259" t="str">
        <x:v>Consciousness_Level</x:v>
      </x:c>
      <x:c r="E19" s="215" t="n">
        <x:v>2</x:v>
      </x:c>
    </x:row>
    <x:row r="20">
      <x:c r="A20" s="233" t="str">
        <x:v>04_Cognition_and_Emotion</x:v>
      </x:c>
      <x:c r="B20" s="328" t="str">
        <x:v>认知与情感</x:v>
      </x:c>
      <x:c r="C20" s="328" t="n">
        <x:v>142</x:v>
      </x:c>
      <x:c r="D20" s="328" t="str">
        <x:v>Cognitive_Task_Recognition</x:v>
      </x:c>
      <x:c r="E20" s="329" t="n">
        <x:v>44</x:v>
      </x:c>
    </x:row>
    <x:row r="21">
      <x:c r="A21" s="226" t="str">
        <x:v>04_Cognition_and_Emotion</x:v>
      </x:c>
      <x:c r="B21" s="259" t="str">
        <x:v>认知与情感</x:v>
      </x:c>
      <x:c r="C21" s="259"/>
      <x:c r="D21" s="259" t="str">
        <x:v>ERP_and_Event_Detection</x:v>
      </x:c>
      <x:c r="E21" s="215" t="n">
        <x:v>32</x:v>
      </x:c>
    </x:row>
    <x:row r="22">
      <x:c r="A22" s="233" t="str">
        <x:v>04_Cognition_and_Emotion</x:v>
      </x:c>
      <x:c r="B22" s="328" t="str">
        <x:v>认知与情感</x:v>
      </x:c>
      <x:c r="C22" s="328"/>
      <x:c r="D22" s="328" t="str">
        <x:v>Emotion_Recognition</x:v>
      </x:c>
      <x:c r="E22" s="329" t="n">
        <x:v>29</x:v>
      </x:c>
    </x:row>
    <x:row r="23">
      <x:c r="A23" s="226" t="str">
        <x:v>04_Cognition_and_Emotion</x:v>
      </x:c>
      <x:c r="B23" s="259" t="str">
        <x:v>认知与情感</x:v>
      </x:c>
      <x:c r="C23" s="259"/>
      <x:c r="D23" s="259" t="str">
        <x:v>Vigilance_Detection</x:v>
      </x:c>
      <x:c r="E23" s="215" t="n">
        <x:v>16</x:v>
      </x:c>
    </x:row>
    <x:row r="24">
      <x:c r="A24" s="233" t="str">
        <x:v>04_Cognition_and_Emotion</x:v>
      </x:c>
      <x:c r="B24" s="328" t="str">
        <x:v>认知与情感</x:v>
      </x:c>
      <x:c r="C24" s="328"/>
      <x:c r="D24" s="328" t="str">
        <x:v>Workload_Detection</x:v>
      </x:c>
      <x:c r="E24" s="329" t="n">
        <x:v>8</x:v>
      </x:c>
    </x:row>
    <x:row r="25">
      <x:c r="A25" s="226" t="str">
        <x:v>04_Cognition_and_Emotion</x:v>
      </x:c>
      <x:c r="B25" s="259" t="str">
        <x:v>认知与情感</x:v>
      </x:c>
      <x:c r="C25" s="259"/>
      <x:c r="D25" s="259" t="str">
        <x:v>Emotion</x:v>
      </x:c>
      <x:c r="E25" s="215" t="n">
        <x:v>4</x:v>
      </x:c>
    </x:row>
    <x:row r="26">
      <x:c r="A26" s="233" t="str">
        <x:v>04_Cognition_and_Emotion</x:v>
      </x:c>
      <x:c r="B26" s="328" t="str">
        <x:v>认知与情感</x:v>
      </x:c>
      <x:c r="C26" s="328"/>
      <x:c r="D26" s="328" t="str">
        <x:v>Mental_State_Recognition</x:v>
      </x:c>
      <x:c r="E26" s="329" t="n">
        <x:v>3</x:v>
      </x:c>
    </x:row>
    <x:row r="27">
      <x:c r="A27" s="226" t="str">
        <x:v>04_Cognition_and_Emotion</x:v>
      </x:c>
      <x:c r="B27" s="259" t="str">
        <x:v>认知与情感</x:v>
      </x:c>
      <x:c r="C27" s="259"/>
      <x:c r="D27" s="259" t="str">
        <x:v>Attention_and_ERP</x:v>
      </x:c>
      <x:c r="E27" s="215" t="n">
        <x:v>1</x:v>
      </x:c>
    </x:row>
    <x:row r="28">
      <x:c r="A28" s="233" t="str">
        <x:v>04_Cognition_and_Emotion</x:v>
      </x:c>
      <x:c r="B28" s="328" t="str">
        <x:v>认知与情感</x:v>
      </x:c>
      <x:c r="C28" s="328"/>
      <x:c r="D28" s="328" t="str">
        <x:v>Attention_and_Multisensory</x:v>
      </x:c>
      <x:c r="E28" s="329" t="n">
        <x:v>1</x:v>
      </x:c>
    </x:row>
    <x:row r="29">
      <x:c r="A29" s="226" t="str">
        <x:v>04_Cognition_and_Emotion</x:v>
      </x:c>
      <x:c r="B29" s="259" t="str">
        <x:v>认知与情感</x:v>
      </x:c>
      <x:c r="C29" s="259"/>
      <x:c r="D29" s="259" t="str">
        <x:v>Cognitive_Workload_and_Arithmetic</x:v>
      </x:c>
      <x:c r="E29" s="215" t="n">
        <x:v>1</x:v>
      </x:c>
    </x:row>
    <x:row r="30">
      <x:c r="A30" s="233" t="str">
        <x:v>04_Cognition_and_Emotion</x:v>
      </x:c>
      <x:c r="B30" s="328" t="str">
        <x:v>认知与情感</x:v>
      </x:c>
      <x:c r="C30" s="328"/>
      <x:c r="D30" s="328" t="str">
        <x:v>Language_and_Semantics</x:v>
      </x:c>
      <x:c r="E30" s="329" t="n">
        <x:v>1</x:v>
      </x:c>
    </x:row>
    <x:row r="31">
      <x:c r="A31" s="226" t="str">
        <x:v>04_Cognition_and_Emotion</x:v>
      </x:c>
      <x:c r="B31" s="259" t="str">
        <x:v>认知与情感</x:v>
      </x:c>
      <x:c r="C31" s="259"/>
      <x:c r="D31" s="259" t="str">
        <x:v>Visual_Object_Decoding</x:v>
      </x:c>
      <x:c r="E31" s="215" t="n">
        <x:v>1</x:v>
      </x:c>
    </x:row>
    <x:row r="32">
      <x:c r="A32" s="233" t="str">
        <x:v>04_Cognition_and_Emotion</x:v>
      </x:c>
      <x:c r="B32" s="328" t="str">
        <x:v>认知与情感</x:v>
      </x:c>
      <x:c r="C32" s="328"/>
      <x:c r="D32" s="328" t="str">
        <x:v>Visual_Perception</x:v>
      </x:c>
      <x:c r="E32" s="329" t="n">
        <x:v>1</x:v>
      </x:c>
    </x:row>
    <x:row r="33">
      <x:c r="A33" s="226" t="str">
        <x:v>05_Naturalistic_Stimulus_Decoding</x:v>
      </x:c>
      <x:c r="B33" s="259" t="str">
        <x:v>自然刺激解码</x:v>
      </x:c>
      <x:c r="C33" s="259" t="n">
        <x:v>59</x:v>
      </x:c>
      <x:c r="D33" s="259" t="str">
        <x:v>Visual_Perception</x:v>
      </x:c>
      <x:c r="E33" s="215" t="n">
        <x:v>22</x:v>
      </x:c>
    </x:row>
    <x:row r="34">
      <x:c r="A34" s="233" t="str">
        <x:v>05_Naturalistic_Stimulus_Decoding</x:v>
      </x:c>
      <x:c r="B34" s="328" t="str">
        <x:v>自然刺激解码</x:v>
      </x:c>
      <x:c r="C34" s="328"/>
      <x:c r="D34" s="328" t="str">
        <x:v>Language_and_Reading</x:v>
      </x:c>
      <x:c r="E34" s="329" t="n">
        <x:v>21</x:v>
      </x:c>
    </x:row>
    <x:row r="35">
      <x:c r="A35" s="226" t="str">
        <x:v>05_Naturalistic_Stimulus_Decoding</x:v>
      </x:c>
      <x:c r="B35" s="259" t="str">
        <x:v>自然刺激解码</x:v>
      </x:c>
      <x:c r="C35" s="259"/>
      <x:c r="D35" s="259" t="str">
        <x:v>Listening_and_Auditory_Attention</x:v>
      </x:c>
      <x:c r="E35" s="215" t="n">
        <x:v>10</x:v>
      </x:c>
    </x:row>
    <x:row r="36">
      <x:c r="A36" s="233" t="str">
        <x:v>05_Naturalistic_Stimulus_Decoding</x:v>
      </x:c>
      <x:c r="B36" s="328" t="str">
        <x:v>自然刺激解码</x:v>
      </x:c>
      <x:c r="C36" s="328"/>
      <x:c r="D36" s="328" t="str">
        <x:v>Imagined_Speech</x:v>
      </x:c>
      <x:c r="E36" s="329" t="n">
        <x:v>4</x:v>
      </x:c>
    </x:row>
    <x:row r="37">
      <x:c r="A37" s="226" t="str">
        <x:v>05_Naturalistic_Stimulus_Decoding</x:v>
      </x:c>
      <x:c r="B37" s="259" t="str">
        <x:v>自然刺激解码</x:v>
      </x:c>
      <x:c r="C37" s="259"/>
      <x:c r="D37" s="259" t="str">
        <x:v>Multisensory_Perception</x:v>
      </x:c>
      <x:c r="E37" s="215" t="n">
        <x:v>2</x:v>
      </x:c>
    </x:row>
    <x:row r="38">
      <x:c r="A38" s="233" t="str">
        <x:v>06_Motor_and_Interaction</x:v>
      </x:c>
      <x:c r="B38" s="328" t="str">
        <x:v>运动与交互</x:v>
      </x:c>
      <x:c r="C38" s="328" t="n">
        <x:v>135</x:v>
      </x:c>
      <x:c r="D38" s="328" t="str">
        <x:v>Motor_Imagery_and_Execution</x:v>
      </x:c>
      <x:c r="E38" s="329" t="n">
        <x:v>64</x:v>
      </x:c>
    </x:row>
    <x:row r="39">
      <x:c r="A39" s="226" t="str">
        <x:v>06_Motor_and_Interaction</x:v>
      </x:c>
      <x:c r="B39" s="259" t="str">
        <x:v>运动与交互</x:v>
      </x:c>
      <x:c r="C39" s="259"/>
      <x:c r="D39" s="259" t="str">
        <x:v>Interaction_and_Control</x:v>
      </x:c>
      <x:c r="E39" s="215" t="n">
        <x:v>36</x:v>
      </x:c>
    </x:row>
    <x:row r="40">
      <x:c r="A40" s="233" t="str">
        <x:v>06_Motor_and_Interaction</x:v>
      </x:c>
      <x:c r="B40" s="328" t="str">
        <x:v>运动与交互</x:v>
      </x:c>
      <x:c r="C40" s="328"/>
      <x:c r="D40" s="328" t="str">
        <x:v>SSVEP_and_Evoked_BCI</x:v>
      </x:c>
      <x:c r="E40" s="329" t="n">
        <x:v>30</x:v>
      </x:c>
    </x:row>
    <x:row r="41">
      <x:c r="A41" s="226" t="str">
        <x:v>06_Motor_and_Interaction</x:v>
      </x:c>
      <x:c r="B41" s="259" t="str">
        <x:v>运动与交互</x:v>
      </x:c>
      <x:c r="C41" s="259"/>
      <x:c r="D41" s="259" t="str">
        <x:v>BCI_Competition</x:v>
      </x:c>
      <x:c r="E41" s="215" t="n">
        <x:v>1</x:v>
      </x:c>
    </x:row>
    <x:row r="42">
      <x:c r="A42" s="233" t="str">
        <x:v>06_Motor_and_Interaction</x:v>
      </x:c>
      <x:c r="B42" s="328" t="str">
        <x:v>运动与交互</x:v>
      </x:c>
      <x:c r="C42" s="328"/>
      <x:c r="D42" s="328" t="str">
        <x:v>Error_Feedback</x:v>
      </x:c>
      <x:c r="E42" s="329" t="n">
        <x:v>1</x:v>
      </x:c>
    </x:row>
    <x:row r="43">
      <x:c r="A43" s="226" t="str">
        <x:v>06_Motor_and_Interaction</x:v>
      </x:c>
      <x:c r="B43" s="259" t="str">
        <x:v>运动与交互</x:v>
      </x:c>
      <x:c r="C43" s="259"/>
      <x:c r="D43" s="259" t="str">
        <x:v>Error_Related_BCI</x:v>
      </x:c>
      <x:c r="E43" s="215" t="n">
        <x:v>1</x:v>
      </x:c>
    </x:row>
    <x:row r="44">
      <x:c r="A44" s="233" t="str">
        <x:v>06_Motor_and_Interaction</x:v>
      </x:c>
      <x:c r="B44" s="328" t="str">
        <x:v>运动与交互</x:v>
      </x:c>
      <x:c r="C44" s="328"/>
      <x:c r="D44" s="328" t="str">
        <x:v>Human_Robot_Interaction</x:v>
      </x:c>
      <x:c r="E44" s="329" t="n">
        <x:v>1</x:v>
      </x:c>
    </x:row>
    <x:row r="45">
      <x:c r="A45" s="226" t="str">
        <x:v>06_Motor_and_Interaction</x:v>
      </x:c>
      <x:c r="B45" s="259" t="str">
        <x:v>运动与交互</x:v>
      </x:c>
      <x:c r="C45" s="259"/>
      <x:c r="D45" s="259" t="str">
        <x:v>P300_BCI</x:v>
      </x:c>
      <x:c r="E45" s="215" t="n">
        <x:v>1</x:v>
      </x:c>
    </x:row>
    <x:row r="46">
      <x:c r="A46" s="233" t="str">
        <x:v>07_General-purpose_and_Multi-paradigm</x:v>
      </x:c>
      <x:c r="B46" s="328" t="str">
        <x:v>通用与多范式</x:v>
      </x:c>
      <x:c r="C46" s="328" t="n">
        <x:v>43</x:v>
      </x:c>
      <x:c r="D46" s="328" t="str">
        <x:v>Multi-task_EEG</x:v>
      </x:c>
      <x:c r="E46" s="329" t="n">
        <x:v>41</x:v>
      </x:c>
    </x:row>
    <x:row r="47">
      <x:c r="A47" s="226" t="str">
        <x:v>07_General-purpose_and_Multi-paradigm</x:v>
      </x:c>
      <x:c r="B47" s="259" t="str">
        <x:v>通用与多范式</x:v>
      </x:c>
      <x:c r="C47" s="259"/>
      <x:c r="D47" s="259" t="str">
        <x:v>Biometrics_and_Identity</x:v>
      </x:c>
      <x:c r="E47" s="215" t="n">
        <x:v>1</x:v>
      </x:c>
    </x:row>
    <x:row r="48">
      <x:c r="A48" s="233" t="str">
        <x:v>07_General-purpose_and_Multi-paradigm</x:v>
      </x:c>
      <x:c r="B48" s="328" t="str">
        <x:v>通用与多范式</x:v>
      </x:c>
      <x:c r="C48" s="328"/>
      <x:c r="D48" s="328" t="str">
        <x:v>Rest_and_Cognitive_State</x:v>
      </x:c>
      <x:c r="E48" s="329" t="n">
        <x:v>1</x:v>
      </x:c>
    </x:row>
    <x:row r="49">
      <x:c r="A49" s="226" t="str">
        <x:v>08_Health_and_Population</x:v>
      </x:c>
      <x:c r="B49" s="259" t="str">
        <x:v>健康与人群</x:v>
      </x:c>
      <x:c r="C49" s="259" t="n">
        <x:v>20</x:v>
      </x:c>
      <x:c r="D49" s="259" t="str">
        <x:v>Developmental_Clinical_Cohort</x:v>
      </x:c>
      <x:c r="E49" s="215" t="n">
        <x:v>9</x:v>
      </x:c>
    </x:row>
    <x:row r="50">
      <x:c r="A50" s="233" t="str">
        <x:v>08_Health_and_Population</x:v>
      </x:c>
      <x:c r="B50" s="328" t="str">
        <x:v>健康与人群</x:v>
      </x:c>
      <x:c r="C50" s="328"/>
      <x:c r="D50" s="328" t="str">
        <x:v>Lifespan_and_Normative</x:v>
      </x:c>
      <x:c r="E50" s="329" t="n">
        <x:v>4</x:v>
      </x:c>
    </x:row>
    <x:row r="51">
      <x:c r="A51" s="226" t="str">
        <x:v>08_Health_and_Population</x:v>
      </x:c>
      <x:c r="B51" s="259" t="str">
        <x:v>健康与人群</x:v>
      </x:c>
      <x:c r="C51" s="259"/>
      <x:c r="D51" s="259" t="str">
        <x:v>Aging_and_Dementia_Risk</x:v>
      </x:c>
      <x:c r="E51" s="215" t="n">
        <x:v>1</x:v>
      </x:c>
    </x:row>
    <x:row r="52">
      <x:c r="A52" s="233" t="str">
        <x:v>08_Health_and_Population</x:v>
      </x:c>
      <x:c r="B52" s="328" t="str">
        <x:v>健康与人群</x:v>
      </x:c>
      <x:c r="C52" s="328"/>
      <x:c r="D52" s="328" t="str">
        <x:v>Maternal_and_Pregnancy_Health</x:v>
      </x:c>
      <x:c r="E52" s="329" t="n">
        <x:v>1</x:v>
      </x:c>
    </x:row>
    <x:row r="53">
      <x:c r="A53" s="226" t="str">
        <x:v>08_Health_and_Population</x:v>
      </x:c>
      <x:c r="B53" s="259" t="str">
        <x:v>健康与人群</x:v>
      </x:c>
      <x:c r="C53" s="259"/>
      <x:c r="D53" s="259" t="str">
        <x:v>Mental_Health_Risk_Phenotype</x:v>
      </x:c>
      <x:c r="E53" s="215" t="n">
        <x:v>1</x:v>
      </x:c>
    </x:row>
    <x:row r="54">
      <x:c r="A54" s="233" t="str">
        <x:v>08_Health_and_Population</x:v>
      </x:c>
      <x:c r="B54" s="328" t="str">
        <x:v>健康与人群</x:v>
      </x:c>
      <x:c r="C54" s="328"/>
      <x:c r="D54" s="328" t="str">
        <x:v>Population_Sleep_Health</x:v>
      </x:c>
      <x:c r="E54" s="329" t="n">
        <x:v>1</x:v>
      </x:c>
    </x:row>
    <x:row r="55">
      <x:c r="A55" s="226" t="str">
        <x:v>08_Health_and_Population</x:v>
      </x:c>
      <x:c r="B55" s="259" t="str">
        <x:v>健康与人群</x:v>
      </x:c>
      <x:c r="C55" s="259"/>
      <x:c r="D55" s="259" t="str">
        <x:v>Sensory_Physiology</x:v>
      </x:c>
      <x:c r="E55" s="215" t="n">
        <x:v>1</x:v>
      </x:c>
    </x:row>
    <x:row r="56">
      <x:c r="A56" s="233" t="str">
        <x:v>08_Health_and_Population</x:v>
      </x:c>
      <x:c r="B56" s="328" t="str">
        <x:v>健康与人群</x:v>
      </x:c>
      <x:c r="C56" s="328"/>
      <x:c r="D56" s="328" t="str">
        <x:v>Sleep_and_Cardiometabolic</x:v>
      </x:c>
      <x:c r="E56" s="329" t="n">
        <x:v>1</x:v>
      </x:c>
    </x:row>
    <x:row r="57">
      <x:c r="A57" s="227" t="str">
        <x:v>08_Health_and_Population</x:v>
      </x:c>
      <x:c r="B57" s="270" t="str">
        <x:v>健康与人群</x:v>
      </x:c>
      <x:c r="C57" s="270"/>
      <x:c r="D57" s="270" t="str">
        <x:v>Sleep_Disordered_Breathing_Risk</x:v>
      </x:c>
      <x:c r="E57" s="228" t="n">
        <x:v>1</x:v>
      </x:c>
    </x:row>
  </x:sheetData>
  <x:pageMargins left="0.7" right="0.7" top="0.75" bottom="0.75" header="0.3" footer="0.3"/>
  <x:tableParts count="1">
    <x:tablePart xmlns:r="http://schemas.openxmlformats.org/officeDocument/2006/relationships" r:id="R2d70aafd2ca74efa"/>
  </x:tableParts>
</x:worksheet>
</file>

<file path=xl/worksheets/sheet18.xml><?xml version="1.0" encoding="utf-8"?>
<x:worksheet xmlns:x="http://schemas.openxmlformats.org/spreadsheetml/2006/main">
  <x:sheetFormatPr defaultRowHeight="15"/>
  <x:cols>
    <x:col min="1" max="1" width="24" hidden="0" customWidth="1"/>
    <x:col min="2" max="2" width="40" hidden="0" customWidth="1"/>
    <x:col min="3" max="3" width="17" hidden="0" customWidth="1"/>
    <x:col min="4" max="4" width="82" hidden="0" customWidth="1"/>
    <x:col min="5" max="5" width="18" hidden="0" customWidth="1"/>
    <x:col min="6" max="6" width="18" hidden="0" customWidth="1"/>
  </x:cols>
  <x:sheetData>
    <x:row r="1" ht="34" customHeight="1">
      <x:c r="A1" s="360" t="str">
        <x:v>REVE 61,415 h 与本目录口径对照</x:v>
      </x:c>
      <x:c r="B1" s="360"/>
      <x:c r="C1" s="360"/>
      <x:c r="D1" s="360"/>
      <x:c r="E1" s="360"/>
      <x:c r="F1" s="360"/>
    </x:row>
    <x:row r="3" ht="32" customHeight="1">
      <x:c r="A3" s="293" t="str">
        <x:v>指标</x:v>
      </x:c>
      <x:c r="B3" s="294" t="str">
        <x:v>本地目录/审计</x:v>
      </x:c>
      <x:c r="C3" s="294" t="str">
        <x:v>REVE</x:v>
      </x:c>
      <x:c r="D3" s="295" t="str">
        <x:v>说明</x:v>
      </x:c>
    </x:row>
    <x:row r="4">
      <x:c r="A4" s="302" t="str">
        <x:v>本地已下载文件审计(h)</x:v>
      </x:c>
      <x:c r="B4" s="361" t="n">
        <x:v>43627.81906678666</x:v>
      </x:c>
      <x:c r="C4" s="361"/>
      <x:c r="D4" s="304" t="str">
        <x:v>文件级/容器审计口径；不是目录覆盖总量</x:v>
      </x:c>
    </x:row>
    <x:row r="5">
      <x:c r="A5" s="226" t="str">
        <x:v>REVE 预训练汇编(h)</x:v>
      </x:c>
      <x:c r="B5" s="362"/>
      <x:c r="C5" s="362" t="n">
        <x:v>61415</x:v>
      </x:c>
      <x:c r="D5" s="215" t="str">
        <x:v>REVE Table 7 汇编口径</x:v>
      </x:c>
    </x:row>
    <x:row r="6">
      <x:c r="A6" s="226" t="str">
        <x:v>本地独有已审计来源(h)</x:v>
      </x:c>
      <x:c r="B6" s="362" t="n">
        <x:v>15877.90108067555</x:v>
      </x:c>
      <x:c r="C6" s="362"/>
      <x:c r="D6" s="215" t="str">
        <x:v>49 个来源不在 Appendix B 明示 89 个名称/ID 中</x:v>
      </x:c>
    </x:row>
    <x:row r="7">
      <x:c r="A7" s="226" t="str">
        <x:v>直接来源并集(h)</x:v>
      </x:c>
      <x:c r="B7" s="362" t="n">
        <x:f>C5+B6</x:f>
        <x:v>77292.90108067555</x:v>
      </x:c>
      <x:c r="C7" s="362"/>
      <x:c r="D7" s="215" t="str">
        <x:v>REVE + 本地独有已审计来源</x:v>
      </x:c>
    </x:row>
    <x:row r="8">
      <x:c r="A8" s="226" t="str">
        <x:v>3 个未命名来源重叠预留(h)</x:v>
      </x:c>
      <x:c r="B8" s="362" t="n">
        <x:v>13942.850833333334</x:v>
      </x:c>
      <x:c r="C8" s="362"/>
      <x:c r="D8" s="215" t="str">
        <x:v>假定 REVE 未写明的 3 个来源等于我们最大的 3 个额外来源</x:v>
      </x:c>
    </x:row>
    <x:row r="9">
      <x:c r="A9" s="367" t="str">
        <x:v>保守可比来源覆盖(h)</x:v>
      </x:c>
      <x:c r="B9" s="368" t="n">
        <x:f>B7-B8</x:f>
        <x:v>63350.050247342224</x:v>
      </x:c>
      <x:c r="C9" s="368"/>
      <x:c r="D9" s="369" t="str">
        <x:v>直接并集 - 重叠预留；仍高于 REVE</x:v>
      </x:c>
    </x:row>
    <x:row r="12" ht="32" customHeight="1">
      <x:c r="A12" s="381" t="str">
        <x:v>平台</x:v>
      </x:c>
      <x:c r="B12" s="382" t="str">
        <x:v>数据集数</x:v>
      </x:c>
      <x:c r="C12" s="382" t="str">
        <x:v>受试者</x:v>
      </x:c>
      <x:c r="D12" s="383" t="str">
        <x:v>小时</x:v>
      </x:c>
    </x:row>
    <x:row r="13">
      <x:c r="A13" s="302" t="str">
        <x:v>TUH</x:v>
      </x:c>
      <x:c r="B13" s="303" t="n">
        <x:v>1</x:v>
      </x:c>
      <x:c r="C13" s="303" t="n">
        <x:v>14987</x:v>
      </x:c>
      <x:c r="D13" s="304" t="n">
        <x:v>26847</x:v>
      </x:c>
    </x:row>
    <x:row r="14">
      <x:c r="A14" s="226" t="str">
        <x:v>PhysioNet</x:v>
      </x:c>
      <x:c r="B14" s="259" t="n">
        <x:v>2</x:v>
      </x:c>
      <x:c r="C14" s="259" t="n">
        <x:v>607</x:v>
      </x:c>
      <x:c r="D14" s="215" t="n">
        <x:v>22707</x:v>
      </x:c>
    </x:row>
    <x:row r="15">
      <x:c r="A15" s="226" t="str">
        <x:v>OpenNeuro</x:v>
      </x:c>
      <x:c r="B15" s="259" t="n">
        <x:v>56</x:v>
      </x:c>
      <x:c r="C15" s="259" t="n">
        <x:v>4153</x:v>
      </x:c>
      <x:c r="D15" s="215" t="n">
        <x:v>10194</x:v>
      </x:c>
    </x:row>
    <x:row r="16">
      <x:c r="A16" s="226" t="str">
        <x:v>MOABB</x:v>
      </x:c>
      <x:c r="B16" s="259" t="n">
        <x:v>27</x:v>
      </x:c>
      <x:c r="C16" s="259" t="n">
        <x:v>711</x:v>
      </x:c>
      <x:c r="D16" s="215" t="n">
        <x:v>384</x:v>
      </x:c>
    </x:row>
    <x:row r="17">
      <x:c r="A17" s="227" t="str">
        <x:v>Other</x:v>
      </x:c>
      <x:c r="B17" s="270" t="n">
        <x:v>6</x:v>
      </x:c>
      <x:c r="C17" s="270" t="n">
        <x:v>3802</x:v>
      </x:c>
      <x:c r="D17" s="228" t="n">
        <x:v>1250</x:v>
      </x:c>
    </x:row>
    <x:row r="20" ht="32" customHeight="1">
      <x:c r="A20" s="293" t="str">
        <x:v>关键差异</x:v>
      </x:c>
      <x:c r="B20" s="295" t="str">
        <x:v>说明</x:v>
      </x:c>
    </x:row>
    <x:row r="21">
      <x:c r="A21" s="302" t="str">
        <x:v>I-CARE / PhysioNet</x:v>
      </x:c>
      <x:c r="B21" s="304" t="str">
        <x:v>REVE counts it inside the 22,707 h PhysioNet subtotal; our prior 43.6k h did not count I-CARE because it was not in the local downloaded-file audit.</x:v>
      </x:c>
    </x:row>
    <x:row r="22">
      <x:c r="A22" s="226" t="str">
        <x:v>OpenNeuro</x:v>
      </x:c>
      <x:c r="B22" s="215" t="str">
        <x:v>REVE reports 10,194 h. Most accessions were already cataloged, but many lacked a locally verified duration and therefore contributed zero to the local audit total.</x:v>
      </x:c>
    </x:row>
    <x:row r="23">
      <x:c r="A23" s="226" t="str">
        <x:v>HBN releases</x:v>
      </x:c>
      <x:c r="B23" s="215" t="str">
        <x:v>Eight missing OpenNeuro releases (ds005506–ds005512, excluding gaps, plus ds005514) are now added; Release 7 duration remains unknown rather than estimated.</x:v>
      </x:c>
    </x:row>
    <x:row r="24">
      <x:c r="A24" s="227" t="str">
        <x:v>SeizeIT2</x:v>
      </x:c>
      <x:c r="B24" s="228" t="str">
        <x:v>Our local audit includes ~11,626 h, but this source is not explicitly named by REVE, partially offsetting REVE-only hours.</x:v>
      </x:c>
    </x:row>
    <x:row r="27" ht="32" customHeight="1">
      <x:c r="A27" s="322" t="str">
        <x:v>平台</x:v>
      </x:c>
      <x:c r="B27" s="323" t="str">
        <x:v>Appendix B 来源</x:v>
      </x:c>
      <x:c r="C27" s="323" t="str">
        <x:v>覆盖</x:v>
      </x:c>
      <x:c r="D27" s="324" t="str">
        <x:v>目录匹配</x:v>
      </x:c>
    </x:row>
    <x:row r="28">
      <x:c r="A28" s="325" t="str">
        <x:v>MOABB</x:v>
      </x:c>
      <x:c r="B28" s="326" t="str">
        <x:v>AlexMI</x:v>
      </x:c>
      <x:c r="C28" s="326" t="str">
        <x:v>已覆盖</x:v>
      </x:c>
      <x:c r="D28" s="327" t="str">
        <x:v>EEG-0349:AlexMI | EEG-0350:AlexMI (Zenodo)</x:v>
      </x:c>
    </x:row>
    <x:row r="29">
      <x:c r="A29" s="226" t="str">
        <x:v>MOABB</x:v>
      </x:c>
      <x:c r="B29" s="259" t="str">
        <x:v>BNCI2014004</x:v>
      </x:c>
      <x:c r="C29" s="259" t="str">
        <x:v>已覆盖</x:v>
      </x:c>
      <x:c r="D29" s="215" t="str">
        <x:v>EEG-0353:BCI Competition IV 2b (BNCI 004-2014)</x:v>
      </x:c>
    </x:row>
    <x:row r="30">
      <x:c r="A30" s="233" t="str">
        <x:v>MOABB</x:v>
      </x:c>
      <x:c r="B30" s="328" t="str">
        <x:v>BNCI2015001</x:v>
      </x:c>
      <x:c r="C30" s="328" t="str">
        <x:v>已覆盖</x:v>
      </x:c>
      <x:c r="D30" s="329" t="str">
        <x:v>EEG-0360:BNCI 001-2015 (Autocalibration</x:v>
      </x:c>
    </x:row>
    <x:row r="31">
      <x:c r="A31" s="226" t="str">
        <x:v>MOABB</x:v>
      </x:c>
      <x:c r="B31" s="259" t="str">
        <x:v>BNCI2015004</x:v>
      </x:c>
      <x:c r="C31" s="259" t="str">
        <x:v>已覆盖</x:v>
      </x:c>
      <x:c r="D31" s="215" t="str">
        <x:v>EEG-0208:BNCI 004-2015 (Individual imagery)</x:v>
      </x:c>
    </x:row>
    <x:row r="32">
      <x:c r="A32" s="233" t="str">
        <x:v>MOABB</x:v>
      </x:c>
      <x:c r="B32" s="328" t="str">
        <x:v>Cho2017</x:v>
      </x:c>
      <x:c r="C32" s="328" t="str">
        <x:v>已覆盖</x:v>
      </x:c>
      <x:c r="D32" s="329" t="str">
        <x:v>EEG-0377:Cho-MI</x:v>
      </x:c>
    </x:row>
    <x:row r="33">
      <x:c r="A33" s="226" t="str">
        <x:v>MOABB</x:v>
      </x:c>
      <x:c r="B33" s="259" t="str">
        <x:v>Lee2019MI</x:v>
      </x:c>
      <x:c r="C33" s="259" t="str">
        <x:v>已覆盖</x:v>
      </x:c>
      <x:c r="D33" s="215" t="str">
        <x:v>EEG-0408:OpenBMI</x:v>
      </x:c>
    </x:row>
    <x:row r="34">
      <x:c r="A34" s="233" t="str">
        <x:v>MOABB</x:v>
      </x:c>
      <x:c r="B34" s="328" t="str">
        <x:v>Liu2024</x:v>
      </x:c>
      <x:c r="C34" s="328" t="str">
        <x:v>已覆盖</x:v>
      </x:c>
      <x:c r="D34" s="329" t="str">
        <x:v>EEG-0084:Liu2024</x:v>
      </x:c>
    </x:row>
    <x:row r="35">
      <x:c r="A35" s="226" t="str">
        <x:v>MOABB</x:v>
      </x:c>
      <x:c r="B35" s="259" t="str">
        <x:v>Ofner2017</x:v>
      </x:c>
      <x:c r="C35" s="259" t="str">
        <x:v>已覆盖</x:v>
      </x:c>
      <x:c r="D35" s="215" t="str">
        <x:v>EEG-0407:Ofner2017</x:v>
      </x:c>
    </x:row>
    <x:row r="36">
      <x:c r="A36" s="233" t="str">
        <x:v>MOABB</x:v>
      </x:c>
      <x:c r="B36" s="328" t="str">
        <x:v>Shin2017A</x:v>
      </x:c>
      <x:c r="C36" s="328" t="str">
        <x:v>已覆盖</x:v>
      </x:c>
      <x:c r="D36" s="329" t="str">
        <x:v>EEG-0410:Shin EEG-NIRS (MI)</x:v>
      </x:c>
    </x:row>
    <x:row r="37">
      <x:c r="A37" s="226" t="str">
        <x:v>MOABB</x:v>
      </x:c>
      <x:c r="B37" s="259" t="str">
        <x:v>Weibo2014</x:v>
      </x:c>
      <x:c r="C37" s="259" t="str">
        <x:v>已覆盖</x:v>
      </x:c>
      <x:c r="D37" s="215" t="str">
        <x:v>EEG-0415:Weibo 2014 (Yi 2014) Motor Imagery Dataset | EEG-0416:Weibo2014</x:v>
      </x:c>
    </x:row>
    <x:row r="38">
      <x:c r="A38" s="233" t="str">
        <x:v>MOABB</x:v>
      </x:c>
      <x:c r="B38" s="328" t="str">
        <x:v>Zhou2016</x:v>
      </x:c>
      <x:c r="C38" s="328" t="str">
        <x:v>已覆盖</x:v>
      </x:c>
      <x:c r="D38" s="329" t="str">
        <x:v>EEG-0418:Zhou 2016 Motor Imagery Dataset</x:v>
      </x:c>
    </x:row>
    <x:row r="39">
      <x:c r="A39" s="226" t="str">
        <x:v>MOABB</x:v>
      </x:c>
      <x:c r="B39" s="259" t="str">
        <x:v>Schirrmeister2017</x:v>
      </x:c>
      <x:c r="C39" s="259" t="str">
        <x:v>已覆盖</x:v>
      </x:c>
      <x:c r="D39" s="215" t="str">
        <x:v>EEG-0391:HGD</x:v>
      </x:c>
    </x:row>
    <x:row r="40">
      <x:c r="A40" s="233" t="str">
        <x:v>MOABB</x:v>
      </x:c>
      <x:c r="B40" s="328" t="str">
        <x:v>Kalunga2016</x:v>
      </x:c>
      <x:c r="C40" s="328" t="str">
        <x:v>已覆盖</x:v>
      </x:c>
      <x:c r="D40" s="329" t="str">
        <x:v>EEG-0438:Kalunga2016 (SSVEP Exo)</x:v>
      </x:c>
    </x:row>
    <x:row r="41">
      <x:c r="A41" s="226" t="str">
        <x:v>MOABB</x:v>
      </x:c>
      <x:c r="B41" s="259" t="str">
        <x:v>Lee2019SSVEP</x:v>
      </x:c>
      <x:c r="C41" s="259" t="str">
        <x:v>已覆盖</x:v>
      </x:c>
      <x:c r="D41" s="215" t="str">
        <x:v>EEG-0408:OpenBMI</x:v>
      </x:c>
    </x:row>
    <x:row r="42">
      <x:c r="A42" s="233" t="str">
        <x:v>MOABB</x:v>
      </x:c>
      <x:c r="B42" s="328" t="str">
        <x:v>Nakanishi2015</x:v>
      </x:c>
      <x:c r="C42" s="328" t="str">
        <x:v>已覆盖</x:v>
      </x:c>
      <x:c r="D42" s="329" t="str">
        <x:v>EEG-0444:Nakanishi2015</x:v>
      </x:c>
    </x:row>
    <x:row r="43">
      <x:c r="A43" s="226" t="str">
        <x:v>MOABB</x:v>
      </x:c>
      <x:c r="B43" s="259" t="str">
        <x:v>BI2014a</x:v>
      </x:c>
      <x:c r="C43" s="259" t="str">
        <x:v>已覆盖</x:v>
      </x:c>
      <x:c r="D43" s="215" t="str">
        <x:v>EEG-0465:BI2014a (Brain Invaders)</x:v>
      </x:c>
    </x:row>
    <x:row r="44">
      <x:c r="A44" s="233" t="str">
        <x:v>MOABB</x:v>
      </x:c>
      <x:c r="B44" s="328" t="str">
        <x:v>BI2014b</x:v>
      </x:c>
      <x:c r="C44" s="328" t="str">
        <x:v>已覆盖</x:v>
      </x:c>
      <x:c r="D44" s="329" t="str">
        <x:v>EEG-0466:BI2014b (Brain Invaders)</x:v>
      </x:c>
    </x:row>
    <x:row r="45">
      <x:c r="A45" s="226" t="str">
        <x:v>MOABB</x:v>
      </x:c>
      <x:c r="B45" s="259" t="str">
        <x:v>BNCI2014008</x:v>
      </x:c>
      <x:c r="C45" s="259" t="str">
        <x:v>已覆盖</x:v>
      </x:c>
      <x:c r="D45" s="215" t="str">
        <x:v>EEG-0071:BNCI 008-2014 (P300 speller, ALS)</x:v>
      </x:c>
    </x:row>
    <x:row r="46">
      <x:c r="A46" s="233" t="str">
        <x:v>MOABB</x:v>
      </x:c>
      <x:c r="B46" s="328" t="str">
        <x:v>BNCI2014009</x:v>
      </x:c>
      <x:c r="C46" s="328" t="str">
        <x:v>已覆盖</x:v>
      </x:c>
      <x:c r="D46" s="329" t="str">
        <x:v>EEG-0471:BNCI 009-2014 (Covert and overt ERP)</x:v>
      </x:c>
    </x:row>
    <x:row r="47">
      <x:c r="A47" s="226" t="str">
        <x:v>MOABB</x:v>
      </x:c>
      <x:c r="B47" s="259" t="str">
        <x:v>BNCI2015003</x:v>
      </x:c>
      <x:c r="C47" s="259" t="str">
        <x:v>已覆盖</x:v>
      </x:c>
      <x:c r="D47" s="215" t="str">
        <x:v>EEG-0468:BNCI 003-2015 (Visual P300 speller)</x:v>
      </x:c>
    </x:row>
    <x:row r="48">
      <x:c r="A48" s="233" t="str">
        <x:v>MOABB</x:v>
      </x:c>
      <x:c r="B48" s="328" t="str">
        <x:v>EPFLP300</x:v>
      </x:c>
      <x:c r="C48" s="328" t="str">
        <x:v>已覆盖</x:v>
      </x:c>
      <x:c r="D48" s="329" t="str">
        <x:v>EEG-0229:EPFL P300 dataset | EEG-0266:EPFLP300</x:v>
      </x:c>
    </x:row>
    <x:row r="49">
      <x:c r="A49" s="226" t="str">
        <x:v>MOABB</x:v>
      </x:c>
      <x:c r="B49" s="259" t="str">
        <x:v>BI2015a</x:v>
      </x:c>
      <x:c r="C49" s="259" t="str">
        <x:v>已覆盖</x:v>
      </x:c>
      <x:c r="D49" s="215" t="str">
        <x:v>EEG-0478:Brain Invaders family</x:v>
      </x:c>
    </x:row>
    <x:row r="50">
      <x:c r="A50" s="233" t="str">
        <x:v>MOABB</x:v>
      </x:c>
      <x:c r="B50" s="328" t="str">
        <x:v>BI2015b</x:v>
      </x:c>
      <x:c r="C50" s="328" t="str">
        <x:v>已覆盖</x:v>
      </x:c>
      <x:c r="D50" s="329" t="str">
        <x:v>EEG-0467:BI2015b (Brain Invaders)</x:v>
      </x:c>
    </x:row>
    <x:row r="51">
      <x:c r="A51" s="226" t="str">
        <x:v>MOABB</x:v>
      </x:c>
      <x:c r="B51" s="259" t="str">
        <x:v>Sosulski2019</x:v>
      </x:c>
      <x:c r="C51" s="259" t="str">
        <x:v>已覆盖</x:v>
      </x:c>
      <x:c r="D51" s="215" t="str">
        <x:v>EEG-0284:Sosulski2019</x:v>
      </x:c>
    </x:row>
    <x:row r="52">
      <x:c r="A52" s="233" t="str">
        <x:v>MOABB</x:v>
      </x:c>
      <x:c r="B52" s="328" t="str">
        <x:v>Lee2019ERP</x:v>
      </x:c>
      <x:c r="C52" s="328" t="str">
        <x:v>已覆盖</x:v>
      </x:c>
      <x:c r="D52" s="329" t="str">
        <x:v>EEG-0408:OpenBMI</x:v>
      </x:c>
    </x:row>
    <x:row r="53">
      <x:c r="A53" s="226" t="str">
        <x:v>PhysioNet</x:v>
      </x:c>
      <x:c r="B53" s="259" t="str">
        <x:v>Siena</x:v>
      </x:c>
      <x:c r="C53" s="259" t="str">
        <x:v>已覆盖</x:v>
      </x:c>
      <x:c r="D53" s="215" t="str">
        <x:v>EEG-0032:Siena Scalp EEG</x:v>
      </x:c>
    </x:row>
    <x:row r="54">
      <x:c r="A54" s="233" t="str">
        <x:v>PhysioNet</x:v>
      </x:c>
      <x:c r="B54" s="328" t="str">
        <x:v>ICARE</x:v>
      </x:c>
      <x:c r="C54" s="328" t="str">
        <x:v>已覆盖</x:v>
      </x:c>
      <x:c r="D54" s="329" t="str">
        <x:v>EEG-0150:I-CARE</x:v>
      </x:c>
    </x:row>
    <x:row r="55">
      <x:c r="A55" s="226" t="str">
        <x:v>OpenNeuro</x:v>
      </x:c>
      <x:c r="B55" s="259" t="str">
        <x:v>ds004706</x:v>
      </x:c>
      <x:c r="C55" s="259" t="str">
        <x:v>已覆盖</x:v>
      </x:c>
      <x:c r="D55" s="215" t="str">
        <x:v>EEG-0249:Spatial memory and non-invasive closed-loop stimulus timing</x:v>
      </x:c>
    </x:row>
    <x:row r="56">
      <x:c r="A56" s="233" t="str">
        <x:v>OpenNeuro</x:v>
      </x:c>
      <x:c r="B56" s="328" t="str">
        <x:v>ds004582</x:v>
      </x:c>
      <x:c r="C56" s="328" t="str">
        <x:v>已覆盖</x:v>
      </x:c>
      <x:c r="D56" s="329" t="str">
        <x:v>EEG-0332:FakeFaceEmo_data</x:v>
      </x:c>
    </x:row>
    <x:row r="57">
      <x:c r="A57" s="226" t="str">
        <x:v>OpenNeuro</x:v>
      </x:c>
      <x:c r="B57" s="259" t="str">
        <x:v>ds004356</x:v>
      </x:c>
      <x:c r="C57" s="259" t="str">
        <x:v>已覆盖</x:v>
      </x:c>
      <x:c r="D57" s="215" t="str">
        <x:v>EEG-0305:Music and Speech Subcortical Responses EEG</x:v>
      </x:c>
    </x:row>
    <x:row r="58">
      <x:c r="A58" s="233" t="str">
        <x:v>OpenNeuro</x:v>
      </x:c>
      <x:c r="B58" s="328" t="str">
        <x:v>ds004817</x:v>
      </x:c>
      <x:c r="C58" s="328" t="str">
        <x:v>已覆盖</x:v>
      </x:c>
      <x:c r="D58" s="329" t="str">
        <x:v>EEG-0225:EEG-attention-rsvp-exp2</x:v>
      </x:c>
    </x:row>
    <x:row r="59">
      <x:c r="A59" s="226" t="str">
        <x:v>OpenNeuro</x:v>
      </x:c>
      <x:c r="B59" s="259" t="str">
        <x:v>ds005189</x:v>
      </x:c>
      <x:c r="C59" s="259" t="str">
        <x:v>已覆盖</x:v>
      </x:c>
      <x:c r="D59" s="215" t="str">
        <x:v>EEG-0561:Search Superiority Recollection Familiarity</x:v>
      </x:c>
    </x:row>
    <x:row r="60">
      <x:c r="A60" s="233" t="str">
        <x:v>OpenNeuro</x:v>
      </x:c>
      <x:c r="B60" s="328" t="str">
        <x:v>ds003887</x:v>
      </x:c>
      <x:c r="C60" s="328" t="str">
        <x:v>已覆盖</x:v>
      </x:c>
      <x:c r="D60" s="329" t="str">
        <x:v>EEG-0532:Capacity for movement is an organisational principle in object representations: EEG data from Experiment 2</x:v>
      </x:c>
    </x:row>
    <x:row r="61">
      <x:c r="A61" s="226" t="str">
        <x:v>OpenNeuro</x:v>
      </x:c>
      <x:c r="B61" s="259" t="str">
        <x:v>ds004043</x:v>
      </x:c>
      <x:c r="C61" s="259" t="str">
        <x:v>已覆盖</x:v>
      </x:c>
      <x:c r="D61" s="215" t="str">
        <x:v>EEG-0254:The time-course of feature-based attention effects dissociated from temporal expectation and target-related processes</x:v>
      </x:c>
    </x:row>
    <x:row r="62">
      <x:c r="A62" s="233" t="str">
        <x:v>OpenNeuro</x:v>
      </x:c>
      <x:c r="B62" s="328" t="str">
        <x:v>ds003885</x:v>
      </x:c>
      <x:c r="C62" s="328" t="str">
        <x:v>已覆盖</x:v>
      </x:c>
      <x:c r="D62" s="329" t="str">
        <x:v>EEG-0531:Capacity for movement is an organisational principle in object representations: EEG data from Experiment 1</x:v>
      </x:c>
    </x:row>
    <x:row r="63">
      <x:c r="A63" s="226" t="str">
        <x:v>OpenNeuro</x:v>
      </x:c>
      <x:c r="B63" s="259" t="str">
        <x:v>ds004357</x:v>
      </x:c>
      <x:c r="C63" s="259" t="str">
        <x:v>已覆盖</x:v>
      </x:c>
      <x:c r="D63" s="215" t="str">
        <x:v>EEG-0542:Features-EEG</x:v>
      </x:c>
    </x:row>
    <x:row r="64">
      <x:c r="A64" s="233" t="str">
        <x:v>OpenNeuro</x:v>
      </x:c>
      <x:c r="B64" s="328" t="str">
        <x:v>ds003825</x:v>
      </x:c>
      <x:c r="C64" s="328" t="str">
        <x:v>已覆盖</x:v>
      </x:c>
      <x:c r="D64" s="329" t="str">
        <x:v>EEG-0337:THINGS-EEG1</x:v>
      </x:c>
    </x:row>
    <x:row r="65">
      <x:c r="A65" s="226" t="str">
        <x:v>OpenNeuro</x:v>
      </x:c>
      <x:c r="B65" s="259" t="str">
        <x:v>ds004816</x:v>
      </x:c>
      <x:c r="C65" s="259" t="str">
        <x:v>已覆盖</x:v>
      </x:c>
      <x:c r="D65" s="215" t="str">
        <x:v>EEG-0224:EEG-attention-rsvp-exp1</x:v>
      </x:c>
    </x:row>
    <x:row r="66">
      <x:c r="A66" s="233" t="str">
        <x:v>OpenNeuro</x:v>
      </x:c>
      <x:c r="B66" s="328" t="str">
        <x:v>ds004840</x:v>
      </x:c>
      <x:c r="C66" s="328" t="str">
        <x:v>已覆盖</x:v>
      </x:c>
      <x:c r="D66" s="329" t="str">
        <x:v>EEG-0075:Dataset of electrophysiological signals (EEG, ECG, EMG) during Music therapy with adult burn patients in the Intensive Care Unit.</x:v>
      </x:c>
    </x:row>
    <x:row r="67">
      <x:c r="A67" s="226" t="str">
        <x:v>OpenNeuro</x:v>
      </x:c>
      <x:c r="B67" s="259" t="str">
        <x:v>ds005262</x:v>
      </x:c>
      <x:c r="C67" s="259" t="str">
        <x:v>已覆盖</x:v>
      </x:c>
      <x:c r="D67" s="215" t="str">
        <x:v>EEG-0290:ArEEG: Arabic Inner Speech EEG dataset</x:v>
      </x:c>
    </x:row>
    <x:row r="68">
      <x:c r="A68" s="233" t="str">
        <x:v>OpenNeuro</x:v>
      </x:c>
      <x:c r="B68" s="328" t="str">
        <x:v>ds004477</x:v>
      </x:c>
      <x:c r="C68" s="328" t="str">
        <x:v>已覆盖</x:v>
      </x:c>
      <x:c r="D68" s="329" t="str">
        <x:v>EEG-0557:PES - Pandemic Emergency Scenario</x:v>
      </x:c>
    </x:row>
    <x:row r="69">
      <x:c r="A69" s="226" t="str">
        <x:v>OpenNeuro</x:v>
      </x:c>
      <x:c r="B69" s="259" t="str">
        <x:v>ds005273</x:v>
      </x:c>
      <x:c r="C69" s="259" t="str">
        <x:v>已覆盖</x:v>
      </x:c>
      <x:c r="D69" s="215" t="str">
        <x:v>EEG-0550:Neural representation of consciously seen and unseen information</x:v>
      </x:c>
    </x:row>
    <x:row r="70">
      <x:c r="A70" s="233" t="str">
        <x:v>OpenNeuro</x:v>
      </x:c>
      <x:c r="B70" s="328" t="str">
        <x:v>ds004561</x:v>
      </x:c>
      <x:c r="C70" s="328" t="str">
        <x:v>已覆盖</x:v>
      </x:c>
      <x:c r="D70" s="329" t="str">
        <x:v>EEG-0547:Illusion of Agency over Electrically-Actuated Movements</x:v>
      </x:c>
    </x:row>
    <x:row r="71">
      <x:c r="A71" s="226" t="str">
        <x:v>OpenNeuro</x:v>
      </x:c>
      <x:c r="B71" s="259" t="str">
        <x:v>ds004951</x:v>
      </x:c>
      <x:c r="C71" s="259" t="str">
        <x:v>已覆盖</x:v>
      </x:c>
      <x:c r="D71" s="215" t="str">
        <x:v>EEG-0530:Braille letters - EEG</x:v>
      </x:c>
    </x:row>
    <x:row r="72">
      <x:c r="A72" s="233" t="str">
        <x:v>OpenNeuro</x:v>
      </x:c>
      <x:c r="B72" s="328" t="str">
        <x:v>ds004324</x:v>
      </x:c>
      <x:c r="C72" s="328" t="str">
        <x:v>已覆盖</x:v>
      </x:c>
      <x:c r="D72" s="329" t="str">
        <x:v>EEG-0341:ToonFaces</x:v>
      </x:c>
    </x:row>
    <x:row r="73">
      <x:c r="A73" s="226" t="str">
        <x:v>OpenNeuro</x:v>
      </x:c>
      <x:c r="B73" s="259" t="str">
        <x:v>ds005095</x:v>
      </x:c>
      <x:c r="C73" s="259" t="str">
        <x:v>已覆盖</x:v>
      </x:c>
      <x:c r="D73" s="215" t="str">
        <x:v>EEG-0252:STERNBERG DIFFICULT</x:v>
      </x:c>
    </x:row>
    <x:row r="74">
      <x:c r="A74" s="233" t="str">
        <x:v>OpenNeuro</x:v>
      </x:c>
      <x:c r="B74" s="328" t="str">
        <x:v>ds005509</x:v>
      </x:c>
      <x:c r="C74" s="328" t="str">
        <x:v>已覆盖</x:v>
      </x:c>
      <x:c r="D74" s="329" t="str">
        <x:v>EEG-0597:HBN-EEG Release 5</x:v>
      </x:c>
    </x:row>
    <x:row r="75">
      <x:c r="A75" s="226" t="str">
        <x:v>OpenNeuro</x:v>
      </x:c>
      <x:c r="B75" s="259" t="str">
        <x:v>ds005505</x:v>
      </x:c>
      <x:c r="C75" s="259" t="str">
        <x:v>已覆盖</x:v>
      </x:c>
      <x:c r="D75" s="215" t="str">
        <x:v>EEG-0345:HBN-EEG Release 1</x:v>
      </x:c>
    </x:row>
    <x:row r="76">
      <x:c r="A76" s="233" t="str">
        <x:v>OpenNeuro</x:v>
      </x:c>
      <x:c r="B76" s="328" t="str">
        <x:v>ds005506</x:v>
      </x:c>
      <x:c r="C76" s="328" t="str">
        <x:v>已覆盖</x:v>
      </x:c>
      <x:c r="D76" s="329" t="str">
        <x:v>EEG-0594:HBN-EEG Release 2</x:v>
      </x:c>
    </x:row>
    <x:row r="77">
      <x:c r="A77" s="226" t="str">
        <x:v>OpenNeuro</x:v>
      </x:c>
      <x:c r="B77" s="259" t="str">
        <x:v>ds005507</x:v>
      </x:c>
      <x:c r="C77" s="259" t="str">
        <x:v>已覆盖</x:v>
      </x:c>
      <x:c r="D77" s="215" t="str">
        <x:v>EEG-0595:HBN-EEG Release 3</x:v>
      </x:c>
    </x:row>
    <x:row r="78">
      <x:c r="A78" s="233" t="str">
        <x:v>OpenNeuro</x:v>
      </x:c>
      <x:c r="B78" s="328" t="str">
        <x:v>ds005510</x:v>
      </x:c>
      <x:c r="C78" s="328" t="str">
        <x:v>已覆盖</x:v>
      </x:c>
      <x:c r="D78" s="329" t="str">
        <x:v>EEG-0598:HBN-EEG Release 6</x:v>
      </x:c>
    </x:row>
    <x:row r="79">
      <x:c r="A79" s="226" t="str">
        <x:v>OpenNeuro</x:v>
      </x:c>
      <x:c r="B79" s="259" t="str">
        <x:v>ds005511</x:v>
      </x:c>
      <x:c r="C79" s="259" t="str">
        <x:v>已覆盖</x:v>
      </x:c>
      <x:c r="D79" s="215" t="str">
        <x:v>EEG-0599:HBN-EEG Release 7</x:v>
      </x:c>
    </x:row>
    <x:row r="80">
      <x:c r="A80" s="233" t="str">
        <x:v>OpenNeuro</x:v>
      </x:c>
      <x:c r="B80" s="328" t="str">
        <x:v>ds005512</x:v>
      </x:c>
      <x:c r="C80" s="328" t="str">
        <x:v>已覆盖</x:v>
      </x:c>
      <x:c r="D80" s="329" t="str">
        <x:v>EEG-0600:HBN-EEG Release 8</x:v>
      </x:c>
    </x:row>
    <x:row r="81">
      <x:c r="A81" s="226" t="str">
        <x:v>OpenNeuro</x:v>
      </x:c>
      <x:c r="B81" s="259" t="str">
        <x:v>ds005514</x:v>
      </x:c>
      <x:c r="C81" s="259" t="str">
        <x:v>已覆盖</x:v>
      </x:c>
      <x:c r="D81" s="215" t="str">
        <x:v>EEG-0601:HBN-EEG Release 9</x:v>
      </x:c>
    </x:row>
    <x:row r="82">
      <x:c r="A82" s="233" t="str">
        <x:v>OpenNeuro</x:v>
      </x:c>
      <x:c r="B82" s="328" t="str">
        <x:v>ds001787</x:v>
      </x:c>
      <x:c r="C82" s="328" t="str">
        <x:v>已覆盖</x:v>
      </x:c>
      <x:c r="D82" s="329" t="str">
        <x:v>EEG-0199:EEG meditation study</x:v>
      </x:c>
    </x:row>
    <x:row r="83">
      <x:c r="A83" s="226" t="str">
        <x:v>OpenNeuro</x:v>
      </x:c>
      <x:c r="B83" s="259" t="str">
        <x:v>ds003690</x:v>
      </x:c>
      <x:c r="C83" s="259" t="str">
        <x:v>已覆盖</x:v>
      </x:c>
      <x:c r="D83" s="215" t="str">
        <x:v>EEG-0316:EEG, ECG and pupil data from young and older adults: rest and auditory cued reaction time tasks</x:v>
      </x:c>
    </x:row>
    <x:row r="84">
      <x:c r="A84" s="233" t="str">
        <x:v>OpenNeuro</x:v>
      </x:c>
      <x:c r="B84" s="328" t="str">
        <x:v>ds004603</x:v>
      </x:c>
      <x:c r="C84" s="328" t="str">
        <x:v>已覆盖</x:v>
      </x:c>
      <x:c r="D84" s="329" t="str">
        <x:v>EEG-0569:Visual Attribute-Specific Contextual Trajectory Paradigm</x:v>
      </x:c>
    </x:row>
    <x:row r="85">
      <x:c r="A85" s="226" t="str">
        <x:v>OpenNeuro</x:v>
      </x:c>
      <x:c r="B85" s="259" t="str">
        <x:v>ds003969</x:v>
      </x:c>
      <x:c r="C85" s="259" t="str">
        <x:v>已覆盖</x:v>
      </x:c>
      <x:c r="D85" s="215" t="str">
        <x:v>EEG-0200:Meditation vs thinking task</x:v>
      </x:c>
    </x:row>
    <x:row r="86">
      <x:c r="A86" s="233" t="str">
        <x:v>OpenNeuro</x:v>
      </x:c>
      <x:c r="B86" s="328" t="str">
        <x:v>ds004147</x:v>
      </x:c>
      <x:c r="C86" s="328" t="str">
        <x:v>已覆盖</x:v>
      </x:c>
      <x:c r="D86" s="329" t="str">
        <x:v>EEG-0525:Average Task Value</x:v>
      </x:c>
    </x:row>
    <x:row r="87">
      <x:c r="A87" s="226" t="str">
        <x:v>OpenNeuro</x:v>
      </x:c>
      <x:c r="B87" s="259" t="str">
        <x:v>ds003004</x:v>
      </x:c>
      <x:c r="C87" s="259" t="str">
        <x:v>已覆盖</x:v>
      </x:c>
      <x:c r="D87" s="215" t="str">
        <x:v>EEG-0182:Imagined Emotion Study</x:v>
      </x:c>
    </x:row>
    <x:row r="88">
      <x:c r="A88" s="233" t="str">
        <x:v>OpenNeuro</x:v>
      </x:c>
      <x:c r="B88" s="328" t="str">
        <x:v>ds002721</x:v>
      </x:c>
      <x:c r="C88" s="328" t="str">
        <x:v>已覆盖</x:v>
      </x:c>
      <x:c r="D88" s="329" t="str">
        <x:v>EEG-0187:MusicEEG</x:v>
      </x:c>
    </x:row>
    <x:row r="89">
      <x:c r="A89" s="226" t="str">
        <x:v>OpenNeuro</x:v>
      </x:c>
      <x:c r="B89" s="259" t="str">
        <x:v>ds004152</x:v>
      </x:c>
      <x:c r="C89" s="259" t="str">
        <x:v>已覆盖</x:v>
      </x:c>
      <x:c r="D89" s="215" t="str">
        <x:v>EEG-0265:Drum Trainer</x:v>
      </x:c>
    </x:row>
    <x:row r="90">
      <x:c r="A90" s="233" t="str">
        <x:v>OpenNeuro</x:v>
      </x:c>
      <x:c r="B90" s="328" t="str">
        <x:v>ds005089</x:v>
      </x:c>
      <x:c r="C90" s="328" t="str">
        <x:v>已覆盖</x:v>
      </x:c>
      <x:c r="D90" s="329" t="str">
        <x:v>EEG-0240:Proactive selective attention across competition contexts</x:v>
      </x:c>
    </x:row>
    <x:row r="91">
      <x:c r="A91" s="226" t="str">
        <x:v>OpenNeuro</x:v>
      </x:c>
      <x:c r="B91" s="259" t="str">
        <x:v>ds004264</x:v>
      </x:c>
      <x:c r="C91" s="259" t="str">
        <x:v>已覆盖</x:v>
      </x:c>
      <x:c r="D91" s="215" t="str">
        <x:v>EEG-0565:Steer the Ship</x:v>
      </x:c>
    </x:row>
    <x:row r="92">
      <x:c r="A92" s="233" t="str">
        <x:v>OpenNeuro</x:v>
      </x:c>
      <x:c r="B92" s="328" t="str">
        <x:v>ds004315</x:v>
      </x:c>
      <x:c r="C92" s="328" t="str">
        <x:v>已覆盖</x:v>
      </x:c>
      <x:c r="D92" s="329" t="str">
        <x:v>EEG-0185:Mood Manipulation and PST, Experiment 1</x:v>
      </x:c>
    </x:row>
    <x:row r="93">
      <x:c r="A93" s="226" t="str">
        <x:v>OpenNeuro</x:v>
      </x:c>
      <x:c r="B93" s="259" t="str">
        <x:v>ds004408</x:v>
      </x:c>
      <x:c r="C93" s="259" t="str">
        <x:v>已覆盖</x:v>
      </x:c>
      <x:c r="D93" s="215" t="str">
        <x:v>EEG-0306:OpenNeuro ds004408 Continuous Naturalistic Speech EEG</x:v>
      </x:c>
    </x:row>
    <x:row r="94">
      <x:c r="A94" s="233" t="str">
        <x:v>OpenNeuro</x:v>
      </x:c>
      <x:c r="B94" s="328" t="str">
        <x:v>ds005121</x:v>
      </x:c>
      <x:c r="C94" s="328" t="str">
        <x:v>已覆盖</x:v>
      </x:c>
      <x:c r="D94" s="329" t="str">
        <x:v>EEG-0562:Siefert2024</x:v>
      </x:c>
    </x:row>
    <x:row r="95">
      <x:c r="A95" s="226" t="str">
        <x:v>OpenNeuro</x:v>
      </x:c>
      <x:c r="B95" s="259" t="str">
        <x:v>ds003775</x:v>
      </x:c>
      <x:c r="C95" s="259" t="str">
        <x:v>已覆盖</x:v>
      </x:c>
      <x:c r="D95" s="215" t="str">
        <x:v>EEG-0251:SRM Resting-state EEG</x:v>
      </x:c>
    </x:row>
    <x:row r="96">
      <x:c r="A96" s="233" t="str">
        <x:v>OpenNeuro</x:v>
      </x:c>
      <x:c r="B96" s="328" t="str">
        <x:v>ds004572</x:v>
      </x:c>
      <x:c r="C96" s="328" t="str">
        <x:v>已覆盖</x:v>
      </x:c>
      <x:c r="D96" s="329" t="str">
        <x:v>EEG-0566:The effects of sham hypnosis techniques</x:v>
      </x:c>
    </x:row>
    <x:row r="97">
      <x:c r="A97" s="226" t="str">
        <x:v>OpenNeuro</x:v>
      </x:c>
      <x:c r="B97" s="259" t="str">
        <x:v>ds002778</x:v>
      </x:c>
      <x:c r="C97" s="259" t="str">
        <x:v>已覆盖</x:v>
      </x:c>
      <x:c r="D97" s="215" t="str">
        <x:v>EEG-0094:PD31 (Parkinson)</x:v>
      </x:c>
    </x:row>
    <x:row r="98">
      <x:c r="A98" s="233" t="str">
        <x:v>OpenNeuro</x:v>
      </x:c>
      <x:c r="B98" s="328" t="str">
        <x:v>ds003846</x:v>
      </x:c>
      <x:c r="C98" s="328" t="str">
        <x:v>已覆盖</x:v>
      </x:c>
      <x:c r="D98" s="329" t="str">
        <x:v>EEG-0559:Prediction Error</x:v>
      </x:c>
    </x:row>
    <x:row r="99">
      <x:c r="A99" s="226" t="str">
        <x:v>OpenNeuro</x:v>
      </x:c>
      <x:c r="B99" s="259" t="str">
        <x:v>ds004279</x:v>
      </x:c>
      <x:c r="C99" s="259" t="str">
        <x:v>已覆盖</x:v>
      </x:c>
      <x:c r="D99" s="215" t="str">
        <x:v>EEG-0308:Spanish Sentences Silent</x:v>
      </x:c>
    </x:row>
    <x:row r="100">
      <x:c r="A100" s="233" t="str">
        <x:v>OpenNeuro</x:v>
      </x:c>
      <x:c r="B100" s="328" t="str">
        <x:v>ds004148</x:v>
      </x:c>
      <x:c r="C100" s="328" t="str">
        <x:v>已覆盖</x:v>
      </x:c>
      <x:c r="D100" s="329" t="str">
        <x:v>EEG-0146:Test-Retest / RestCog</x:v>
      </x:c>
    </x:row>
    <x:row r="101">
      <x:c r="A101" s="226" t="str">
        <x:v>OpenNeuro</x:v>
      </x:c>
      <x:c r="B101" s="259" t="str">
        <x:v>ds004902</x:v>
      </x:c>
      <x:c r="C101" s="259" t="str">
        <x:v>已覆盖</x:v>
      </x:c>
      <x:c r="D101" s="215" t="str">
        <x:v>EEG-0143:Sleep-Deprivation (resting)</x:v>
      </x:c>
    </x:row>
    <x:row r="102">
      <x:c r="A102" s="233" t="str">
        <x:v>OpenNeuro</x:v>
      </x:c>
      <x:c r="B102" s="328" t="str">
        <x:v>ds002680</x:v>
      </x:c>
      <x:c r="C102" s="328" t="str">
        <x:v>已覆盖</x:v>
      </x:c>
      <x:c r="D102" s="329" t="str">
        <x:v>EEG-0544:Go-nogo Categorization and Detection Task</x:v>
      </x:c>
    </x:row>
    <x:row r="103">
      <x:c r="A103" s="226" t="str">
        <x:v>OpenNeuro</x:v>
      </x:c>
      <x:c r="B103" s="259" t="str">
        <x:v>ds004284</x:v>
      </x:c>
      <x:c r="C103" s="259" t="str">
        <x:v>已覆盖</x:v>
      </x:c>
      <x:c r="D103" s="215" t="str">
        <x:v>EEG-0536:eeg-neuroforecasting</x:v>
      </x:c>
    </x:row>
    <x:row r="104">
      <x:c r="A104" s="233" t="str">
        <x:v>OpenNeuro</x:v>
      </x:c>
      <x:c r="B104" s="328" t="str">
        <x:v>ds004395</x:v>
      </x:c>
      <x:c r="C104" s="328" t="str">
        <x:v>已覆盖</x:v>
      </x:c>
      <x:c r="D104" s="329" t="str">
        <x:v>EEG-0239:PEERS</x:v>
      </x:c>
    </x:row>
    <x:row r="105">
      <x:c r="A105" s="226" t="str">
        <x:v>OpenNeuro</x:v>
      </x:c>
      <x:c r="B105" s="259" t="str">
        <x:v>ds005508</x:v>
      </x:c>
      <x:c r="C105" s="259" t="str">
        <x:v>已覆盖</x:v>
      </x:c>
      <x:c r="D105" s="215" t="str">
        <x:v>EEG-0596:HBN-EEG Release 4</x:v>
      </x:c>
    </x:row>
    <x:row r="106">
      <x:c r="A106" s="233" t="str">
        <x:v>OpenNeuro</x:v>
      </x:c>
      <x:c r="B106" s="328" t="str">
        <x:v>ds005697</x:v>
      </x:c>
      <x:c r="C106" s="328" t="str">
        <x:v>已覆盖</x:v>
      </x:c>
      <x:c r="D106" s="329" t="str">
        <x:v>EEG-0335:PerceiveImagine</x:v>
      </x:c>
    </x:row>
    <x:row r="107">
      <x:c r="A107" s="226" t="str">
        <x:v>OpenNeuro</x:v>
      </x:c>
      <x:c r="B107" s="259" t="str">
        <x:v>ds005620</x:v>
      </x:c>
      <x:c r="C107" s="259" t="str">
        <x:v>已覆盖</x:v>
      </x:c>
      <x:c r="D107" s="215" t="str">
        <x:v>EEG-0149:Awakening (propofol)</x:v>
      </x:c>
    </x:row>
    <x:row r="108">
      <x:c r="A108" s="233" t="str">
        <x:v>OpenNeuro</x:v>
      </x:c>
      <x:c r="B108" s="328" t="str">
        <x:v>ds005594</x:v>
      </x:c>
      <x:c r="C108" s="328" t="str">
        <x:v>已覆盖</x:v>
      </x:c>
      <x:c r="D108" s="329" t="str">
        <x:v>EEG-0203:Alphabetic Decision Task (Arial Light Font)</x:v>
      </x:c>
    </x:row>
    <x:row r="109">
      <x:c r="A109" s="226" t="str">
        <x:v>OpenNeuro</x:v>
      </x:c>
      <x:c r="B109" s="259" t="str">
        <x:v>ds005586</x:v>
      </x:c>
      <x:c r="C109" s="259" t="str">
        <x:v>已覆盖</x:v>
      </x:c>
      <x:c r="D109" s="215" t="str">
        <x:v>EEG-0540:Electroencephalographic responses to the number of objects in partially occluded and uncovered scenes</x:v>
      </x:c>
    </x:row>
    <x:row r="110">
      <x:c r="A110" s="233" t="str">
        <x:v>Other</x:v>
      </x:c>
      <x:c r="B110" s="328" t="str">
        <x:v>NMT</x:v>
      </x:c>
      <x:c r="C110" s="328" t="str">
        <x:v>已覆盖</x:v>
      </x:c>
      <x:c r="D110" s="329" t="str">
        <x:v>EEG-0106:NMT Scalp EEG Dataset</x:v>
      </x:c>
    </x:row>
    <x:row r="111">
      <x:c r="A111" s="226" t="str">
        <x:v>Other</x:v>
      </x:c>
      <x:c r="B111" s="259" t="str">
        <x:v>HMS</x:v>
      </x:c>
      <x:c r="C111" s="259" t="str">
        <x:v>已覆盖</x:v>
      </x:c>
      <x:c r="D111" s="215" t="str">
        <x:v>EEG-0562:Siefert2024 | EEG-0014:HMS Harmful Brain Activity Classification | EEG-0043:CAUEEG</x:v>
      </x:c>
    </x:row>
    <x:row r="112">
      <x:c r="A112" s="233" t="str">
        <x:v>Other</x:v>
      </x:c>
      <x:c r="B112" s="328" t="str">
        <x:v>SparrKULee</x:v>
      </x:c>
      <x:c r="C112" s="328" t="str">
        <x:v>已覆盖</x:v>
      </x:c>
      <x:c r="D112" s="329" t="str">
        <x:v>EEG-0412:SparrKULee</x:v>
      </x:c>
    </x:row>
    <x:row r="113">
      <x:c r="A113" s="226" t="str">
        <x:v>Other</x:v>
      </x:c>
      <x:c r="B113" s="259" t="str">
        <x:v>Inria Large</x:v>
      </x:c>
      <x:c r="C113" s="259" t="str">
        <x:v>已覆盖</x:v>
      </x:c>
      <x:c r="D113" s="215" t="str">
        <x:v>EEG-0486:KaggleERN (Inria BCI Challenge - Error-Related Negativity)</x:v>
      </x:c>
    </x:row>
    <x:row r="114">
      <x:c r="A114" s="233" t="str">
        <x:v>Other</x:v>
      </x:c>
      <x:c r="B114" s="328" t="str">
        <x:v>THINGS2</x:v>
      </x:c>
      <x:c r="C114" s="328" t="str">
        <x:v>已覆盖</x:v>
      </x:c>
      <x:c r="D114" s="329" t="str">
        <x:v>EEG-0338:THINGS-EEG2</x:v>
      </x:c>
    </x:row>
    <x:row r="115">
      <x:c r="A115" s="226" t="str">
        <x:v>Other</x:v>
      </x:c>
      <x:c r="B115" s="259" t="str">
        <x:v>TDBRAIN</x:v>
      </x:c>
      <x:c r="C115" s="259" t="str">
        <x:v>已覆盖</x:v>
      </x:c>
      <x:c r="D115" s="215" t="str">
        <x:v>EEG-0061:TDBRAIN</x:v>
      </x:c>
    </x:row>
    <x:row r="116">
      <x:c r="A116" s="234" t="str">
        <x:v>TUH</x:v>
      </x:c>
      <x:c r="B116" s="384" t="str">
        <x:v>TUH</x:v>
      </x:c>
      <x:c r="C116" s="384" t="str">
        <x:v>已覆盖</x:v>
      </x:c>
      <x:c r="D116" s="385" t="str">
        <x:v>EEG-0004:TUAR (TUH Artifact) | EEG-0033:TUEP (TUH Epilepsy) | EEG-0034:TUEV (TUH Events) | EEG-0035:TUSL (TUH Slowing) | EEG-0036:TUSZ (TUH Seizure) | EEG-0107:TUAB (TUH Abnormal) | EEG-0582:TUEG (TUH EEG Corpus)</x:v>
      </x:c>
    </x:row>
  </x:sheetData>
  <x:mergeCells>
    <x:mergeCell ref="A1:F1"/>
  </x:mergeCells>
  <x:pageMargins left="0.7" right="0.7" top="0.75" bottom="0.75" header="0.3" footer="0.3"/>
  <x:tableParts count="2">
    <x:tablePart xmlns:r="http://schemas.openxmlformats.org/officeDocument/2006/relationships" r:id="R24374d89f5b34440"/>
    <x:tablePart xmlns:r="http://schemas.openxmlformats.org/officeDocument/2006/relationships" r:id="R52547f7081ba4116"/>
  </x:tableParts>
</x:worksheet>
</file>

<file path=xl/worksheets/sheet19.xml><?xml version="1.0" encoding="utf-8"?>
<x:worksheet xmlns:x="http://schemas.openxmlformats.org/spreadsheetml/2006/main">
  <x:sheetFormatPr defaultRowHeight="15"/>
  <x:cols>
    <x:col min="1" max="1" width="17" hidden="0" customWidth="1"/>
    <x:col min="2" max="2" width="31" hidden="0" customWidth="1"/>
    <x:col min="3" max="3" width="16" hidden="0" customWidth="1"/>
    <x:col min="4" max="4" width="27" hidden="0" customWidth="1"/>
    <x:col min="5" max="5" width="17" hidden="0" customWidth="1"/>
    <x:col min="6" max="6" width="18" hidden="0" customWidth="1"/>
    <x:col min="7" max="7" width="34" hidden="0" customWidth="1"/>
    <x:col min="8" max="8" width="18" hidden="0" customWidth="1"/>
    <x:col min="9" max="9" width="48" hidden="0" customWidth="1"/>
    <x:col min="10" max="10" width="72" hidden="0" customWidth="1"/>
  </x:cols>
  <x:sheetData>
    <x:row r="1" ht="34" customHeight="1">
      <x:c r="A1" s="360" t="str">
        <x:v>NeuroAtlas 42-source comparison｜disease + health source union</x:v>
      </x:c>
      <x:c r="B1" s="360"/>
      <x:c r="C1" s="360"/>
      <x:c r="D1" s="360"/>
      <x:c r="E1" s="360"/>
      <x:c r="F1" s="360"/>
      <x:c r="G1" s="360"/>
      <x:c r="H1" s="360"/>
      <x:c r="I1" s="360"/>
      <x:c r="J1" s="360"/>
    </x:row>
    <x:row r="3" ht="32" customHeight="1">
      <x:c r="A3" s="293" t="str">
        <x:v>指标</x:v>
      </x:c>
      <x:c r="B3" s="294" t="str">
        <x:v>单元/来源</x:v>
      </x:c>
      <x:c r="C3" s="294" t="str">
        <x:v>受试者口径</x:v>
      </x:c>
      <x:c r="D3" s="294" t="str">
        <x:v>小时</x:v>
      </x:c>
      <x:c r="E3" s="295" t="str">
        <x:v>说明</x:v>
      </x:c>
    </x:row>
    <x:row r="4">
      <x:c r="A4" s="302" t="str">
        <x:v>NeuroAtlas 全基准</x:v>
      </x:c>
      <x:c r="B4" s="303" t="n">
        <x:v>42</x:v>
      </x:c>
      <x:c r="C4" s="303" t="str">
        <x:v>论文分域报告</x:v>
      </x:c>
      <x:c r="D4" s="361" t="n">
        <x:v>260000</x:v>
      </x:c>
      <x:c r="E4" s="304" t="str">
        <x:v>约 260k h；42 datasets</x:v>
      </x:c>
    </x:row>
    <x:row r="5">
      <x:c r="A5" s="226" t="str">
        <x:v>NeuroAtlas 疾病/健康来源</x:v>
      </x:c>
      <x:c r="B5" s="259" t="n">
        <x:v>25</x:v>
      </x:c>
      <x:c r="C5" s="259" t="str">
        <x:v>癫痫 + 睡眠</x:v>
      </x:c>
      <x:c r="D5" s="362" t="n">
        <x:v>259000</x:v>
      </x:c>
      <x:c r="E5" s="215" t="str">
        <x:v>58k epilepsy + 201k sleep；brain-age 193k 为复用范围</x:v>
      </x:c>
    </x:row>
    <x:row r="6">
      <x:c r="A6" s="386" t="str">
        <x:v>本目录疾病/健康总范围</x:v>
      </x:c>
      <x:c r="B6" s="387" t="n">
        <x:v>146</x:v>
      </x:c>
      <x:c r="C6" s="387" t="str">
        <x:v>94,700 dataset-subject entries</x:v>
      </x:c>
      <x:c r="D6" s="388" t="n">
        <x:v>346490.7408902543</x:v>
      </x:c>
      <x:c r="E6" s="389" t="str">
        <x:v>来源级去重覆盖估计，不是本地文件精确总量</x:v>
      </x:c>
    </x:row>
    <x:row r="7">
      <x:c r="A7" s="226" t="str">
        <x:v>核心并集</x:v>
      </x:c>
      <x:c r="B7" s="259"/>
      <x:c r="C7" s="259"/>
      <x:c r="D7" s="362" t="n">
        <x:v>341253.3</x:v>
      </x:c>
      <x:c r="E7" s="215" t="str">
        <x:v>NeuroAtlas 疾病/健康 - TUSZ + TUEG parent + I-CARE</x:v>
      </x:c>
    </x:row>
    <x:row r="8">
      <x:c r="A8" s="226" t="str">
        <x:v>独立 raw 已获取</x:v>
      </x:c>
      <x:c r="B8" s="259" t="n">
        <x:v>67</x:v>
      </x:c>
      <x:c r="C8" s="259" t="str">
        <x:v>其中 57 个有精确时长审计</x:v>
      </x:c>
      <x:c r="D8" s="362" t="n">
        <x:v>43627.81906678666</x:v>
      </x:c>
      <x:c r="E8" s="215" t="str">
        <x:v>获取数量与时长审计数量分列</x:v>
      </x:c>
    </x:row>
    <x:row r="9">
      <x:c r="A9" s="226" t="str">
        <x:v>仍可推进 / 舍弃</x:v>
      </x:c>
      <x:c r="B9" s="259" t="str">
        <x:v>68 / 4</x:v>
      </x:c>
      <x:c r="C9" s="259" t="str">
        <x:v>逐行下载执行清单</x:v>
      </x:c>
      <x:c r="D9" s="362"/>
      <x:c r="E9" s="215" t="str">
        <x:v>舍弃项保留目录证据，不再进入执行队列</x:v>
      </x:c>
    </x:row>
    <x:row r="10">
      <x:c r="A10" s="226" t="str">
        <x:v>超过 NeuroAtlas</x:v>
      </x:c>
      <x:c r="B10" s="259"/>
      <x:c r="C10" s="259"/>
      <x:c r="D10" s="362" t="n">
        <x:v>86490.74089025432</x:v>
      </x:c>
      <x:c r="E10" s="215" t="str">
        <x:v>33.3%</x:v>
      </x:c>
    </x:row>
    <x:row r="11">
      <x:c r="A11" s="227" t="str">
        <x:v>匹配状态</x:v>
      </x:c>
      <x:c r="B11" s="270" t="str">
        <x:v>36 old + 6 added = 42</x:v>
      </x:c>
      <x:c r="C11" s="270"/>
      <x:c r="D11" s="270"/>
      <x:c r="E11" s="228" t="str">
        <x:v>42/42</x:v>
      </x:c>
    </x:row>
    <x:row r="14" ht="32" customHeight="1">
      <x:c r="A14" s="322" t="str">
        <x:v>域</x:v>
      </x:c>
      <x:c r="B14" s="323" t="str">
        <x:v>NeuroAtlas 来源</x:v>
      </x:c>
      <x:c r="C14" s="323" t="str">
        <x:v>匹配状态</x:v>
      </x:c>
      <x:c r="D14" s="323" t="str">
        <x:v>目录 ID</x:v>
      </x:c>
      <x:c r="E14" s="323" t="str">
        <x:v>NeuroAtlas h</x:v>
      </x:c>
      <x:c r="F14" s="323" t="str">
        <x:v>重点范围</x:v>
      </x:c>
      <x:c r="G14" s="323" t="str">
        <x:v>本目录分类</x:v>
      </x:c>
      <x:c r="H14" s="323" t="str">
        <x:v>访问</x:v>
      </x:c>
      <x:c r="I14" s="323" t="str">
        <x:v>入口</x:v>
      </x:c>
      <x:c r="J14" s="324" t="str">
        <x:v>下载/口径说明</x:v>
      </x:c>
    </x:row>
    <x:row r="15">
      <x:c r="A15" s="302" t="str">
        <x:v>Epilepsy</x:v>
      </x:c>
      <x:c r="B15" s="303" t="str">
        <x:v>Helsinki neonatal</x:v>
      </x:c>
      <x:c r="C15" s="303" t="str">
        <x:v>原目录已覆盖</x:v>
      </x:c>
      <x:c r="D15" s="303" t="str">
        <x:v>EEG-0005</x:v>
      </x:c>
      <x:c r="E15" s="303" t="n">
        <x:v>106</x:v>
      </x:c>
      <x:c r="F15" s="303" t="str">
        <x:v>疾病/临床</x:v>
      </x:c>
      <x:c r="G15" s="303" t="str">
        <x:v>医疗与疾病 / 癫痫</x:v>
      </x:c>
      <x:c r="H15" s="303" t="str"/>
      <x:c r="I15" s="303" t="str"/>
      <x:c r="J15" s="304" t="str">
        <x:v>见目录入口</x:v>
      </x:c>
    </x:row>
    <x:row r="16">
      <x:c r="A16" s="233" t="str">
        <x:v>Epilepsy</x:v>
      </x:c>
      <x:c r="B16" s="328" t="str">
        <x:v>CHB-MIT</x:v>
      </x:c>
      <x:c r="C16" s="328" t="str">
        <x:v>原目录已覆盖</x:v>
      </x:c>
      <x:c r="D16" s="328" t="str">
        <x:v>EEG-0009</x:v>
      </x:c>
      <x:c r="E16" s="328" t="n">
        <x:v>983</x:v>
      </x:c>
      <x:c r="F16" s="328" t="str">
        <x:v>疾病/临床</x:v>
      </x:c>
      <x:c r="G16" s="328" t="str">
        <x:v>医疗与疾病 / 癫痫</x:v>
      </x:c>
      <x:c r="H16" s="328" t="str"/>
      <x:c r="I16" s="328" t="str"/>
      <x:c r="J16" s="329" t="str">
        <x:v>见目录入口</x:v>
      </x:c>
    </x:row>
    <x:row r="17">
      <x:c r="A17" s="226" t="str">
        <x:v>Epilepsy</x:v>
      </x:c>
      <x:c r="B17" s="259" t="str">
        <x:v>Siena</x:v>
      </x:c>
      <x:c r="C17" s="259" t="str">
        <x:v>原目录已覆盖</x:v>
      </x:c>
      <x:c r="D17" s="259" t="str">
        <x:v>EEG-0032</x:v>
      </x:c>
      <x:c r="E17" s="259" t="n">
        <x:v>137</x:v>
      </x:c>
      <x:c r="F17" s="259" t="str">
        <x:v>疾病/临床</x:v>
      </x:c>
      <x:c r="G17" s="259" t="str">
        <x:v>医疗与疾病 / 癫痫</x:v>
      </x:c>
      <x:c r="H17" s="259" t="str"/>
      <x:c r="I17" s="259" t="str"/>
      <x:c r="J17" s="215" t="str">
        <x:v>见目录入口</x:v>
      </x:c>
    </x:row>
    <x:row r="18">
      <x:c r="A18" s="336" t="str">
        <x:v>Epilepsy</x:v>
      </x:c>
      <x:c r="B18" s="337" t="str">
        <x:v>SeizeIT1</x:v>
      </x:c>
      <x:c r="C18" s="337" t="str">
        <x:v>本轮补入</x:v>
      </x:c>
      <x:c r="D18" s="337" t="str">
        <x:v>EEG-0602</x:v>
      </x:c>
      <x:c r="E18" s="337" t="n">
        <x:v>5900</x:v>
      </x:c>
      <x:c r="F18" s="337" t="str">
        <x:v>疾病/临床</x:v>
      </x:c>
      <x:c r="G18" s="337" t="str">
        <x:v>医疗与疾病 / 癫痫</x:v>
      </x:c>
      <x:c r="H18" s="337" t="str">
        <x:v>当前不可申请</x:v>
      </x:c>
      <x:c r="I18" s="337" t="str">
        <x:v>https://rdr.kuleuven.be/dataset.xhtml?persistentId=doi:10.48804/P5Q0OJ</x:v>
      </x:c>
      <x:c r="J18" s="338" t="str">
        <x:v>伦理批准已过期；当前无法获取，建议使用 SeizeIT2；NeuroAtlas 5.9k h；SzCORE 当前公开基准口径 4,211 h。</x:v>
      </x:c>
    </x:row>
    <x:row r="19">
      <x:c r="A19" s="226" t="str">
        <x:v>Epilepsy</x:v>
      </x:c>
      <x:c r="B19" s="259" t="str">
        <x:v>SeizeIT2</x:v>
      </x:c>
      <x:c r="C19" s="259" t="str">
        <x:v>原目录已覆盖</x:v>
      </x:c>
      <x:c r="D19" s="259" t="str">
        <x:v>EEG-0031</x:v>
      </x:c>
      <x:c r="E19" s="259" t="n">
        <x:v>24000</x:v>
      </x:c>
      <x:c r="F19" s="259" t="str">
        <x:v>疾病/临床</x:v>
      </x:c>
      <x:c r="G19" s="259" t="str">
        <x:v>医疗与疾病 / 癫痫</x:v>
      </x:c>
      <x:c r="H19" s="259" t="str"/>
      <x:c r="I19" s="259" t="str"/>
      <x:c r="J19" s="215" t="str">
        <x:v>见目录入口；NeuroAtlas 24k h；本地文件审计 11,626.2 h，属于版本/范围差异。</x:v>
      </x:c>
    </x:row>
    <x:row r="20">
      <x:c r="A20" s="233" t="str">
        <x:v>Epilepsy</x:v>
      </x:c>
      <x:c r="B20" s="328" t="str">
        <x:v>TUSZ</x:v>
      </x:c>
      <x:c r="C20" s="328" t="str">
        <x:v>原目录已覆盖</x:v>
      </x:c>
      <x:c r="D20" s="328" t="str">
        <x:v>EEG-0036</x:v>
      </x:c>
      <x:c r="E20" s="328" t="n">
        <x:v>1500</x:v>
      </x:c>
      <x:c r="F20" s="328" t="str">
        <x:v>疾病/临床</x:v>
      </x:c>
      <x:c r="G20" s="328" t="str">
        <x:v>医疗与疾病 / 癫痫</x:v>
      </x:c>
      <x:c r="H20" s="328" t="str"/>
      <x:c r="I20" s="328" t="str"/>
      <x:c r="J20" s="329" t="str">
        <x:v>见目录入口；TUSZ 是 TUEG 子集，来源并集用 TUEG 父集替换，不重复相加。</x:v>
      </x:c>
    </x:row>
    <x:row r="21">
      <x:c r="A21" s="226" t="str">
        <x:v>Epilepsy</x:v>
      </x:c>
      <x:c r="B21" s="259" t="str">
        <x:v>Epilepsiae</x:v>
      </x:c>
      <x:c r="C21" s="259" t="str">
        <x:v>原目录已覆盖</x:v>
      </x:c>
      <x:c r="D21" s="259" t="str">
        <x:v>EEG-0011</x:v>
      </x:c>
      <x:c r="E21" s="259" t="n">
        <x:v>26000</x:v>
      </x:c>
      <x:c r="F21" s="259" t="str">
        <x:v>疾病/临床</x:v>
      </x:c>
      <x:c r="G21" s="259" t="str">
        <x:v>医疗与疾病 / 癫痫</x:v>
      </x:c>
      <x:c r="H21" s="259" t="str"/>
      <x:c r="I21" s="259" t="str"/>
      <x:c r="J21" s="215" t="str">
        <x:v>见目录入口</x:v>
      </x:c>
    </x:row>
    <x:row r="22">
      <x:c r="A22" s="233" t="str">
        <x:v>Epilepsy</x:v>
      </x:c>
      <x:c r="B22" s="328" t="str">
        <x:v>TUAB</x:v>
      </x:c>
      <x:c r="C22" s="328" t="str">
        <x:v>原目录已覆盖</x:v>
      </x:c>
      <x:c r="D22" s="328" t="str">
        <x:v>EEG-0107</x:v>
      </x:c>
      <x:c r="E22" s="328"/>
      <x:c r="F22" s="328" t="str">
        <x:v>疾病/临床</x:v>
      </x:c>
      <x:c r="G22" s="328" t="str">
        <x:v>医疗与疾病 / 异常 EEG</x:v>
      </x:c>
      <x:c r="H22" s="328" t="str"/>
      <x:c r="I22" s="328" t="str"/>
      <x:c r="J22" s="329" t="str">
        <x:v>见目录入口；record-level cohort；不把未知小时估为精确值。</x:v>
      </x:c>
    </x:row>
    <x:row r="23">
      <x:c r="A23" s="226" t="str">
        <x:v>Epilepsy</x:v>
      </x:c>
      <x:c r="B23" s="259" t="str">
        <x:v>NMT</x:v>
      </x:c>
      <x:c r="C23" s="259" t="str">
        <x:v>原目录已覆盖</x:v>
      </x:c>
      <x:c r="D23" s="259" t="str">
        <x:v>EEG-0106</x:v>
      </x:c>
      <x:c r="E23" s="259"/>
      <x:c r="F23" s="259" t="str">
        <x:v>疾病/临床</x:v>
      </x:c>
      <x:c r="G23" s="259" t="str">
        <x:v>医疗与疾病 / 异常 EEG</x:v>
      </x:c>
      <x:c r="H23" s="259" t="str"/>
      <x:c r="I23" s="259" t="str"/>
      <x:c r="J23" s="215" t="str">
        <x:v>见目录入口；record-level cohort；不把未知小时估为精确值。</x:v>
      </x:c>
    </x:row>
    <x:row r="24">
      <x:c r="A24" s="233" t="str">
        <x:v>Epilepsy</x:v>
      </x:c>
      <x:c r="B24" s="328" t="str">
        <x:v>Bonn</x:v>
      </x:c>
      <x:c r="C24" s="328" t="str">
        <x:v>原目录已覆盖</x:v>
      </x:c>
      <x:c r="D24" s="328" t="str">
        <x:v>EEG-0008</x:v>
      </x:c>
      <x:c r="E24" s="328"/>
      <x:c r="F24" s="328" t="str">
        <x:v>疾病/临床</x:v>
      </x:c>
      <x:c r="G24" s="328" t="str">
        <x:v>医疗与疾病 / 癫痫</x:v>
      </x:c>
      <x:c r="H24" s="328" t="str"/>
      <x:c r="I24" s="328" t="str"/>
      <x:c r="J24" s="329" t="str">
        <x:v>见目录入口；短片段 record-level benchmark。</x:v>
      </x:c>
    </x:row>
    <x:row r="25">
      <x:c r="A25" s="226" t="str">
        <x:v>Sleep</x:v>
      </x:c>
      <x:c r="B25" s="259" t="str">
        <x:v>CFS</x:v>
      </x:c>
      <x:c r="C25" s="259" t="str">
        <x:v>原目录已覆盖</x:v>
      </x:c>
      <x:c r="D25" s="259" t="str">
        <x:v>EEG-0116</x:v>
      </x:c>
      <x:c r="E25" s="259"/>
      <x:c r="F25" s="259" t="str">
        <x:v>健康/人群</x:v>
      </x:c>
      <x:c r="G25" s="259" t="str">
        <x:v>意识状态 / 睡眠分期</x:v>
      </x:c>
      <x:c r="H25" s="259" t="str"/>
      <x:c r="I25" s="259" t="str"/>
      <x:c r="J25" s="215" t="str">
        <x:v>见目录入口</x:v>
      </x:c>
    </x:row>
    <x:row r="26">
      <x:c r="A26" s="336" t="str">
        <x:v>Sleep</x:v>
      </x:c>
      <x:c r="B26" s="337" t="str">
        <x:v>DCSM</x:v>
      </x:c>
      <x:c r="C26" s="337" t="str">
        <x:v>本轮补入</x:v>
      </x:c>
      <x:c r="D26" s="337" t="str">
        <x:v>EEG-0603</x:v>
      </x:c>
      <x:c r="E26" s="337"/>
      <x:c r="F26" s="337" t="str">
        <x:v>疾病/临床</x:v>
      </x:c>
      <x:c r="G26" s="337" t="str">
        <x:v>医疗与疾病 / 临床睡眠</x:v>
      </x:c>
      <x:c r="H26" s="337" t="str">
        <x:v>公开下载</x:v>
      </x:c>
      <x:c r="I26" s="337" t="str">
        <x:v>https://erda.ku.dk/public/archives/db553715ecbe1f3ac66c1dc569826eef/published-archive.html</x:v>
      </x:c>
      <x:c r="J26" s="338" t="str">
        <x:v>ERDA ZIP；或 ut fetch --dataset dcsm --out_dir data/dcsm</x:v>
      </x:c>
    </x:row>
    <x:row r="27">
      <x:c r="A27" s="226" t="str">
        <x:v>Sleep</x:v>
      </x:c>
      <x:c r="B27" s="259" t="str">
        <x:v>DOD</x:v>
      </x:c>
      <x:c r="C27" s="259" t="str">
        <x:v>原目录已覆盖</x:v>
      </x:c>
      <x:c r="D27" s="259" t="str">
        <x:v>EEG-0122</x:v>
      </x:c>
      <x:c r="E27" s="259"/>
      <x:c r="F27" s="259" t="str">
        <x:v>疾病/临床</x:v>
      </x:c>
      <x:c r="G27" s="259" t="str">
        <x:v>意识状态 / 睡眠分期</x:v>
      </x:c>
      <x:c r="H27" s="259" t="str"/>
      <x:c r="I27" s="259" t="str"/>
      <x:c r="J27" s="215" t="str">
        <x:v>见目录入口</x:v>
      </x:c>
    </x:row>
    <x:row r="28">
      <x:c r="A28" s="233" t="str">
        <x:v>Sleep</x:v>
      </x:c>
      <x:c r="B28" s="328" t="str">
        <x:v>HMC</x:v>
      </x:c>
      <x:c r="C28" s="328" t="str">
        <x:v>原目录已覆盖</x:v>
      </x:c>
      <x:c r="D28" s="328" t="str">
        <x:v>EEG-0125</x:v>
      </x:c>
      <x:c r="E28" s="328"/>
      <x:c r="F28" s="328" t="str">
        <x:v>疾病/临床</x:v>
      </x:c>
      <x:c r="G28" s="328" t="str">
        <x:v>意识状态 / 睡眠分期</x:v>
      </x:c>
      <x:c r="H28" s="328" t="str"/>
      <x:c r="I28" s="328" t="str"/>
      <x:c r="J28" s="329" t="str">
        <x:v>见目录入口</x:v>
      </x:c>
    </x:row>
    <x:row r="29">
      <x:c r="A29" s="226" t="str">
        <x:v>Sleep</x:v>
      </x:c>
      <x:c r="B29" s="259" t="str">
        <x:v>HomePAP</x:v>
      </x:c>
      <x:c r="C29" s="259" t="str">
        <x:v>原目录已覆盖</x:v>
      </x:c>
      <x:c r="D29" s="259" t="str">
        <x:v>EEG-0126</x:v>
      </x:c>
      <x:c r="E29" s="259"/>
      <x:c r="F29" s="259" t="str">
        <x:v>疾病/临床</x:v>
      </x:c>
      <x:c r="G29" s="259" t="str">
        <x:v>意识状态 / 睡眠分期</x:v>
      </x:c>
      <x:c r="H29" s="259" t="str"/>
      <x:c r="I29" s="259" t="str"/>
      <x:c r="J29" s="215" t="str">
        <x:v>见目录入口</x:v>
      </x:c>
    </x:row>
    <x:row r="30">
      <x:c r="A30" s="233" t="str">
        <x:v>Sleep</x:v>
      </x:c>
      <x:c r="B30" s="328" t="str">
        <x:v>ISRUC</x:v>
      </x:c>
      <x:c r="C30" s="328" t="str">
        <x:v>原目录已覆盖</x:v>
      </x:c>
      <x:c r="D30" s="328" t="str">
        <x:v>EEG-0128</x:v>
      </x:c>
      <x:c r="E30" s="328"/>
      <x:c r="F30" s="328" t="str">
        <x:v>疾病/临床</x:v>
      </x:c>
      <x:c r="G30" s="328" t="str">
        <x:v>意识状态 / 睡眠分期</x:v>
      </x:c>
      <x:c r="H30" s="328" t="str"/>
      <x:c r="I30" s="328" t="str"/>
      <x:c r="J30" s="329" t="str">
        <x:v>见目录入口</x:v>
      </x:c>
    </x:row>
    <x:row r="31">
      <x:c r="A31" s="226" t="str">
        <x:v>Sleep</x:v>
      </x:c>
      <x:c r="B31" s="259" t="str">
        <x:v>MASS</x:v>
      </x:c>
      <x:c r="C31" s="259" t="str">
        <x:v>原目录已覆盖</x:v>
      </x:c>
      <x:c r="D31" s="259" t="str">
        <x:v>EEG-0130</x:v>
      </x:c>
      <x:c r="E31" s="259"/>
      <x:c r="F31" s="259" t="str">
        <x:v>健康/人群</x:v>
      </x:c>
      <x:c r="G31" s="259" t="str">
        <x:v>意识状态 / 睡眠分期</x:v>
      </x:c>
      <x:c r="H31" s="259" t="str"/>
      <x:c r="I31" s="259" t="str"/>
      <x:c r="J31" s="215" t="str">
        <x:v>见目录入口</x:v>
      </x:c>
    </x:row>
    <x:row r="32">
      <x:c r="A32" s="233" t="str">
        <x:v>Sleep</x:v>
      </x:c>
      <x:c r="B32" s="328" t="str">
        <x:v>MESA</x:v>
      </x:c>
      <x:c r="C32" s="328" t="str">
        <x:v>原目录已覆盖</x:v>
      </x:c>
      <x:c r="D32" s="328" t="str">
        <x:v>EEG-0086</x:v>
      </x:c>
      <x:c r="E32" s="328"/>
      <x:c r="F32" s="328" t="str">
        <x:v>健康/人群</x:v>
      </x:c>
      <x:c r="G32" s="328" t="str">
        <x:v>健康与人群 / 睡眠心代谢</x:v>
      </x:c>
      <x:c r="H32" s="328" t="str"/>
      <x:c r="I32" s="328" t="str"/>
      <x:c r="J32" s="329" t="str">
        <x:v>见目录入口</x:v>
      </x:c>
    </x:row>
    <x:row r="33">
      <x:c r="A33" s="226" t="str">
        <x:v>Sleep</x:v>
      </x:c>
      <x:c r="B33" s="259" t="str">
        <x:v>MrOS</x:v>
      </x:c>
      <x:c r="C33" s="259" t="str">
        <x:v>原目录已覆盖</x:v>
      </x:c>
      <x:c r="D33" s="259" t="str">
        <x:v>EEG-0135</x:v>
      </x:c>
      <x:c r="E33" s="259"/>
      <x:c r="F33" s="259" t="str">
        <x:v>健康/人群</x:v>
      </x:c>
      <x:c r="G33" s="259" t="str">
        <x:v>意识状态 / 睡眠分期</x:v>
      </x:c>
      <x:c r="H33" s="259" t="str"/>
      <x:c r="I33" s="259" t="str"/>
      <x:c r="J33" s="215" t="str">
        <x:v>见目录入口</x:v>
      </x:c>
    </x:row>
    <x:row r="34">
      <x:c r="A34" s="336" t="str">
        <x:v>Sleep</x:v>
      </x:c>
      <x:c r="B34" s="337" t="str">
        <x:v>PN2026</x:v>
      </x:c>
      <x:c r="C34" s="337" t="str">
        <x:v>本轮补入</x:v>
      </x:c>
      <x:c r="D34" s="337" t="str">
        <x:v>EEG-0604</x:v>
      </x:c>
      <x:c r="E34" s="337"/>
      <x:c r="F34" s="337" t="str">
        <x:v>疾病/临床</x:v>
      </x:c>
      <x:c r="G34" s="337" t="str">
        <x:v>医疗与疾病 / 睡眠与认知障碍</x:v>
      </x:c>
      <x:c r="H34" s="337" t="str">
        <x:v>公开训练集</x:v>
      </x:c>
      <x:c r="I34" s="337" t="str">
        <x:v>https://moody-challenge.physionet.org/2026/</x:v>
      </x:c>
      <x:c r="J34" s="338" t="str">
        <x:v>Kaggle large: kaggle datasets download -d physionet/physionetchallenge2026datalargeversion；large training 6,600 PSG records / 1.2 TiB；validation/test hidden。</x:v>
      </x:c>
    </x:row>
    <x:row r="35">
      <x:c r="A35" s="226" t="str">
        <x:v>Sleep</x:v>
      </x:c>
      <x:c r="B35" s="259" t="str">
        <x:v>SHHS</x:v>
      </x:c>
      <x:c r="C35" s="259" t="str">
        <x:v>原目录已覆盖</x:v>
      </x:c>
      <x:c r="D35" s="259" t="str">
        <x:v>EEG-0142</x:v>
      </x:c>
      <x:c r="E35" s="259"/>
      <x:c r="F35" s="259" t="str">
        <x:v>健康/人群</x:v>
      </x:c>
      <x:c r="G35" s="259" t="str">
        <x:v>意识状态 / 睡眠分期</x:v>
      </x:c>
      <x:c r="H35" s="259" t="str"/>
      <x:c r="I35" s="259" t="str"/>
      <x:c r="J35" s="215" t="str">
        <x:v>见目录入口</x:v>
      </x:c>
    </x:row>
    <x:row r="36">
      <x:c r="A36" s="336" t="str">
        <x:v>Sleep</x:v>
      </x:c>
      <x:c r="B36" s="337" t="str">
        <x:v>STAGES</x:v>
      </x:c>
      <x:c r="C36" s="337" t="str">
        <x:v>本轮补入</x:v>
      </x:c>
      <x:c r="D36" s="337" t="str">
        <x:v>EEG-0605</x:v>
      </x:c>
      <x:c r="E36" s="337"/>
      <x:c r="F36" s="337" t="str">
        <x:v>疾病/临床</x:v>
      </x:c>
      <x:c r="G36" s="337" t="str">
        <x:v>医疗与疾病 / 临床睡眠</x:v>
      </x:c>
      <x:c r="H36" s="337" t="str">
        <x:v>申请访问</x:v>
      </x:c>
      <x:c r="I36" s="337" t="str">
        <x:v>https://sleepdata.org/datasets/stages</x:v>
      </x:c>
      <x:c r="J36" s="338" t="str">
        <x:v>NSRR 审批后：nsrr download stages/original；官方提示存在 4 对重复 EDF；下载后须按文件哈希复核。</x:v>
      </x:c>
    </x:row>
    <x:row r="37">
      <x:c r="A37" s="226" t="str">
        <x:v>Sleep</x:v>
      </x:c>
      <x:c r="B37" s="259" t="str">
        <x:v>Sleep-EDF</x:v>
      </x:c>
      <x:c r="C37" s="259" t="str">
        <x:v>原目录已覆盖</x:v>
      </x:c>
      <x:c r="D37" s="259" t="str">
        <x:v>EEG-0144</x:v>
      </x:c>
      <x:c r="E37" s="259"/>
      <x:c r="F37" s="259" t="str">
        <x:v>健康/人群</x:v>
      </x:c>
      <x:c r="G37" s="259" t="str">
        <x:v>意识状态 / 睡眠分期</x:v>
      </x:c>
      <x:c r="H37" s="259" t="str"/>
      <x:c r="I37" s="259" t="str"/>
      <x:c r="J37" s="215" t="str">
        <x:v>见目录入口</x:v>
      </x:c>
    </x:row>
    <x:row r="38">
      <x:c r="A38" s="336" t="str">
        <x:v>Sleep</x:v>
      </x:c>
      <x:c r="B38" s="337" t="str">
        <x:v>UCDDB</x:v>
      </x:c>
      <x:c r="C38" s="337" t="str">
        <x:v>本轮补入</x:v>
      </x:c>
      <x:c r="D38" s="337" t="str">
        <x:v>EEG-0606</x:v>
      </x:c>
      <x:c r="E38" s="337"/>
      <x:c r="F38" s="337" t="str">
        <x:v>疾病/临床</x:v>
      </x:c>
      <x:c r="G38" s="337" t="str">
        <x:v>医疗与疾病 / 睡眠呼吸障碍</x:v>
      </x:c>
      <x:c r="H38" s="337" t="str">
        <x:v>公开下载</x:v>
      </x:c>
      <x:c r="I38" s="337" t="str">
        <x:v>https://physionet.org/content/ucddb/1.0.0/</x:v>
      </x:c>
      <x:c r="J38" s="338" t="str">
        <x:v>wget -r -N -c -np https://physionet.org/files/ucddb/1.0.0/</x:v>
      </x:c>
    </x:row>
    <x:row r="39">
      <x:c r="A39" s="226" t="str">
        <x:v>Sleep</x:v>
      </x:c>
      <x:c r="B39" s="259" t="str">
        <x:v>WSC</x:v>
      </x:c>
      <x:c r="C39" s="259" t="str">
        <x:v>原目录已覆盖</x:v>
      </x:c>
      <x:c r="D39" s="259" t="str">
        <x:v>EEG-0148</x:v>
      </x:c>
      <x:c r="E39" s="259"/>
      <x:c r="F39" s="259" t="str">
        <x:v>健康/人群</x:v>
      </x:c>
      <x:c r="G39" s="259" t="str">
        <x:v>意识状态 / 睡眠分期</x:v>
      </x:c>
      <x:c r="H39" s="259" t="str"/>
      <x:c r="I39" s="259" t="str"/>
      <x:c r="J39" s="215" t="str">
        <x:v>见目录入口</x:v>
      </x:c>
    </x:row>
    <x:row r="40">
      <x:c r="A40" s="233" t="str">
        <x:v>BCI-MI</x:v>
      </x:c>
      <x:c r="B40" s="328" t="str">
        <x:v>BNCI2014_001</x:v>
      </x:c>
      <x:c r="C40" s="328" t="str">
        <x:v>原目录已覆盖</x:v>
      </x:c>
      <x:c r="D40" s="328" t="str">
        <x:v>EEG-0355</x:v>
      </x:c>
      <x:c r="E40" s="328"/>
      <x:c r="F40" s="328" t="str">
        <x:v>非疾病/健康重点</x:v>
      </x:c>
      <x:c r="G40" s="328" t="str">
        <x:v>运动与交互 / 运动想象</x:v>
      </x:c>
      <x:c r="H40" s="328" t="str"/>
      <x:c r="I40" s="328" t="str"/>
      <x:c r="J40" s="329" t="str">
        <x:v>见目录入口</x:v>
      </x:c>
    </x:row>
    <x:row r="41">
      <x:c r="A41" s="226" t="str">
        <x:v>BCI-MI</x:v>
      </x:c>
      <x:c r="B41" s="259" t="str">
        <x:v>BNCI2014_004</x:v>
      </x:c>
      <x:c r="C41" s="259" t="str">
        <x:v>原目录已覆盖</x:v>
      </x:c>
      <x:c r="D41" s="259" t="str">
        <x:v>EEG-0353</x:v>
      </x:c>
      <x:c r="E41" s="259"/>
      <x:c r="F41" s="259" t="str">
        <x:v>非疾病/健康重点</x:v>
      </x:c>
      <x:c r="G41" s="259" t="str">
        <x:v>运动与交互 / 运动想象</x:v>
      </x:c>
      <x:c r="H41" s="259" t="str"/>
      <x:c r="I41" s="259" t="str"/>
      <x:c r="J41" s="215" t="str">
        <x:v>见目录入口</x:v>
      </x:c>
    </x:row>
    <x:row r="42">
      <x:c r="A42" s="233" t="str">
        <x:v>BCI-MI</x:v>
      </x:c>
      <x:c r="B42" s="328" t="str">
        <x:v>BNCI2015_001</x:v>
      </x:c>
      <x:c r="C42" s="328" t="str">
        <x:v>原目录已覆盖</x:v>
      </x:c>
      <x:c r="D42" s="328" t="str">
        <x:v>EEG-0360</x:v>
      </x:c>
      <x:c r="E42" s="328"/>
      <x:c r="F42" s="328" t="str">
        <x:v>非疾病/健康重点</x:v>
      </x:c>
      <x:c r="G42" s="328" t="str">
        <x:v>运动与交互 / 运动想象</x:v>
      </x:c>
      <x:c r="H42" s="328" t="str"/>
      <x:c r="I42" s="328" t="str"/>
      <x:c r="J42" s="329" t="str">
        <x:v>见目录入口</x:v>
      </x:c>
    </x:row>
    <x:row r="43">
      <x:c r="A43" s="226" t="str">
        <x:v>BCI-MI</x:v>
      </x:c>
      <x:c r="B43" s="259" t="str">
        <x:v>Weibo2014</x:v>
      </x:c>
      <x:c r="C43" s="259" t="str">
        <x:v>原目录已覆盖</x:v>
      </x:c>
      <x:c r="D43" s="259" t="str">
        <x:v>EEG-0415 | EEG-0416</x:v>
      </x:c>
      <x:c r="E43" s="259"/>
      <x:c r="F43" s="259" t="str">
        <x:v>非疾病/健康重点</x:v>
      </x:c>
      <x:c r="G43" s="259" t="str">
        <x:v>运动与交互 / 运动想象</x:v>
      </x:c>
      <x:c r="H43" s="259" t="str"/>
      <x:c r="I43" s="259" t="str"/>
      <x:c r="J43" s="215" t="str">
        <x:v>见目录入口；目录有原始发布入口与 MOABB 入口两个下载单元；来源级统计只计 1 个数据源。</x:v>
      </x:c>
    </x:row>
    <x:row r="44">
      <x:c r="A44" s="233" t="str">
        <x:v>BCI-MI</x:v>
      </x:c>
      <x:c r="B44" s="328" t="str">
        <x:v>Dreyer2023</x:v>
      </x:c>
      <x:c r="C44" s="328" t="str">
        <x:v>原目录已覆盖</x:v>
      </x:c>
      <x:c r="D44" s="328" t="str">
        <x:v>EEG-0380</x:v>
      </x:c>
      <x:c r="E44" s="328"/>
      <x:c r="F44" s="328" t="str">
        <x:v>非疾病/健康重点</x:v>
      </x:c>
      <x:c r="G44" s="328" t="str">
        <x:v>运动与交互 / 运动想象</x:v>
      </x:c>
      <x:c r="H44" s="328" t="str"/>
      <x:c r="I44" s="328" t="str"/>
      <x:c r="J44" s="329" t="str">
        <x:v>见目录入口</x:v>
      </x:c>
    </x:row>
    <x:row r="45">
      <x:c r="A45" s="226" t="str">
        <x:v>BCI-MI</x:v>
      </x:c>
      <x:c r="B45" s="259" t="str">
        <x:v>Shin2017A</x:v>
      </x:c>
      <x:c r="C45" s="259" t="str">
        <x:v>原目录已覆盖</x:v>
      </x:c>
      <x:c r="D45" s="259" t="str">
        <x:v>EEG-0410</x:v>
      </x:c>
      <x:c r="E45" s="259"/>
      <x:c r="F45" s="259" t="str">
        <x:v>非疾病/健康重点</x:v>
      </x:c>
      <x:c r="G45" s="259" t="str">
        <x:v>运动与交互 / 运动想象</x:v>
      </x:c>
      <x:c r="H45" s="259" t="str"/>
      <x:c r="I45" s="259" t="str"/>
      <x:c r="J45" s="215" t="str">
        <x:v>见目录入口</x:v>
      </x:c>
    </x:row>
    <x:row r="46">
      <x:c r="A46" s="233" t="str">
        <x:v>BCI-MI</x:v>
      </x:c>
      <x:c r="B46" s="328" t="str">
        <x:v>Liu2024</x:v>
      </x:c>
      <x:c r="C46" s="328" t="str">
        <x:v>原目录已覆盖</x:v>
      </x:c>
      <x:c r="D46" s="328" t="str">
        <x:v>EEG-0084</x:v>
      </x:c>
      <x:c r="E46" s="328"/>
      <x:c r="F46" s="328" t="str">
        <x:v>非疾病/健康重点</x:v>
      </x:c>
      <x:c r="G46" s="328" t="str">
        <x:v>运动与交互 / 运动想象</x:v>
      </x:c>
      <x:c r="H46" s="328" t="str"/>
      <x:c r="I46" s="328" t="str"/>
      <x:c r="J46" s="329" t="str">
        <x:v>见目录入口</x:v>
      </x:c>
    </x:row>
    <x:row r="47">
      <x:c r="A47" s="226" t="str">
        <x:v>BCI-ERP</x:v>
      </x:c>
      <x:c r="B47" s="259" t="str">
        <x:v>BI2013a</x:v>
      </x:c>
      <x:c r="C47" s="259" t="str">
        <x:v>原目录已覆盖</x:v>
      </x:c>
      <x:c r="D47" s="259" t="str">
        <x:v>EEG-0464</x:v>
      </x:c>
      <x:c r="E47" s="259"/>
      <x:c r="F47" s="259" t="str">
        <x:v>非疾病/健康重点</x:v>
      </x:c>
      <x:c r="G47" s="259" t="str">
        <x:v>运动与交互 / P300 BCI</x:v>
      </x:c>
      <x:c r="H47" s="259" t="str"/>
      <x:c r="I47" s="259" t="str"/>
      <x:c r="J47" s="215" t="str">
        <x:v>见目录入口</x:v>
      </x:c>
    </x:row>
    <x:row r="48">
      <x:c r="A48" s="233" t="str">
        <x:v>BCI-ERP</x:v>
      </x:c>
      <x:c r="B48" s="328" t="str">
        <x:v>BI2014a</x:v>
      </x:c>
      <x:c r="C48" s="328" t="str">
        <x:v>原目录已覆盖</x:v>
      </x:c>
      <x:c r="D48" s="328" t="str">
        <x:v>EEG-0465</x:v>
      </x:c>
      <x:c r="E48" s="328"/>
      <x:c r="F48" s="328" t="str">
        <x:v>非疾病/健康重点</x:v>
      </x:c>
      <x:c r="G48" s="328" t="str">
        <x:v>运动与交互 / P300 BCI</x:v>
      </x:c>
      <x:c r="H48" s="328" t="str"/>
      <x:c r="I48" s="328" t="str"/>
      <x:c r="J48" s="329" t="str">
        <x:v>见目录入口</x:v>
      </x:c>
    </x:row>
    <x:row r="49">
      <x:c r="A49" s="226" t="str">
        <x:v>BCI-ERP</x:v>
      </x:c>
      <x:c r="B49" s="259" t="str">
        <x:v>EPFLP300</x:v>
      </x:c>
      <x:c r="C49" s="259" t="str">
        <x:v>原目录已覆盖</x:v>
      </x:c>
      <x:c r="D49" s="259" t="str">
        <x:v>EEG-0229 | EEG-0266</x:v>
      </x:c>
      <x:c r="E49" s="259"/>
      <x:c r="F49" s="259" t="str">
        <x:v>非疾病/健康重点</x:v>
      </x:c>
      <x:c r="G49" s="259" t="str">
        <x:v>认知/交互 / P300</x:v>
      </x:c>
      <x:c r="H49" s="259" t="str"/>
      <x:c r="I49" s="259" t="str"/>
      <x:c r="J49" s="215" t="str">
        <x:v>见目录入口；目录有官网入口与 MOABB 入口两个下载单元；来源级统计只计 1 个数据源。</x:v>
      </x:c>
    </x:row>
    <x:row r="50">
      <x:c r="A50" s="233" t="str">
        <x:v>BCI-ERP</x:v>
      </x:c>
      <x:c r="B50" s="328" t="str">
        <x:v>BNCI2014_008</x:v>
      </x:c>
      <x:c r="C50" s="328" t="str">
        <x:v>原目录已覆盖</x:v>
      </x:c>
      <x:c r="D50" s="328" t="str">
        <x:v>EEG-0071</x:v>
      </x:c>
      <x:c r="E50" s="328"/>
      <x:c r="F50" s="328" t="str">
        <x:v>非疾病/健康重点</x:v>
      </x:c>
      <x:c r="G50" s="328" t="str">
        <x:v>运动与交互 / P300 ALS</x:v>
      </x:c>
      <x:c r="H50" s="328" t="str"/>
      <x:c r="I50" s="328" t="str"/>
      <x:c r="J50" s="329" t="str">
        <x:v>见目录入口</x:v>
      </x:c>
    </x:row>
    <x:row r="51">
      <x:c r="A51" s="226" t="str">
        <x:v>BCI-ERP</x:v>
      </x:c>
      <x:c r="B51" s="259" t="str">
        <x:v>ErpCore2021_N170</x:v>
      </x:c>
      <x:c r="C51" s="259" t="str">
        <x:v>原目录已覆盖</x:v>
      </x:c>
      <x:c r="D51" s="259" t="str">
        <x:v>EEG-0267</x:v>
      </x:c>
      <x:c r="E51" s="259"/>
      <x:c r="F51" s="259" t="str">
        <x:v>非疾病/健康重点</x:v>
      </x:c>
      <x:c r="G51" s="259" t="str">
        <x:v>认知与情感 / ERP</x:v>
      </x:c>
      <x:c r="H51" s="259" t="str"/>
      <x:c r="I51" s="259" t="str"/>
      <x:c r="J51" s="215" t="str">
        <x:v>见目录入口</x:v>
      </x:c>
    </x:row>
    <x:row r="52">
      <x:c r="A52" s="233" t="str">
        <x:v>BCI-SSVEP</x:v>
      </x:c>
      <x:c r="B52" s="328" t="str">
        <x:v>Nakanishi2015</x:v>
      </x:c>
      <x:c r="C52" s="328" t="str">
        <x:v>原目录已覆盖</x:v>
      </x:c>
      <x:c r="D52" s="328" t="str">
        <x:v>EEG-0444</x:v>
      </x:c>
      <x:c r="E52" s="328"/>
      <x:c r="F52" s="328" t="str">
        <x:v>非疾病/健康重点</x:v>
      </x:c>
      <x:c r="G52" s="328" t="str">
        <x:v>运动与交互 / SSVEP</x:v>
      </x:c>
      <x:c r="H52" s="328" t="str"/>
      <x:c r="I52" s="328" t="str"/>
      <x:c r="J52" s="329" t="str">
        <x:v>见目录入口</x:v>
      </x:c>
    </x:row>
    <x:row r="53">
      <x:c r="A53" s="226" t="str">
        <x:v>BCI-SSVEP</x:v>
      </x:c>
      <x:c r="B53" s="259" t="str">
        <x:v>Kim2025BetaRange</x:v>
      </x:c>
      <x:c r="C53" s="259" t="str">
        <x:v>原目录已覆盖</x:v>
      </x:c>
      <x:c r="D53" s="259" t="str">
        <x:v>EEG-0439</x:v>
      </x:c>
      <x:c r="E53" s="259"/>
      <x:c r="F53" s="259" t="str">
        <x:v>非疾病/健康重点</x:v>
      </x:c>
      <x:c r="G53" s="259" t="str">
        <x:v>运动与交互 / SSVEP</x:v>
      </x:c>
      <x:c r="H53" s="259" t="str"/>
      <x:c r="I53" s="259" t="str"/>
      <x:c r="J53" s="215" t="str">
        <x:v>见目录入口</x:v>
      </x:c>
    </x:row>
    <x:row r="54">
      <x:c r="A54" s="233" t="str">
        <x:v>BCI-Other</x:v>
      </x:c>
      <x:c r="B54" s="328" t="str">
        <x:v>DREAMER</x:v>
      </x:c>
      <x:c r="C54" s="328" t="str">
        <x:v>原目录已覆盖</x:v>
      </x:c>
      <x:c r="D54" s="328" t="str">
        <x:v>EEG-0120</x:v>
      </x:c>
      <x:c r="E54" s="328"/>
      <x:c r="F54" s="328" t="str">
        <x:v>非疾病/健康重点</x:v>
      </x:c>
      <x:c r="G54" s="328" t="str">
        <x:v>认知与情感 / 情感</x:v>
      </x:c>
      <x:c r="H54" s="328" t="str"/>
      <x:c r="I54" s="328" t="str"/>
      <x:c r="J54" s="329" t="str">
        <x:v>见目录入口</x:v>
      </x:c>
    </x:row>
    <x:row r="55">
      <x:c r="A55" s="226" t="str">
        <x:v>BCI-Other</x:v>
      </x:c>
      <x:c r="B55" s="259" t="str">
        <x:v>EEGMat</x:v>
      </x:c>
      <x:c r="C55" s="259" t="str">
        <x:v>原目录已覆盖</x:v>
      </x:c>
      <x:c r="D55" s="259" t="str">
        <x:v>EEG-0228</x:v>
      </x:c>
      <x:c r="E55" s="259"/>
      <x:c r="F55" s="259" t="str">
        <x:v>非疾病/健康重点</x:v>
      </x:c>
      <x:c r="G55" s="259" t="str">
        <x:v>认知与情感 / 认知负荷</x:v>
      </x:c>
      <x:c r="H55" s="259" t="str"/>
      <x:c r="I55" s="259" t="str"/>
      <x:c r="J55" s="215" t="str">
        <x:v>见目录入口</x:v>
      </x:c>
    </x:row>
    <x:row r="56">
      <x:c r="A56" s="364" t="str">
        <x:v>BCI-Other</x:v>
      </x:c>
      <x:c r="B56" s="390" t="str">
        <x:v>ArithmeticTask</x:v>
      </x:c>
      <x:c r="C56" s="390" t="str">
        <x:v>本轮补入</x:v>
      </x:c>
      <x:c r="D56" s="390" t="str">
        <x:v>EEG-0607</x:v>
      </x:c>
      <x:c r="E56" s="390"/>
      <x:c r="F56" s="390" t="str">
        <x:v>非疾病/健康重点</x:v>
      </x:c>
      <x:c r="G56" s="390" t="str">
        <x:v>认知与情感 / 算术负荷</x:v>
      </x:c>
      <x:c r="H56" s="390" t="str">
        <x:v>公开下载</x:v>
      </x:c>
      <x:c r="I56" s="390" t="str">
        <x:v>https://osf.io/gh6q3/</x:v>
      </x:c>
      <x:c r="J56" s="366" t="str">
        <x:v>OSF project gh6q3；健康认知实验，不属于疾病/健康重点范围。</x:v>
      </x:c>
    </x:row>
  </x:sheetData>
  <x:mergeCells>
    <x:mergeCell ref="A1:J1"/>
  </x:mergeCells>
  <x:pageMargins left="0.7" right="0.7" top="0.75" bottom="0.75" header="0.3" footer="0.3"/>
  <x:tableParts count="1">
    <x:tablePart xmlns:r="http://schemas.openxmlformats.org/officeDocument/2006/relationships" r:id="R36cc81a56de349f3"/>
  </x:tableParts>
</x:worksheet>
</file>