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811d48c7e74a5e" /></Relationships>
</file>

<file path=xl/workbook.xml><?xml version="1.0" encoding="utf-8"?>
<x:workbook xmlns:x="http://schemas.openxmlformats.org/spreadsheetml/2006/main">
  <x:sheets>
    <x:sheet xmlns:r="http://schemas.openxmlformats.org/officeDocument/2006/relationships" name="README" sheetId="1" r:id="R3efc0fa2da804659"/>
    <x:sheet xmlns:r="http://schemas.openxmlformats.org/officeDocument/2006/relationships" name="最终唯一下载清单" sheetId="2" r:id="R4c223fe6beec45bc"/>
    <x:sheet xmlns:r="http://schemas.openxmlformats.org/officeDocument/2006/relationships" name="排除与非独立条目" sheetId="3" r:id="R744e65bdfb474ff3"/>
    <x:sheet xmlns:r="http://schemas.openxmlformats.org/officeDocument/2006/relationships" name="重复合并证据" sheetId="4" r:id="Rda40f324a94b49ee"/>
    <x:sheet xmlns:r="http://schemas.openxmlformats.org/officeDocument/2006/relationships" name="人工复核结论" sheetId="5" r:id="R2d42a08fd4794462"/>
    <x:sheet xmlns:r="http://schemas.openxmlformats.org/officeDocument/2006/relationships" name="TUH体系与重叠" sheetId="6" r:id="R5c04d2978f0a460b"/>
    <x:sheet xmlns:r="http://schemas.openxmlformats.org/officeDocument/2006/relationships" name="文件夹架构" sheetId="7" r:id="Rb793322feeac40e4"/>
    <x:sheet xmlns:r="http://schemas.openxmlformats.org/officeDocument/2006/relationships" name="修订记录" sheetId="8" r:id="R4ef7ac896f364aab"/>
    <x:sheet xmlns:r="http://schemas.openxmlformats.org/officeDocument/2006/relationships" name="原重复证据归档" sheetId="9" r:id="Re1f0d7b99e27438c"/>
    <x:sheet xmlns:r="http://schemas.openxmlformats.org/officeDocument/2006/relationships" name="分类复核" sheetId="12" r:id="R647debe313784d61"/>
    <x:sheet xmlns:r="http://schemas.openxmlformats.org/officeDocument/2006/relationships" name="分类修订明细" sheetId="13" r:id="R1742322bf6584b57"/>
    <x:sheet xmlns:r="http://schemas.openxmlformats.org/officeDocument/2006/relationships" name="下载与时长复核" sheetId="14" r:id="R2748a8c59fd54f36"/>
    <x:sheet xmlns:r="http://schemas.openxmlformats.org/officeDocument/2006/relationships" name="证据来源" sheetId="15" r:id="R132d97a4365642ec"/>
    <x:sheet xmlns:r="http://schemas.openxmlformats.org/officeDocument/2006/relationships" name="Healthcare重点清单" sheetId="16" r:id="R30334fb1d8334bc7"/>
    <x:sheet xmlns:r="http://schemas.openxmlformats.org/officeDocument/2006/relationships" name="本轮新增_19" sheetId="17" r:id="Rc32e53b2353e4eea"/>
    <x:sheet xmlns:r="http://schemas.openxmlformats.org/officeDocument/2006/relationships" name="分类统计" sheetId="18" r:id="R9036547be23b4653"/>
    <x:sheet xmlns:r="http://schemas.openxmlformats.org/officeDocument/2006/relationships" name="REVE对照_92" sheetId="19" r:id="R39d9e187212c440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4">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s>
  <x:fills count="25">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E8F5F3"/>
      </x:patternFill>
    </x:fill>
  </x:fills>
  <x:borders count="48">
    <x:border/>
    <x:border>
      <x:bottom style="thin">
        <x:color rgb="FFD6DEE8"/>
      </x:bottom>
    </x:border>
    <x:border>
      <x:top style="thin">
        <x:color rgb="FFD6DEE8"/>
      </x:top>
      <x:bottom style="thin">
        <x:color rgb="FFD6DEE8"/>
      </x:bottom>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ttom style="thin">
        <x:color rgb="FFD6DEE8"/>
      </x:bottom>
    </x:border>
    <x:border>
      <x:top style="thin">
        <x:color rgb="FFD6DEE8"/>
      </x:top>
      <x:bottom style="thin">
        <x:color rgb="FFD6DEE8"/>
      </x:bottom>
    </x:border>
    <x:border/>
    <x:border/>
    <x:border/>
    <x:border/>
    <x:border/>
    <x:border>
      <x:bottom style="thin">
        <x:color rgb="FFD6DEE8"/>
      </x:bottom>
    </x:border>
    <x:border/>
    <x:border/>
    <x:border/>
    <x:border/>
    <x:border>
      <x:left/>
      <x:top/>
      <x:bottom style="thin">
        <x:color rgb="FFD6DEE8"/>
      </x:bottom>
    </x:border>
    <x:border>
      <x:right/>
      <x:top/>
      <x:bottom style="thin">
        <x:color rgb="FFD6DEE8"/>
      </x:bottom>
    </x:border>
    <x:border>
      <x:left/>
      <x:top style="thin">
        <x:color rgb="FFD6DEE8"/>
      </x:top>
      <x:bottom style="thin">
        <x:color rgb="FFD6DEE8"/>
      </x:bottom>
    </x:border>
    <x:border>
      <x:right/>
      <x:top style="thin">
        <x:color rgb="FFD6DEE8"/>
      </x:top>
      <x:bottom style="thin">
        <x:color rgb="FFD6DEE8"/>
      </x:bottom>
    </x:border>
    <x:border>
      <x:left/>
      <x:top style="thin">
        <x:color rgb="FFD6DEE8"/>
      </x:top>
      <x:bottom/>
    </x:border>
    <x:border>
      <x:right/>
      <x:top style="thin">
        <x:color rgb="FFD6DEE8"/>
      </x:top>
      <x:bottom/>
    </x:border>
    <x:border>
      <x:left/>
      <x:right/>
      <x:top/>
      <x:bottom style="thin">
        <x:color rgb="FFD6DEE8"/>
      </x:bottom>
    </x:border>
    <x:border>
      <x:left/>
      <x:right/>
      <x:top style="thin">
        <x:color rgb="FFD6DEE8"/>
      </x:top>
      <x:bottom style="thin">
        <x:color rgb="FFD6DEE8"/>
      </x:bottom>
    </x:border>
    <x:border>
      <x:left/>
      <x:right/>
      <x:top style="thin">
        <x:color rgb="FFD6DEE8"/>
      </x:top>
      <x:bottom/>
    </x:border>
    <x:border>
      <x:left/>
      <x:top/>
      <x:bottom/>
    </x:border>
    <x:border>
      <x:top/>
      <x:bottom/>
    </x:border>
    <x:border>
      <x:right/>
      <x:top/>
      <x:bottom/>
    </x:border>
    <x:border>
      <x:left/>
      <x:top/>
      <x:bottom style="thin">
        <x:color rgb="FFD6DEE8"/>
      </x:bottom>
    </x:border>
    <x:border>
      <x:top/>
      <x:bottom style="thin">
        <x:color rgb="FFD6DEE8"/>
      </x:bottom>
    </x:border>
    <x:border>
      <x:left/>
      <x:top style="thin">
        <x:color rgb="FFD6DEE8"/>
      </x:top>
      <x:bottom style="thin">
        <x:color rgb="FFD6DEE8"/>
      </x:bottom>
    </x:border>
    <x:border>
      <x:left/>
    </x:border>
    <x:border>
      <x:right/>
    </x:border>
    <x:border>
      <x:left/>
    </x:border>
    <x:border>
      <x:right/>
    </x:border>
    <x:border>
      <x:left/>
      <x:bottom/>
    </x:border>
    <x:border>
      <x:bottom/>
    </x:border>
    <x:border>
      <x:right/>
      <x:bottom/>
    </x:border>
    <x:border>
      <x:left/>
      <x:top/>
    </x:border>
    <x:border>
      <x:top/>
    </x:border>
    <x:border>
      <x:right/>
      <x:top/>
    </x:border>
  </x:borders>
  <x:cellStyleXfs count="1">
    <x:xf numFmtId="0" fontId="0" fillId="0" borderId="0"/>
  </x:cellStyleXfs>
  <x:cellXfs count="342">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xf numFmtId="0" fontId="2" fillId="17" borderId="1" xfId="0" applyNumberFormat="1" applyFont="1" applyFill="1" applyBorder="1" applyAlignment="1">
      <x:alignment vertical="center" wrapText="1"/>
    </x:xf>
    <x:xf numFmtId="0" fontId="9" fillId="18" borderId="11"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6" fillId="18" borderId="11" xfId="0" applyNumberFormat="1" applyFont="1" applyFill="1" applyBorder="1" applyAlignment="1">
      <x:alignment vertical="top" wrapText="1"/>
    </x:xf>
    <x:xf numFmtId="0" fontId="6" fillId="18" borderId="12" xfId="0" applyNumberFormat="1" applyFont="1" applyFill="1" applyBorder="1" applyAlignment="1">
      <x:alignment vertical="top" wrapText="1"/>
    </x:xf>
    <x:xf numFmtId="0" fontId="6" fillId="18" borderId="23" xfId="0" applyNumberFormat="1" applyFont="1" applyFill="1" applyBorder="1" applyAlignment="1">
      <x:alignment vertical="top" wrapText="1"/>
    </x:xf>
    <x:xf numFmtId="0" fontId="7" fillId="18" borderId="24" xfId="0" applyNumberFormat="1" applyFont="1" applyFill="1" applyBorder="1" applyAlignment="1">
      <x:alignment vertical="top" wrapText="1"/>
    </x:xf>
    <x:xf numFmtId="0" fontId="6" fillId="18" borderId="25" xfId="0" applyNumberFormat="1" applyFont="1" applyFill="1" applyBorder="1" applyAlignment="1">
      <x:alignment vertical="top" wrapText="1"/>
    </x:xf>
    <x:xf numFmtId="0" fontId="7" fillId="18" borderId="26" xfId="0" applyNumberFormat="1" applyFont="1" applyFill="1" applyBorder="1" applyAlignment="1">
      <x:alignment vertical="top" wrapText="1"/>
    </x:xf>
    <x:xf numFmtId="0" fontId="6"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6" fillId="19" borderId="23" xfId="0" applyNumberFormat="1" applyFont="1" applyFill="1" applyBorder="1" applyAlignment="1">
      <x:alignment vertical="top" wrapText="1"/>
    </x:xf>
    <x:xf numFmtId="0" fontId="6" fillId="19" borderId="25" xfId="0" applyNumberFormat="1" applyFont="1" applyFill="1" applyBorder="1" applyAlignment="1">
      <x:alignment vertical="top" wrapText="1"/>
    </x:xf>
    <x:xf numFmtId="0" fontId="6" fillId="19" borderId="27" xfId="0" applyNumberFormat="1" applyFont="1" applyFill="1" applyBorder="1" applyAlignment="1">
      <x:alignment vertical="top" wrapText="1"/>
    </x:xf>
    <x:xf numFmtId="0" fontId="9" fillId="19" borderId="23" xfId="0" applyNumberFormat="1" applyFont="1" applyFill="1" applyBorder="1" applyAlignment="1">
      <x:alignment vertical="top" wrapText="1"/>
    </x:xf>
    <x:xf numFmtId="0" fontId="9" fillId="19" borderId="25" xfId="0" applyNumberFormat="1" applyFont="1" applyFill="1" applyBorder="1" applyAlignment="1">
      <x:alignment vertical="top" wrapText="1"/>
    </x:xf>
    <x:xf numFmtId="0" fontId="9" fillId="19" borderId="27" xfId="0" applyNumberFormat="1" applyFont="1" applyFill="1" applyBorder="1" applyAlignment="1">
      <x:alignment vertical="top" wrapText="1"/>
    </x:xf>
    <x:xf numFmtId="0" fontId="9" fillId="19" borderId="29" xfId="0" applyNumberFormat="1" applyFont="1" applyFill="1" applyBorder="1" applyAlignment="1">
      <x:alignment vertical="top" wrapText="1"/>
    </x:xf>
    <x:xf numFmtId="0" fontId="9" fillId="19" borderId="30" xfId="0" applyNumberFormat="1" applyFont="1" applyFill="1" applyBorder="1" applyAlignment="1">
      <x:alignment vertical="top" wrapText="1"/>
    </x:xf>
    <x:xf numFmtId="0" fontId="9" fillId="19" borderId="31" xfId="0" applyNumberFormat="1" applyFont="1" applyFill="1" applyBorder="1" applyAlignment="1">
      <x:alignment vertical="top" wrapText="1"/>
    </x:xf>
    <x:xf numFmtId="0" fontId="9" fillId="20" borderId="30" xfId="0" applyNumberFormat="1" applyFont="1" applyFill="1" applyBorder="1" applyAlignment="1">
      <x:alignment vertical="top" wrapText="1"/>
    </x:xf>
    <x:xf numFmtId="0" fontId="7" fillId="20" borderId="26" xfId="0" applyNumberFormat="1" applyFont="1" applyFill="1" applyBorder="1" applyAlignment="1">
      <x:alignment vertical="top" wrapText="1"/>
    </x:xf>
    <x:xf numFmtId="0" fontId="5" fillId="21" borderId="15" xfId="0" applyNumberFormat="1" applyFont="1" applyFill="1" applyBorder="1" applyAlignment="1">
      <x:alignment horizontal="center" vertical="center" wrapText="1"/>
    </x:xf>
    <x:xf numFmtId="0" fontId="5" fillId="21" borderId="16" xfId="0" applyNumberFormat="1" applyFont="1" applyFill="1" applyBorder="1" applyAlignment="1">
      <x:alignment horizontal="center" vertical="center" wrapText="1"/>
    </x:xf>
    <x:xf numFmtId="0" fontId="5" fillId="21" borderId="17" xfId="0" applyNumberFormat="1" applyFont="1" applyFill="1" applyBorder="1" applyAlignment="1">
      <x:alignment horizontal="center" vertical="center" wrapText="1"/>
    </x:xf>
    <x:xf numFmtId="0" fontId="5" fillId="21" borderId="32" xfId="0" applyNumberFormat="1" applyFont="1" applyFill="1" applyBorder="1" applyAlignment="1">
      <x:alignment horizontal="center" vertical="center" wrapText="1"/>
    </x:xf>
    <x:xf numFmtId="0" fontId="5" fillId="21" borderId="33" xfId="0" applyNumberFormat="1" applyFont="1" applyFill="1" applyBorder="1" applyAlignment="1">
      <x:alignment horizontal="center" vertical="center" wrapText="1"/>
    </x:xf>
    <x:xf numFmtId="0" fontId="5" fillId="21" borderId="34" xfId="0" applyNumberFormat="1" applyFont="1" applyFill="1" applyBorder="1" applyAlignment="1">
      <x:alignment horizontal="center" vertical="center" wrapText="1"/>
    </x:xf>
    <x:xf numFmtId="0" fontId="7" fillId="18" borderId="3"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8" xfId="0" applyNumberFormat="1" applyFont="1" applyFill="1" applyBorder="1" applyAlignment="1">
      <x:alignment vertical="top" wrapText="1"/>
    </x:xf>
    <x:xf numFmtId="0" fontId="8" fillId="18" borderId="9" xfId="0" applyNumberFormat="1" applyFont="1" applyFill="1" applyBorder="1" applyAlignment="1">
      <x:alignment vertical="top" wrapText="1"/>
    </x:xf>
    <x:xf numFmtId="0" fontId="8" fillId="18" borderId="19" xfId="0" applyNumberFormat="1" applyFont="1" applyFill="1" applyBorder="1" applyAlignment="1">
      <x:alignment vertical="top" wrapText="1"/>
    </x:xf>
    <x:xf numFmtId="0" fontId="8" fillId="18" borderId="10"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7" fillId="18" borderId="35" xfId="0" applyNumberFormat="1" applyFont="1" applyFill="1" applyBorder="1" applyAlignment="1">
      <x:alignment vertical="top" wrapText="1"/>
    </x:xf>
    <x:xf numFmtId="0" fontId="7" fillId="18" borderId="36" xfId="0" applyNumberFormat="1" applyFont="1" applyFill="1" applyBorder="1" applyAlignment="1">
      <x:alignment vertical="top" wrapText="1"/>
    </x:xf>
    <x:xf numFmtId="0" fontId="7" fillId="18" borderId="37" xfId="0" applyNumberFormat="1" applyFont="1" applyFill="1" applyBorder="1" applyAlignment="1">
      <x:alignment vertical="top" wrapText="1"/>
    </x:xf>
    <x:xf numFmtId="0" fontId="8" fillId="18" borderId="38" xfId="0" applyNumberFormat="1" applyFont="1" applyFill="1" applyBorder="1" applyAlignment="1">
      <x:alignment vertical="top" wrapText="1"/>
    </x:xf>
    <x:xf numFmtId="0" fontId="8" fillId="18" borderId="39" xfId="0" applyNumberFormat="1" applyFont="1" applyFill="1" applyBorder="1" applyAlignment="1">
      <x:alignment vertical="top" wrapText="1"/>
    </x:xf>
    <x:xf numFmtId="0" fontId="8" fillId="18" borderId="40" xfId="0" applyNumberFormat="1" applyFont="1" applyFill="1" applyBorder="1" applyAlignment="1">
      <x:alignment vertical="top" wrapText="1"/>
    </x:xf>
    <x:xf numFmtId="0" fontId="8" fillId="18" borderId="41" xfId="0" applyNumberFormat="1" applyFont="1" applyFill="1" applyBorder="1" applyAlignment="1">
      <x:alignment vertical="top" wrapText="1"/>
    </x:xf>
    <x:xf numFmtId="0" fontId="8" fillId="18" borderId="38" xfId="0" applyNumberFormat="1" applyFont="1" applyFill="1" applyBorder="1"/>
    <x:xf numFmtId="0" fontId="8" fillId="18" xfId="0" applyNumberFormat="1" applyFont="1" applyFill="1" applyBorder="0"/>
    <x:xf numFmtId="0" fontId="8" fillId="18" borderId="39" xfId="0" applyNumberFormat="1" applyFont="1" applyFill="1" applyBorder="1"/>
    <x:xf numFmtId="0" fontId="8" fillId="18" borderId="42" xfId="0" applyNumberFormat="1" applyFont="1" applyFill="1" applyBorder="1"/>
    <x:xf numFmtId="0" fontId="8" fillId="18" borderId="43" xfId="0" applyNumberFormat="1" applyFont="1" applyFill="1" applyBorder="1"/>
    <x:xf numFmtId="0" fontId="8" fillId="18" borderId="44" xfId="0" applyNumberFormat="1" applyFont="1" applyFill="1" applyBorder="1"/>
    <x:xf numFmtId="0" fontId="8" fillId="18" borderId="38" xfId="0" applyNumberFormat="1" applyFont="1" applyFill="1" applyBorder="1" applyAlignment="1">
      <x:alignment wrapText="1"/>
    </x:xf>
    <x:xf numFmtId="0" fontId="8" fillId="18" xfId="0" applyNumberFormat="1" applyFont="1" applyFill="1" applyBorder="0" applyAlignment="1">
      <x:alignment wrapText="1"/>
    </x:xf>
    <x:xf numFmtId="0" fontId="8" fillId="18" borderId="39" xfId="0" applyNumberFormat="1" applyFont="1" applyFill="1" applyBorder="1" applyAlignment="1">
      <x:alignment wrapText="1"/>
    </x:xf>
    <x:xf numFmtId="0" fontId="8" fillId="18" borderId="42" xfId="0" applyNumberFormat="1" applyFont="1" applyFill="1" applyBorder="1" applyAlignment="1">
      <x:alignment wrapText="1"/>
    </x:xf>
    <x:xf numFmtId="0" fontId="8" fillId="18" borderId="43" xfId="0" applyNumberFormat="1" applyFont="1" applyFill="1" applyBorder="1" applyAlignment="1">
      <x:alignment wrapText="1"/>
    </x:xf>
    <x:xf numFmtId="0" fontId="8" fillId="18" borderId="44" xfId="0" applyNumberFormat="1" applyFont="1" applyFill="1" applyBorder="1" applyAlignment="1">
      <x:alignment wrapText="1"/>
    </x:xf>
    <x:xf numFmtId="0" fontId="8" fillId="18" borderId="42" xfId="0" applyNumberFormat="1" applyFont="1" applyFill="1" applyBorder="1" applyAlignment="1">
      <x:alignment vertical="top" wrapText="1"/>
    </x:xf>
    <x:xf numFmtId="0" fontId="8" fillId="18" borderId="43" xfId="0" applyNumberFormat="1" applyFont="1" applyFill="1" applyBorder="1" applyAlignment="1">
      <x:alignment vertical="top" wrapText="1"/>
    </x:xf>
    <x:xf numFmtId="0" fontId="8" fillId="18" borderId="44" xfId="0" applyNumberFormat="1" applyFont="1" applyFill="1" applyBorder="1" applyAlignment="1">
      <x:alignment vertical="top" wrapText="1"/>
    </x:xf>
    <x:xf numFmtId="0" fontId="7" fillId="22" borderId="35" xfId="0" applyNumberFormat="1" applyFont="1" applyFill="1" applyBorder="1" applyAlignment="1">
      <x:alignment vertical="top" wrapText="1"/>
    </x:xf>
    <x:xf numFmtId="0" fontId="7" fillId="22" borderId="36" xfId="0" applyNumberFormat="1" applyFont="1" applyFill="1" applyBorder="1" applyAlignment="1">
      <x:alignment vertical="top" wrapText="1"/>
    </x:xf>
    <x:xf numFmtId="0" fontId="7" fillId="22" borderId="24" xfId="0" applyNumberFormat="1" applyFont="1" applyFill="1" applyBorder="1" applyAlignment="1">
      <x:alignment vertical="top" wrapText="1"/>
    </x:xf>
    <x:xf numFmtId="0" fontId="7" fillId="22" borderId="37" xfId="0" applyNumberFormat="1" applyFont="1" applyFill="1" applyBorder="1" applyAlignment="1">
      <x:alignment vertical="top" wrapText="1"/>
    </x:xf>
    <x:xf numFmtId="0" fontId="7" fillId="22" borderId="2" xfId="0" applyNumberFormat="1" applyFont="1" applyFill="1" applyBorder="1" applyAlignment="1">
      <x:alignment vertical="top" wrapText="1"/>
    </x:xf>
    <x:xf numFmtId="0" fontId="7" fillId="22" borderId="26" xfId="0" applyNumberFormat="1" applyFont="1" applyFill="1" applyBorder="1" applyAlignment="1">
      <x:alignment vertical="top" wrapText="1"/>
    </x:xf>
    <x:xf numFmtId="0" fontId="7" fillId="20" borderId="37" xfId="0" applyNumberFormat="1" applyFont="1" applyFill="1" applyBorder="1" applyAlignment="1">
      <x:alignment vertical="top" wrapText="1"/>
    </x:xf>
    <x:xf numFmtId="0" fontId="7" fillId="20" borderId="2" xfId="0" applyNumberFormat="1" applyFont="1" applyFill="1" applyBorder="1" applyAlignment="1">
      <x:alignment vertical="top" wrapText="1"/>
    </x:xf>
    <x:xf numFmtId="0" fontId="8" fillId="22" borderId="38" xfId="0" applyNumberFormat="1" applyFont="1" applyFill="1" applyBorder="1" applyAlignment="1">
      <x:alignment vertical="top" wrapText="1"/>
    </x:xf>
    <x:xf numFmtId="0" fontId="8" fillId="22" xfId="0" applyNumberFormat="1" applyFont="1" applyFill="1" applyBorder="0" applyAlignment="1">
      <x:alignment vertical="top" wrapText="1"/>
    </x:xf>
    <x:xf numFmtId="0" fontId="8" fillId="22" borderId="39" xfId="0" applyNumberFormat="1" applyFont="1" applyFill="1" applyBorder="1" applyAlignment="1">
      <x:alignment vertical="top" wrapText="1"/>
    </x:xf>
    <x:xf numFmtId="0" fontId="0" fillId="23" borderId="0" xfId="0" applyNumberFormat="1" applyFont="1" applyFill="1" applyBorder="1"/>
    <x:xf numFmtId="0" fontId="11" fillId="23" borderId="0" xfId="0" applyNumberFormat="1" applyFont="1" applyFill="1" applyBorder="1"/>
    <x:xf numFmtId="0" fontId="11" fillId="23" borderId="32" xfId="0" applyNumberFormat="1" applyFont="1" applyFill="1" applyBorder="1"/>
    <x:xf numFmtId="0" fontId="11" fillId="23" borderId="33" xfId="0" applyNumberFormat="1" applyFont="1" applyFill="1" applyBorder="1"/>
    <x:xf numFmtId="0" fontId="11" fillId="23" borderId="34" xfId="0" applyNumberFormat="1" applyFont="1" applyFill="1" applyBorder="1"/>
    <x:xf numFmtId="0" fontId="11" fillId="23" borderId="32" xfId="0" applyNumberFormat="1" applyFont="1" applyFill="1" applyBorder="1" applyAlignment="1">
      <x:alignment wrapText="1"/>
    </x:xf>
    <x:xf numFmtId="0" fontId="11" fillId="23" borderId="33" xfId="0" applyNumberFormat="1" applyFont="1" applyFill="1" applyBorder="1" applyAlignment="1">
      <x:alignment wrapText="1"/>
    </x:xf>
    <x:xf numFmtId="0" fontId="11" fillId="23" borderId="34" xfId="0" applyNumberFormat="1" applyFont="1" applyFill="1" applyBorder="1" applyAlignment="1">
      <x:alignment wrapText="1"/>
    </x:xf>
    <x:xf numFmtId="0" fontId="11" fillId="23" borderId="32" xfId="0" applyNumberFormat="1" applyFont="1" applyFill="1" applyBorder="1" applyAlignment="1">
      <x:alignment horizontal="center" wrapText="1"/>
    </x:xf>
    <x:xf numFmtId="0" fontId="11" fillId="23" borderId="33" xfId="0" applyNumberFormat="1" applyFont="1" applyFill="1" applyBorder="1" applyAlignment="1">
      <x:alignment horizontal="center" wrapText="1"/>
    </x:xf>
    <x:xf numFmtId="0" fontId="11" fillId="23" borderId="34" xfId="0" applyNumberFormat="1" applyFont="1" applyFill="1" applyBorder="1" applyAlignment="1">
      <x:alignment horizontal="center" wrapText="1"/>
    </x:xf>
    <x:xf numFmtId="0" fontId="11" fillId="23" borderId="32" xfId="0" applyNumberFormat="1" applyFont="1" applyFill="1" applyBorder="1" applyAlignment="1">
      <x:alignment horizontal="center" vertical="center" wrapText="1"/>
    </x:xf>
    <x:xf numFmtId="0" fontId="11" fillId="23" borderId="33" xfId="0" applyNumberFormat="1" applyFont="1" applyFill="1" applyBorder="1" applyAlignment="1">
      <x:alignment horizontal="center" vertical="center" wrapText="1"/>
    </x:xf>
    <x:xf numFmtId="0" fontId="11" fillId="23" borderId="34" xfId="0" applyNumberFormat="1" applyFont="1" applyFill="1" applyBorder="1" applyAlignment="1">
      <x:alignment horizontal="center" vertical="center" wrapText="1"/>
    </x:xf>
    <x:xf numFmtId="0" fontId="8" fillId="18" borderId="45" xfId="0" applyNumberFormat="1" applyFont="1" applyFill="1" applyBorder="1"/>
    <x:xf numFmtId="0" fontId="8" fillId="18" borderId="46" xfId="0" applyNumberFormat="1" applyFont="1" applyFill="1" applyBorder="1"/>
    <x:xf numFmtId="0" fontId="8" fillId="18" borderId="47" xfId="0" applyNumberFormat="1" applyFont="1" applyFill="1" applyBorder="1"/>
    <x:xf numFmtId="0" fontId="8" fillId="18" borderId="45" xfId="0" applyNumberFormat="1" applyFont="1" applyFill="1" applyBorder="1" applyAlignment="1">
      <x:alignment wrapText="1"/>
    </x:xf>
    <x:xf numFmtId="0" fontId="8" fillId="18" borderId="46" xfId="0" applyNumberFormat="1" applyFont="1" applyFill="1" applyBorder="1" applyAlignment="1">
      <x:alignment wrapText="1"/>
    </x:xf>
    <x:xf numFmtId="0" fontId="8" fillId="18" borderId="47" xfId="0" applyNumberFormat="1" applyFont="1" applyFill="1" applyBorder="1" applyAlignment="1">
      <x:alignment wrapText="1"/>
    </x:xf>
    <x:xf numFmtId="0" fontId="8" fillId="18" borderId="45" xfId="0" applyNumberFormat="1" applyFont="1" applyFill="1" applyBorder="1" applyAlignment="1">
      <x:alignment vertical="top" wrapText="1"/>
    </x:xf>
    <x:xf numFmtId="0" fontId="8" fillId="18" borderId="46" xfId="0" applyNumberFormat="1" applyFont="1" applyFill="1" applyBorder="1" applyAlignment="1">
      <x:alignment vertical="top" wrapText="1"/>
    </x:xf>
    <x:xf numFmtId="0" fontId="8" fillId="18" borderId="47" xfId="0" applyNumberFormat="1" applyFont="1" applyFill="1" applyBorder="1" applyAlignment="1">
      <x:alignment vertical="top" wrapText="1"/>
    </x:xf>
    <x:xf numFmtId="0" fontId="8" fillId="24" borderId="45" xfId="0" applyNumberFormat="1" applyFont="1" applyFill="1" applyBorder="1" applyAlignment="1">
      <x:alignment vertical="top" wrapText="1"/>
    </x:xf>
    <x:xf numFmtId="0" fontId="8" fillId="24" borderId="46" xfId="0" applyNumberFormat="1" applyFont="1" applyFill="1" applyBorder="1" applyAlignment="1">
      <x:alignment vertical="top" wrapText="1"/>
    </x:xf>
    <x:xf numFmtId="0" fontId="8" fillId="24" borderId="47" xfId="0" applyNumberFormat="1" applyFont="1" applyFill="1" applyBorder="1" applyAlignment="1">
      <x:alignment vertical="top" wrapText="1"/>
    </x:xf>
    <x:xf numFmtId="0" fontId="8" fillId="24" borderId="3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39" xfId="0" applyNumberFormat="1" applyFont="1" applyFill="1" applyBorder="1" applyAlignment="1">
      <x:alignment vertical="top" wrapText="1"/>
    </x:xf>
    <x:xf numFmtId="0" fontId="8" fillId="24" borderId="42" xfId="0" applyNumberFormat="1" applyFont="1" applyFill="1" applyBorder="1" applyAlignment="1">
      <x:alignment vertical="top" wrapText="1"/>
    </x:xf>
    <x:xf numFmtId="0" fontId="8" fillId="24" borderId="43" xfId="0" applyNumberFormat="1" applyFont="1" applyFill="1" applyBorder="1" applyAlignment="1">
      <x:alignment vertical="top" wrapText="1"/>
    </x:xf>
    <x:xf numFmtId="0" fontId="8" fillId="24" borderId="44" xfId="0" applyNumberFormat="1" applyFont="1" applyFill="1" applyBorder="1" applyAlignment="1">
      <x:alignment vertical="top" wrapText="1"/>
    </x:xf>
    <x:xf numFmtId="0" fontId="0" fillId="17" borderId="0" xfId="0" applyNumberFormat="1" applyFont="1" applyFill="1" applyBorder="1"/>
    <x:xf numFmtId="0" fontId="11" fillId="17" borderId="0" xfId="0" applyNumberFormat="1" applyFont="1" applyFill="1" applyBorder="1"/>
    <x:xf numFmtId="0" fontId="11" fillId="17" borderId="32" xfId="0" applyNumberFormat="1" applyFont="1" applyFill="1" applyBorder="1"/>
    <x:xf numFmtId="0" fontId="11" fillId="17" borderId="33" xfId="0" applyNumberFormat="1" applyFont="1" applyFill="1" applyBorder="1"/>
    <x:xf numFmtId="0" fontId="11" fillId="17" borderId="34" xfId="0" applyNumberFormat="1" applyFont="1" applyFill="1" applyBorder="1"/>
    <x:xf numFmtId="0" fontId="11" fillId="17" borderId="32" xfId="0" applyNumberFormat="1" applyFont="1" applyFill="1" applyBorder="1" applyAlignment="1">
      <x:alignment wrapText="1"/>
    </x:xf>
    <x:xf numFmtId="0" fontId="11" fillId="17" borderId="33" xfId="0" applyNumberFormat="1" applyFont="1" applyFill="1" applyBorder="1" applyAlignment="1">
      <x:alignment wrapText="1"/>
    </x:xf>
    <x:xf numFmtId="0" fontId="11" fillId="17" borderId="34" xfId="0" applyNumberFormat="1" applyFont="1" applyFill="1" applyBorder="1" applyAlignment="1">
      <x:alignment wrapText="1"/>
    </x:xf>
    <x:xf numFmtId="0" fontId="11" fillId="17" borderId="32" xfId="0" applyNumberFormat="1" applyFont="1" applyFill="1" applyBorder="1" applyAlignment="1">
      <x:alignment horizontal="center" wrapText="1"/>
    </x:xf>
    <x:xf numFmtId="0" fontId="11" fillId="17" borderId="33" xfId="0" applyNumberFormat="1" applyFont="1" applyFill="1" applyBorder="1" applyAlignment="1">
      <x:alignment horizontal="center" wrapText="1"/>
    </x:xf>
    <x:xf numFmtId="0" fontId="11" fillId="17" borderId="34" xfId="0" applyNumberFormat="1" applyFont="1" applyFill="1" applyBorder="1" applyAlignment="1">
      <x:alignment horizontal="center" wrapText="1"/>
    </x:xf>
    <x:xf numFmtId="0" fontId="11" fillId="17" borderId="32" xfId="0" applyNumberFormat="1" applyFont="1" applyFill="1" applyBorder="1" applyAlignment="1">
      <x:alignment horizontal="center" vertical="center" wrapText="1"/>
    </x:xf>
    <x:xf numFmtId="0" fontId="11" fillId="17" borderId="33" xfId="0" applyNumberFormat="1" applyFont="1" applyFill="1" applyBorder="1" applyAlignment="1">
      <x:alignment horizontal="center" vertical="center" wrapText="1"/>
    </x:xf>
    <x:xf numFmtId="0" fontId="11" fillId="17" borderId="34" xfId="0" applyNumberFormat="1" applyFont="1" applyFill="1" applyBorder="1" applyAlignment="1">
      <x:alignment horizontal="center" vertical="center" wrapText="1"/>
    </x:xf>
    <x:xf numFmtId="0" fontId="8" fillId="19" borderId="45" xfId="0" applyNumberFormat="1" applyFont="1" applyFill="1" applyBorder="1" applyAlignment="1">
      <x:alignment vertical="top" wrapText="1"/>
    </x:xf>
    <x:xf numFmtId="0" fontId="8" fillId="19" borderId="46" xfId="0" applyNumberFormat="1" applyFont="1" applyFill="1" applyBorder="1" applyAlignment="1">
      <x:alignment vertical="top" wrapText="1"/>
    </x:xf>
    <x:xf numFmtId="0" fontId="8" fillId="19" borderId="47" xfId="0" applyNumberFormat="1" applyFont="1" applyFill="1" applyBorder="1" applyAlignment="1">
      <x:alignment vertical="top" wrapText="1"/>
    </x:xf>
    <x:xf numFmtId="0" fontId="8" fillId="19" borderId="38"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39" xfId="0" applyNumberFormat="1" applyFont="1" applyFill="1" applyBorder="1" applyAlignment="1">
      <x:alignment vertical="top" wrapText="1"/>
    </x:xf>
    <x:xf numFmtId="0" fontId="8" fillId="19" borderId="42" xfId="0" applyNumberFormat="1" applyFont="1" applyFill="1" applyBorder="1" applyAlignment="1">
      <x:alignment vertical="top" wrapText="1"/>
    </x:xf>
    <x:xf numFmtId="0" fontId="8" fillId="19" borderId="43" xfId="0" applyNumberFormat="1" applyFont="1" applyFill="1" applyBorder="1" applyAlignment="1">
      <x:alignment vertical="top" wrapText="1"/>
    </x:xf>
    <x:xf numFmtId="0" fontId="8" fillId="19" borderId="44"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vertical="center"/>
    </x:xf>
    <x:xf numFmtId="201" fontId="8" fillId="18" borderId="46" xfId="0" applyNumberFormat="1" applyFont="1" applyFill="1" applyBorder="1" applyAlignment="1">
      <x:alignment vertical="top" wrapText="1"/>
    </x:xf>
    <x:xf numFmtId="0" fontId="0" fillId="21" borderId="0" xfId="0" applyNumberFormat="1" applyFont="1" applyFill="1" applyBorder="1"/>
    <x:xf numFmtId="0" fontId="11" fillId="21" borderId="0" xfId="0" applyNumberFormat="1" applyFont="1" applyFill="1" applyBorder="1"/>
    <x:xf numFmtId="0" fontId="11" fillId="21" borderId="32" xfId="0" applyNumberFormat="1" applyFont="1" applyFill="1" applyBorder="1"/>
    <x:xf numFmtId="0" fontId="11" fillId="21" borderId="33" xfId="0" applyNumberFormat="1" applyFont="1" applyFill="1" applyBorder="1"/>
    <x:xf numFmtId="0" fontId="11" fillId="21" borderId="34" xfId="0" applyNumberFormat="1" applyFont="1" applyFill="1" applyBorder="1"/>
    <x:xf numFmtId="0" fontId="11" fillId="21" borderId="32" xfId="0" applyNumberFormat="1" applyFont="1" applyFill="1" applyBorder="1" applyAlignment="1">
      <x:alignment wrapText="1"/>
    </x:xf>
    <x:xf numFmtId="0" fontId="11" fillId="21" borderId="33" xfId="0" applyNumberFormat="1" applyFont="1" applyFill="1" applyBorder="1" applyAlignment="1">
      <x:alignment wrapText="1"/>
    </x:xf>
    <x:xf numFmtId="0" fontId="11" fillId="21" borderId="34" xfId="0" applyNumberFormat="1" applyFont="1" applyFill="1" applyBorder="1" applyAlignment="1">
      <x:alignment wrapText="1"/>
    </x:xf>
    <x:xf numFmtId="0" fontId="11" fillId="21" borderId="32" xfId="0" applyNumberFormat="1" applyFont="1" applyFill="1" applyBorder="1" applyAlignment="1">
      <x:alignment horizontal="center" wrapText="1"/>
    </x:xf>
    <x:xf numFmtId="0" fontId="11" fillId="21" borderId="33" xfId="0" applyNumberFormat="1" applyFont="1" applyFill="1" applyBorder="1" applyAlignment="1">
      <x:alignment horizontal="center" wrapText="1"/>
    </x:xf>
    <x:xf numFmtId="0" fontId="11" fillId="21" borderId="34" xfId="0" applyNumberFormat="1" applyFont="1" applyFill="1" applyBorder="1" applyAlignment="1">
      <x:alignment horizontal="center" wrapText="1"/>
    </x:xf>
    <x:xf numFmtId="0" fontId="11" fillId="21" borderId="32" xfId="0" applyNumberFormat="1" applyFont="1" applyFill="1" applyBorder="1" applyAlignment="1">
      <x:alignment horizontal="center" vertical="center" wrapText="1"/>
    </x:xf>
    <x:xf numFmtId="0" fontId="11" fillId="21" borderId="33" xfId="0" applyNumberFormat="1" applyFont="1" applyFill="1" applyBorder="1" applyAlignment="1">
      <x:alignment horizontal="center" vertical="center" wrapText="1"/>
    </x:xf>
    <x:xf numFmtId="0" fontId="11" fillId="21" borderId="3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1e2a8769d842b7" /><Relationship Type="http://schemas.openxmlformats.org/officeDocument/2006/relationships/theme" Target="/xl/theme/theme1.xml" Id="R39d20741527d4059" /><Relationship Type="http://schemas.openxmlformats.org/officeDocument/2006/relationships/sharedStrings" Target="/xl/sharedStrings.xml" Id="R9bb67a576fd746fc" /><Relationship Type="http://schemas.openxmlformats.org/officeDocument/2006/relationships/worksheet" Target="/xl/worksheets/sheet1.xml" Id="R3efc0fa2da804659" /><Relationship Type="http://schemas.openxmlformats.org/officeDocument/2006/relationships/worksheet" Target="/xl/worksheets/sheet2.xml" Id="R4c223fe6beec45bc" /><Relationship Type="http://schemas.openxmlformats.org/officeDocument/2006/relationships/worksheet" Target="/xl/worksheets/sheet3.xml" Id="R744e65bdfb474ff3" /><Relationship Type="http://schemas.openxmlformats.org/officeDocument/2006/relationships/worksheet" Target="/xl/worksheets/sheet4.xml" Id="Rda40f324a94b49ee" /><Relationship Type="http://schemas.openxmlformats.org/officeDocument/2006/relationships/worksheet" Target="/xl/worksheets/sheet5.xml" Id="R2d42a08fd4794462" /><Relationship Type="http://schemas.openxmlformats.org/officeDocument/2006/relationships/worksheet" Target="/xl/worksheets/sheet6.xml" Id="R5c04d2978f0a460b" /><Relationship Type="http://schemas.openxmlformats.org/officeDocument/2006/relationships/worksheet" Target="/xl/worksheets/sheet7.xml" Id="Rb793322feeac40e4" /><Relationship Type="http://schemas.openxmlformats.org/officeDocument/2006/relationships/worksheet" Target="/xl/worksheets/sheet8.xml" Id="R4ef7ac896f364aab" /><Relationship Type="http://schemas.openxmlformats.org/officeDocument/2006/relationships/worksheet" Target="/xl/worksheets/sheet9.xml" Id="Re1f0d7b99e27438c" /><Relationship Type="http://schemas.openxmlformats.org/officeDocument/2006/relationships/worksheet" Target="/xl/worksheets/sheet10.xml" Id="R647debe313784d61" /><Relationship Type="http://schemas.openxmlformats.org/officeDocument/2006/relationships/worksheet" Target="/xl/worksheets/sheet11.xml" Id="R1742322bf6584b57" /><Relationship Type="http://schemas.openxmlformats.org/officeDocument/2006/relationships/worksheet" Target="/xl/worksheets/sheet12.xml" Id="R2748a8c59fd54f36" /><Relationship Type="http://schemas.openxmlformats.org/officeDocument/2006/relationships/worksheet" Target="/xl/worksheets/sheet13.xml" Id="R132d97a4365642ec" /><Relationship Type="http://schemas.openxmlformats.org/officeDocument/2006/relationships/worksheet" Target="/xl/worksheets/sheet14.xml" Id="R30334fb1d8334bc7" /><Relationship Type="http://schemas.openxmlformats.org/officeDocument/2006/relationships/worksheet" Target="/xl/worksheets/sheet15.xml" Id="Rc32e53b2353e4eea" /><Relationship Type="http://schemas.openxmlformats.org/officeDocument/2006/relationships/worksheet" Target="/xl/worksheets/sheet16.xml" Id="R9036547be23b4653" /><Relationship Type="http://schemas.openxmlformats.org/officeDocument/2006/relationships/worksheet" Target="/xl/worksheets/sheet17.xml" Id="R39d9e187212c440e" /></Relationships>
</file>

<file path=xl/tables/table1.xml><?xml version="1.0" encoding="utf-8"?>
<x:table xmlns:x="http://schemas.openxmlformats.org/spreadsheetml/2006/main" id="16" name="FinalUniqueCatalog20260811" displayName="FinalUniqueCatalog20260811" ref="A1:U557"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 name="ExcludedItems" displayName="ExcludedItems" ref="A1:G127" headerRowCount="1" totalsRowCount="0" totalsRowShown="0">
  <x:tableColumns count="7">
    <x:tableColumn id="1" name="原条目"/>
    <x:tableColumn id="2" name="合并别名"/>
    <x:tableColumn id="3" name="处理结果"/>
    <x:tableColumn id="4" name="稳定标识"/>
    <x:tableColumn id="5" name="排除原因"/>
    <x:tableColumn id="6" name="原链接"/>
    <x:tableColumn id="7" name="任务"/>
  </x:tableColumns>
  <x:tableStyleInfo name="TableStyleMedium2" showFirstColumn="0" showLastColumn="0" showRowStripes="1" showColumnStripes="0"/>
</x:table>
</file>

<file path=xl/tables/table3.xml><?xml version="1.0" encoding="utf-8"?>
<x:table xmlns:x="http://schemas.openxmlformats.org/spreadsheetml/2006/main" id="3" name="DuplicateMappings" displayName="DuplicateMappings" ref="A1:H46" headerRowCount="1" totalsRowCount="0" totalsRowShown="0">
  <x:tableColumns count="8">
    <x:tableColumn id="1" name="Canonical ID"/>
    <x:tableColumn id="2" name="Canonical dataset"/>
    <x:tableColumn id="3" name="Removed ID"/>
    <x:tableColumn id="4" name="Removed dataset"/>
    <x:tableColumn id="5" name="Evidence key"/>
    <x:tableColumn id="6" name="Evidence level"/>
    <x:tableColumn id="7" name="Decision"/>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DuplicateCandidates" displayName="DuplicateCandidates" ref="A1:F8" headerRowCount="1" totalsRowCount="0" totalsRowShown="0">
  <x:tableColumns count="6">
    <x:tableColumn id="1" name="Review group"/>
    <x:tableColumn id="2" name="List IDs"/>
    <x:tableColumn id="3" name="Decision"/>
    <x:tableColumn id="4" name="Canonical/result"/>
    <x:tableColumn id="5" name="Evidence"/>
    <x:tableColumn id="6" name="Notes"/>
  </x:tableColumns>
  <x:tableStyleInfo name="TableStyleMedium2" showFirstColumn="0" showLastColumn="0" showRowStripes="1" showColumnStripes="0"/>
</x:table>
</file>

<file path=xl/tables/table5.xml><?xml version="1.0" encoding="utf-8"?>
<x:table xmlns:x="http://schemas.openxmlformats.org/spreadsheetml/2006/main" id="5" name="TuhCorpusMap" displayName="TuhCorpusMap" ref="A1:K8" headerRowCount="1" totalsRowCount="0" totalsRowShown="0">
  <x:tableColumns count="11">
    <x:tableColumn id="1" name="List ID"/>
    <x:tableColumn id="2" name="Corpus"/>
    <x:tableColumn id="3" name="Current official version"/>
    <x:tableColumn id="4" name="Official rsync path"/>
    <x:tableColumn id="5" name="Relationship to TUEG"/>
    <x:tableColumn id="6" name="Subjects/records"/>
    <x:tableColumn id="7" name="Duration/size"/>
    <x:tableColumn id="8" name="Task/annotation"/>
    <x:tableColumn id="9" name="Download status"/>
    <x:tableColumn id="10" name="Counting rule"/>
    <x:tableColumn id="11" name="Official landing page"/>
  </x:tableColumns>
  <x:tableStyleInfo name="TableStyleMedium2" showFirstColumn="0" showLastColumn="0" showRowStripes="1" showColumnStripes="0"/>
</x:table>
</file>

<file path=xl/tables/table6.xml><?xml version="1.0" encoding="utf-8"?>
<x:table xmlns:x="http://schemas.openxmlformats.org/spreadsheetml/2006/main" id="6" name="FolderArchitecture" displayName="FolderArchitecture" ref="A1:F36" headerRowCount="1" totalsRowCount="0" totalsRowShown="0">
  <x:tableColumns count="6">
    <x:tableColumn id="1" name="Level"/>
    <x:tableColumn id="2" name="Directory name"/>
    <x:tableColumn id="3" name="Paper name"/>
    <x:tableColumn id="4" name="Parent directory"/>
    <x:tableColumn id="5" name="Unique download units"/>
    <x:tableColumn id="6" name="Purpose"/>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F9"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ables/table8.xml><?xml version="1.0" encoding="utf-8"?>
<x:table xmlns:x="http://schemas.openxmlformats.org/spreadsheetml/2006/main" id="8" name="OriginalDuplicateEvidence" displayName="OriginalDuplicateEvidence" ref="A1:D126" headerRowCount="1" totalsRowCount="0" totalsRowShown="0">
  <x:tableColumns count="4">
    <x:tableColumn id="1" name="规范名称"/>
    <x:tableColumn id="2" name="原始条目名称"/>
    <x:tableColumn id="3" name="稳定标识"/>
    <x:tableColumn id="4" name="合并依据"/>
  </x:tableColumns>
  <x:tableStyleInfo name="TableStyleMedium2" showFirstColumn="0" showLastColumn="0" showRowStripes="1" showColumnStripes="0"/>
</x:table>
</file>

<file path=xl/tables/table9.xml><?xml version="1.0" encoding="utf-8"?>
<x:table xmlns:x="http://schemas.openxmlformats.org/spreadsheetml/2006/main" id="12" name="ClassificationRules" displayName="ClassificationRules" ref="A1:D8" headerRowCount="1" totalsRowCount="0" totalsRowShown="0">
  <x:tableColumns count="4">
    <x:tableColumn id="1" name="类别/问题"/>
    <x:tableColumn id="2" name="纳入逻辑"/>
    <x:tableColumn id="3" name="例子"/>
    <x:tableColumn id="4" name="边界与例外"/>
  </x:tableColumns>
  <x:tableStyleInfo name="TableStyleMedium2" showFirstColumn="0" showLastColumn="0" showRowStripes="1" showColumnStripes="0"/>
</x:table>
</file>

<file path=xl/tables/table10.xml><?xml version="1.0" encoding="utf-8"?>
<x:table xmlns:x="http://schemas.openxmlformats.org/spreadsheetml/2006/main" id="13" name="ClassificationChangeLog" displayName="ClassificationChangeLog" ref="A1:E150" headerRowCount="1" totalsRowCount="0" totalsRowShown="0">
  <x:tableColumns count="5">
    <x:tableColumn id="1" name="ID"/>
    <x:tableColumn id="2" name="字段"/>
    <x:tableColumn id="3" name="修订后值"/>
    <x:tableColumn id="4" name="原因"/>
    <x:tableColumn id="5" name="证据"/>
  </x:tableColumns>
  <x:tableStyleInfo name="TableStyleMedium2" showFirstColumn="0" showLastColumn="0" showRowStripes="1" showColumnStripes="0"/>
</x:table>
</file>

<file path=xl/tables/table11.xml><?xml version="1.0" encoding="utf-8"?>
<x:table xmlns:x="http://schemas.openxmlformats.org/spreadsheetml/2006/main" id="14" name="DownloadedAuditDetail" displayName="DownloadedAuditDetail" ref="A16:I80" headerRowCount="1" totalsRowCount="0" totalsRowShown="0">
  <x:tableColumns count="9">
    <x:tableColumn id="1" name="ID"/>
    <x:tableColumn id="2" name="队列属性"/>
    <x:tableColumn id="3" name="数据集"/>
    <x:tableColumn id="4" name="计入 raw 总量"/>
    <x:tableColumn id="5" name="受试者行计数"/>
    <x:tableColumn id="6" name="直接观察人数"/>
    <x:tableColumn id="7" name="raw 时长(h)"/>
    <x:tableColumn id="8" name="时长证据"/>
    <x:tableColumn id="9" name="下载复核说明"/>
  </x:tableColumns>
  <x:tableStyleInfo name="TableStyleMedium2" showFirstColumn="0" showLastColumn="0" showRowStripes="1" showColumnStripes="0"/>
</x:table>
</file>

<file path=xl/tables/table12.xml><?xml version="1.0" encoding="utf-8"?>
<x:table xmlns:x="http://schemas.openxmlformats.org/spreadsheetml/2006/main" id="15" name="EvidenceSources" displayName="EvidenceSources" ref="A1:C20" headerRowCount="1" totalsRowCount="0" totalsRowShown="0">
  <x:tableColumns count="3">
    <x:tableColumn id="1" name="来源"/>
    <x:tableColumn id="2" name="URL"/>
    <x:tableColumn id="3" name="支持的结论"/>
  </x:tableColumns>
  <x:tableStyleInfo name="TableStyleMedium2" showFirstColumn="0" showLastColumn="0" showRowStripes="1" showColumnStripes="0"/>
</x:table>
</file>

<file path=xl/tables/table13.xml><?xml version="1.0" encoding="utf-8"?>
<x:table xmlns:x="http://schemas.openxmlformats.org/spreadsheetml/2006/main" id="17" name="HealthcareFocus20260811" displayName="HealthcareFocus20260811" ref="A1:N147" headerRowCount="1" totalsRowCount="0" totalsRowShown="0">
  <x:tableColumns count="14">
    <x:tableColumn id="1" name="ID"/>
    <x:tableColumn id="2" name="队列属性"/>
    <x:tableColumn id="3" name="二级分类"/>
    <x:tableColumn id="4" name="数据集"/>
    <x:tableColumn id="5" name="任务"/>
    <x:tableColumn id="6" name="受试者口径"/>
    <x:tableColumn id="7" name="受试者数"/>
    <x:tableColumn id="8" name="当前 raw EEG 时长(h)"/>
    <x:tableColumn id="9" name="文献/最佳可用时长(h)"/>
    <x:tableColumn id="10" name="当前下载复核"/>
    <x:tableColumn id="11" name="访问"/>
    <x:tableColumn id="12" name="入口"/>
    <x:tableColumn id="13" name="稳定标识"/>
    <x:tableColumn id="14" name="新增"/>
  </x:tableColumns>
  <x:tableStyleInfo name="TableStyleMedium2" showFirstColumn="0" showLastColumn="0" showRowStripes="1" showColumnStripes="0"/>
</x:table>
</file>

<file path=xl/tables/table14.xml><?xml version="1.0" encoding="utf-8"?>
<x:table xmlns:x="http://schemas.openxmlformats.org/spreadsheetml/2006/main" id="18" name="NewDatasets20260811" displayName="NewDatasets20260811" ref="A1:U20"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15.xml><?xml version="1.0" encoding="utf-8"?>
<x:table xmlns:x="http://schemas.openxmlformats.org/spreadsheetml/2006/main" id="19" name="CategoryStatistics20260811" displayName="CategoryStatistics20260811" ref="A1:E52" headerRowCount="1" totalsRowCount="0" totalsRowShown="0">
  <x:tableColumns count="5">
    <x:tableColumn id="1" name="大类代码"/>
    <x:tableColumn id="2" name="大类"/>
    <x:tableColumn id="3" name="大类数量"/>
    <x:tableColumn id="4" name="小类"/>
    <x:tableColumn id="5" name="小类数量"/>
  </x:tableColumns>
  <x:tableStyleInfo name="TableStyleMedium2" showFirstColumn="0" showLastColumn="0" showRowStripes="1" showColumnStripes="0"/>
</x:table>
</file>

<file path=xl/tables/table16.xml><?xml version="1.0" encoding="utf-8"?>
<x:table xmlns:x="http://schemas.openxmlformats.org/spreadsheetml/2006/main" id="20" name="REVEComposition" displayName="REVEComposition" ref="A9:D14" headerRowCount="1" totalsRowCount="0" totalsRowShown="0">
  <x:tableColumns count="4">
    <x:tableColumn id="1" name="平台"/>
    <x:tableColumn id="2" name="数据集数"/>
    <x:tableColumn id="3" name="受试者"/>
    <x:tableColumn id="4" name="小时"/>
  </x:tableColumns>
  <x:tableStyleInfo name="TableStyleMedium2" showFirstColumn="0" showLastColumn="0" showRowStripes="1" showColumnStripes="0"/>
</x:table>
</file>

<file path=xl/tables/table17.xml><?xml version="1.0" encoding="utf-8"?>
<x:table xmlns:x="http://schemas.openxmlformats.org/spreadsheetml/2006/main" id="21" name="REVEAppendixCoverage" displayName="REVEAppendixCoverage" ref="A24:D113" headerRowCount="1" totalsRowCount="0" totalsRowShown="0">
  <x:tableColumns count="4">
    <x:tableColumn id="1" name="平台"/>
    <x:tableColumn id="2" name="Appendix B 来源"/>
    <x:tableColumn id="3" name="覆盖"/>
    <x:tableColumn id="4" name="目录匹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cc9c52d47c4b12" /></Relationships>
</file>

<file path=xl/worksheets/_rels/sheet3.xml.rels>&#65279;<?xml version="1.0" encoding="utf-8"?><Relationships xmlns="http://schemas.openxmlformats.org/package/2006/relationships"><Relationship Type="http://schemas.openxmlformats.org/officeDocument/2006/relationships/table" Target="/xl/tables/table2.xml" Id="Rbb35d29b64f74a43" /></Relationships>
</file>

<file path=xl/worksheets/_rels/sheet4.xml.rels>&#65279;<?xml version="1.0" encoding="utf-8"?><Relationships xmlns="http://schemas.openxmlformats.org/package/2006/relationships"><Relationship Type="http://schemas.openxmlformats.org/officeDocument/2006/relationships/table" Target="/xl/tables/table3.xml" Id="Rd0911a4ef8d04a04" /></Relationships>
</file>

<file path=xl/worksheets/_rels/sheet5.xml.rels>&#65279;<?xml version="1.0" encoding="utf-8"?><Relationships xmlns="http://schemas.openxmlformats.org/package/2006/relationships"><Relationship Type="http://schemas.openxmlformats.org/officeDocument/2006/relationships/table" Target="/xl/tables/table4.xml" Id="R63ea3a0efe29498c" /></Relationships>
</file>

<file path=xl/worksheets/_rels/sheet6.xml.rels>&#65279;<?xml version="1.0" encoding="utf-8"?><Relationships xmlns="http://schemas.openxmlformats.org/package/2006/relationships"><Relationship Type="http://schemas.openxmlformats.org/officeDocument/2006/relationships/table" Target="/xl/tables/table5.xml" Id="R96b6ef7fc3d648ad" /></Relationships>
</file>

<file path=xl/worksheets/_rels/sheet7.xml.rels>&#65279;<?xml version="1.0" encoding="utf-8"?><Relationships xmlns="http://schemas.openxmlformats.org/package/2006/relationships"><Relationship Type="http://schemas.openxmlformats.org/officeDocument/2006/relationships/table" Target="/xl/tables/table6.xml" Id="Rf40f7e29c03944d2" /></Relationships>
</file>

<file path=xl/worksheets/_rels/sheet8.xml.rels>&#65279;<?xml version="1.0" encoding="utf-8"?><Relationships xmlns="http://schemas.openxmlformats.org/package/2006/relationships"><Relationship Type="http://schemas.openxmlformats.org/officeDocument/2006/relationships/table" Target="/xl/tables/table7.xml" Id="R4ccbc87ed7044e4a" /></Relationships>
</file>

<file path=xl/worksheets/_rels/sheet9.xml.rels>&#65279;<?xml version="1.0" encoding="utf-8"?><Relationships xmlns="http://schemas.openxmlformats.org/package/2006/relationships"><Relationship Type="http://schemas.openxmlformats.org/officeDocument/2006/relationships/table" Target="/xl/tables/table8.xml" Id="Rbe825e6384194f7f" /></Relationships>
</file>

<file path=xl/worksheets/_rels/sheet10.xml.rels>&#65279;<?xml version="1.0" encoding="utf-8"?><Relationships xmlns="http://schemas.openxmlformats.org/package/2006/relationships"><Relationship Type="http://schemas.openxmlformats.org/officeDocument/2006/relationships/table" Target="/xl/tables/table9.xml" Id="Refddd45b7e624f97" /></Relationships>
</file>

<file path=xl/worksheets/_rels/sheet11.xml.rels>&#65279;<?xml version="1.0" encoding="utf-8"?><Relationships xmlns="http://schemas.openxmlformats.org/package/2006/relationships"><Relationship Type="http://schemas.openxmlformats.org/officeDocument/2006/relationships/table" Target="/xl/tables/table10.xml" Id="R5c70153de447469b" /></Relationships>
</file>

<file path=xl/worksheets/_rels/sheet12.xml.rels>&#65279;<?xml version="1.0" encoding="utf-8"?><Relationships xmlns="http://schemas.openxmlformats.org/package/2006/relationships"><Relationship Type="http://schemas.openxmlformats.org/officeDocument/2006/relationships/table" Target="/xl/tables/table11.xml" Id="R919f1892253848ee" /></Relationships>
</file>

<file path=xl/worksheets/_rels/sheet13.xml.rels>&#65279;<?xml version="1.0" encoding="utf-8"?><Relationships xmlns="http://schemas.openxmlformats.org/package/2006/relationships"><Relationship Type="http://schemas.openxmlformats.org/officeDocument/2006/relationships/table" Target="/xl/tables/table12.xml" Id="Ra96d73ebcea74674" /></Relationships>
</file>

<file path=xl/worksheets/_rels/sheet14.xml.rels>&#65279;<?xml version="1.0" encoding="utf-8"?><Relationships xmlns="http://schemas.openxmlformats.org/package/2006/relationships"><Relationship Type="http://schemas.openxmlformats.org/officeDocument/2006/relationships/table" Target="/xl/tables/table13.xml" Id="Re626d023de3240f7" /></Relationships>
</file>

<file path=xl/worksheets/_rels/sheet15.xml.rels>&#65279;<?xml version="1.0" encoding="utf-8"?><Relationships xmlns="http://schemas.openxmlformats.org/package/2006/relationships"><Relationship Type="http://schemas.openxmlformats.org/officeDocument/2006/relationships/table" Target="/xl/tables/table14.xml" Id="Rf6775731142b41c9" /></Relationships>
</file>

<file path=xl/worksheets/_rels/sheet16.xml.rels>&#65279;<?xml version="1.0" encoding="utf-8"?><Relationships xmlns="http://schemas.openxmlformats.org/package/2006/relationships"><Relationship Type="http://schemas.openxmlformats.org/officeDocument/2006/relationships/table" Target="/xl/tables/table15.xml" Id="R098559011bf64f40" /></Relationships>
</file>

<file path=xl/worksheets/_rels/sheet17.xml.rels>&#65279;<?xml version="1.0" encoding="utf-8"?><Relationships xmlns="http://schemas.openxmlformats.org/package/2006/relationships"><Relationship Type="http://schemas.openxmlformats.org/officeDocument/2006/relationships/table" Target="/xl/tables/table16.xml" Id="Ref501f68203f4cde" /><Relationship Type="http://schemas.openxmlformats.org/officeDocument/2006/relationships/table" Target="/xl/tables/table17.xml" Id="Rdb30a2fbde4e4fdf"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00" hidden="0" customWidth="1"/>
  </x:cols>
  <x:sheetData>
    <x:row r="1" ht="34" customHeight="1">
      <x:c r="A1" s="195" t="str">
        <x:v>BIG EEG DATA｜556-dataset evidence workbook</x:v>
      </x:c>
      <x:c r="B1" s="195"/>
    </x:row>
    <x:row r="2" ht="34" customHeight="1">
      <x:c r="A2" s="214" t="str">
        <x:v>修订日期</x:v>
      </x:c>
      <x:c r="B2" s="203" t="str">
        <x:v>2026-08-11</x:v>
      </x:c>
    </x:row>
    <x:row r="3" ht="34" customHeight="1">
      <x:c r="A3" s="215" t="str">
        <x:v>最终唯一下载单元</x:v>
      </x:c>
      <x:c r="B3" s="205" t="n">
        <x:v>556</x:v>
      </x:c>
    </x:row>
    <x:row r="4" ht="34" customHeight="1">
      <x:c r="A4" s="215" t="str">
        <x:v>本轮新增</x:v>
      </x:c>
      <x:c r="B4" s="205" t="str">
        <x:v>19 个（含 REVE Appendix B 中缺失的 8 个 HBN/OpenNeuro releases）</x:v>
      </x:c>
    </x:row>
    <x:row r="5" ht="34" customHeight="1">
      <x:c r="A5" s="215" t="str">
        <x:v>Evidence worksheets</x:v>
      </x:c>
      <x:c r="B5" s="205" t="n">
        <x:v>17</x:v>
      </x:c>
    </x:row>
    <x:row r="6" ht="34" customHeight="1">
      <x:c r="A6" s="215" t="str">
        <x:v>目录排序</x:v>
      </x:c>
      <x:c r="B6" s="205" t="str">
        <x:v>资料完整度优先；缺少 subjects/channels/rate/format/access/identifier/paper/duration 的条目后置</x:v>
      </x:c>
    </x:row>
    <x:row r="7" ht="34" customHeight="1">
      <x:c r="A7" s="217" t="str">
        <x:v>当前已下载 raw EEG</x:v>
      </x:c>
      <x:c r="B7" s="218" t="str">
        <x:v>57 units / 43627.8 h</x:v>
      </x:c>
    </x:row>
    <x:row r="8" ht="34" customHeight="1">
      <x:c r="A8" s="217" t="str">
        <x:v>REVE 预训练汇编</x:v>
      </x:c>
      <x:c r="B8" s="218" t="str">
        <x:v>61,415 h / 24,274 subjects / 150,833 sessions / 92 sources（论文 Table 7）</x:v>
      </x:c>
    </x:row>
    <x:row r="9" ht="34" customHeight="1">
      <x:c r="A9" s="217" t="str">
        <x:v>口径提醒</x:v>
      </x:c>
      <x:c r="B9" s="218" t="str">
        <x:v>43,627.8 h 是本地已下载文件审计；61,415 h 是 REVE 按其预处理规则汇编，二者不能直接视为同一清单的缺口。</x:v>
      </x:c>
    </x:row>
    <x:row r="10" ht="34" customHeight="1">
      <x:c r="A10" s="217" t="str">
        <x:v>REVE 明示来源覆盖</x:v>
      </x:c>
      <x:c r="B10" s="218" t="str">
        <x:v>89/89；论文称 92，但 Appendix B 逐名只列出 89 个唯一名称/ID。</x:v>
      </x:c>
    </x:row>
    <x:row r="11" ht="34" customHeight="1">
      <x:c r="A11" s="217" t="str">
        <x:v>主要差异</x:v>
      </x:c>
      <x:c r="B11" s="218" t="str">
        <x:v>REVE 计入 PhysioNet 22,707 h（主要为 I-CARE）和 OpenNeuro 10,194 h；我们的审计另含 REVE 未明示的 SeizeIT2 约 11,626 h。</x:v>
      </x:c>
    </x:row>
    <x:row r="12" ht="58" customHeight="1">
      <x:c r="A12" s="215" t="str">
        <x:v>I-CARE 分类</x:v>
      </x:c>
      <x:c r="B12" s="205" t="str">
        <x:v>修正为 02_Healthcare_and_Disease / Critical_Care_and_Coma；完整 consortium 文献口径为 1,020 patients / 56,676 h。</x:v>
      </x:c>
    </x:row>
    <x:row r="13" ht="58" customHeight="1">
      <x:c r="A13" s="215" t="str">
        <x:v>抑郁分类</x:v>
      </x:c>
      <x:c r="B13" s="205" t="str">
        <x:v>临床 MDD/确诊病例-对照属于疾病；一般情绪诱发、情感识别或仅量表风险分层不自动归为抑郁症。</x:v>
      </x:c>
    </x:row>
    <x:row r="14" ht="58" customHeight="1">
      <x:c r="A14" s="215" t="str">
        <x:v>推荐阅读</x:v>
      </x:c>
      <x:c r="B14" s="205" t="str">
        <x:v>README → 分类统计 → REVE对照_92 → 最终唯一下载清单 → 分类复核 → 下载与时长复核 → 证据来源</x:v>
      </x:c>
    </x:row>
    <x:row r="15" ht="58" customHeight="1">
      <x:c r="A15" s="216" t="str">
        <x:v>谨慎原则</x:v>
      </x:c>
      <x:c r="B15" s="207" t="str">
        <x:v>未知总时长保持空白，不用 8 h/晚等假设制造精确感。</x:v>
      </x:c>
    </x:row>
    <x:row r="16">
      <x:c r="A16" s="65"/>
      <x:c r="B16" s="66"/>
    </x:row>
    <x:row r="17">
      <x:c r="A17" s="67"/>
      <x:c r="B17" s="68"/>
    </x:row>
    <x:row r="18">
      <x:c r="A18" s="67"/>
      <x:c r="B18" s="68"/>
    </x:row>
    <x:row r="19">
      <x:c r="A19" s="60"/>
      <x:c r="B19" s="48"/>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222" t="str">
        <x:v>Unique ID</x:v>
      </x:c>
      <x:c r="B1" s="223" t="str">
        <x:v>大类目录</x:v>
      </x:c>
      <x:c r="C1" s="223" t="str">
        <x:v>小类目录</x:v>
      </x:c>
      <x:c r="D1" s="223" t="str">
        <x:v>规范数据集名称</x:v>
      </x:c>
      <x:c r="E1" s="223" t="str">
        <x:v>合并别名</x:v>
      </x:c>
      <x:c r="F1" s="223" t="str">
        <x:v>稳定标识（DOI/OpenNeuro/BNCI/仓库ID）</x:v>
      </x:c>
      <x:c r="G1" s="223" t="str">
        <x:v>下载状态</x:v>
      </x:c>
      <x:c r="H1" s="223" t="str">
        <x:v>下载/申请入口</x:v>
      </x:c>
      <x:c r="I1" s="223" t="str">
        <x:v>任务</x:v>
      </x:c>
      <x:c r="J1" s="223" t="str">
        <x:v>受试者数</x:v>
      </x:c>
      <x:c r="K1" s="223" t="str">
        <x:v>通道数</x:v>
      </x:c>
      <x:c r="L1" s="223" t="str">
        <x:v>采样率</x:v>
      </x:c>
      <x:c r="M1" s="223" t="str">
        <x:v>格式</x:v>
      </x:c>
      <x:c r="N1" s="223" t="str">
        <x:v>Raw/Processed</x:v>
      </x:c>
      <x:c r="O1" s="223" t="str">
        <x:v>许可与申请说明</x:v>
      </x:c>
      <x:c r="P1" s="223" t="str">
        <x:v>论文/作者</x:v>
      </x:c>
      <x:c r="Q1" s="223" t="str">
        <x:v>建议相对路径</x:v>
      </x:c>
      <x:c r="R1" s="223" t="str">
        <x:v>核验结论</x:v>
      </x:c>
      <x:c r="S1" s="223" t="str">
        <x:v>fMRI TR (s)</x:v>
      </x:c>
      <x:c r="T1" s="223" t="str">
        <x:v>Recording duration (s)</x:v>
      </x:c>
      <x:c r="U1" s="224" t="str">
        <x:v>Number of scans</x:v>
      </x:c>
    </x:row>
    <x:row r="2" ht="60" customHeight="1">
      <x:c r="A2" s="259" t="str">
        <x:v>EEG-0150</x:v>
      </x:c>
      <x:c r="B2" s="260" t="str">
        <x:v>02_Healthcare_and_Disease</x:v>
      </x:c>
      <x:c r="C2" s="260" t="str">
        <x:v>Critical_Care_and_Coma</x:v>
      </x:c>
      <x:c r="D2" s="260" t="str">
        <x:v>I-CARE</x:v>
      </x:c>
      <x:c r="E2" s="260"/>
      <x:c r="F2" s="260" t="str">
        <x:v>BDSP:I-CARE:v2.0 | PhysioNet:i-care | PMID:37693458</x:v>
      </x:c>
      <x:c r="G2" s="260" t="str">
        <x:v>DOWNLOAD_PUBLIC</x:v>
      </x:c>
      <x:c r="H2" s="260" t="str">
        <x:v>https://bdsp.io/content/bdsp-icare/2.0/</x:v>
      </x:c>
      <x:c r="I2" s="260" t="str">
        <x:v>coma prognosis after cardiac arrest; continuous ICU EEG/ECG + clinical outcomes</x:v>
      </x:c>
      <x:c r="J2" s="260" t="str">
        <x:v>1,020 patients (607 training + 107 validation + 306 test)</x:v>
      </x:c>
      <x:c r="K2" s="260" t="str">
        <x:v>hospital/patient-dependent; EEG list up to 22</x:v>
      </x:c>
      <x:c r="L2" s="260" t="str">
        <x:v>record-specific; example header 500Hz</x:v>
      </x:c>
      <x:c r="M2" s="260" t="str">
        <x:v>WFDB-compatible MAT v4 + HEA</x:v>
      </x:c>
      <x:c r="N2" s="260" t="str">
        <x:v>raw EEG/ECG + clinical labels</x:v>
      </x:c>
      <x:c r="O2" s="260" t="str">
        <x:v>Full I-CARE v2.0 corpus; follow current BDSP/PhysioNet terms. Public challenge release and complete consortium scope must be distinguished.</x:v>
      </x:c>
      <x:c r="P2" s="260" t="str">
        <x:v>Amorim et al. (2023), I-CARE consortium; REVE Appendix B</x:v>
      </x:c>
      <x:c r="Q2" s="260" t="str">
        <x:v>02_Healthcare_and_Disease/Critical_Care_and_Coma/I-CARE</x:v>
      </x:c>
      <x:c r="R2" s="260" t="str">
        <x:v>分类修正：心脏骤停后昏迷 ICU 连续 EEG 属临床疾病/重症监护；56,676 h 为完整 consortium 连续 EEG 文献口径，不等于本地已下载文件审计时长。</x:v>
      </x:c>
      <x:c r="S2" s="260"/>
      <x:c r="T2" s="260" t="n">
        <x:v>204033600</x:v>
      </x:c>
      <x:c r="U2" s="261" t="n">
        <x:v>1020</x:v>
      </x:c>
    </x:row>
    <x:row r="3" ht="60" customHeight="1">
      <x:c r="A3" s="239" t="str">
        <x:v>EEG-0345</x:v>
      </x:c>
      <x:c r="B3" s="228" t="str">
        <x:v>08_Health_and_Population</x:v>
      </x:c>
      <x:c r="C3" s="228" t="str">
        <x:v>Developmental_Clinical_Cohort</x:v>
      </x:c>
      <x:c r="D3" s="228" t="str">
        <x:v>HBN-EEG Release 1</x:v>
      </x:c>
      <x:c r="E3" s="228" t="str">
        <x:v>Healthy Brain Network EEG; ds005505</x:v>
      </x:c>
      <x:c r="F3" s="228" t="str">
        <x:v>OpenNeuro:ds005505 | DOI:10.18112/openneuro.ds005505.v1.0.1</x:v>
      </x:c>
      <x:c r="G3" s="228" t="str">
        <x:v>DOWNLOAD_PUBLIC</x:v>
      </x:c>
      <x:c r="H3" s="228" t="str">
        <x:v>https://openneuro.org/datasets/ds005505</x:v>
      </x:c>
      <x:c r="I3" s="228" t="str">
        <x:v>Multi-task (rest, surround suppression, movie, contrast change, sequence learning, symbol search)</x:v>
      </x:c>
      <x:c r="J3" s="228" t="str">
        <x:v>136</x:v>
      </x:c>
      <x:c r="K3" s="228" t="str">
        <x:v>129</x:v>
      </x:c>
      <x:c r="L3" s="228" t="str">
        <x:v>500 Hz</x:v>
      </x:c>
      <x:c r="M3" s="228" t="str">
        <x:v>BIDS EEG / EEGLAB SET</x:v>
      </x:c>
      <x:c r="N3" s="228" t="str">
        <x:v>BIDS-organized EEG release</x:v>
      </x:c>
      <x:c r="O3" s="228" t="str">
        <x:v>CC BY-SA 4.0</x:v>
      </x:c>
      <x:c r="P3" s="228" t="str">
        <x:v>HBN-EEG: the FAIR implementation of the Healthy Brain Network EEG dataset. Shirazi et al., 2024, bioRxiv (data: Alexander et al., 2017, Scientific Data 4:170181).</x:v>
      </x:c>
      <x:c r="Q3" s="228" t="str">
        <x:v>08_Health_and_Population/Developmental_Clinical_Cohort/HBN_EEG_R1_ds005505</x:v>
      </x:c>
      <x:c r="R3" s="228" t="str">
        <x:v>按 OpenNeuro 独立 release 去重；136 subjects、1,342 recordings、117.5 h。HBN 是广泛发育/精神健康表型队列，不等同于单一确诊疾病队列。</x:v>
      </x:c>
      <x:c r="S3" s="228"/>
      <x:c r="T3" s="228" t="n">
        <x:v>423000</x:v>
      </x:c>
      <x:c r="U3" s="205" t="n">
        <x:v>1342</x:v>
      </x:c>
    </x:row>
    <x:row r="4" ht="60" customHeight="1">
      <x:c r="A4" s="265" t="str">
        <x:v>EEG-0583</x:v>
      </x:c>
      <x:c r="B4" s="266" t="str">
        <x:v>02_Healthcare_and_Disease</x:v>
      </x:c>
      <x:c r="C4" s="266" t="str">
        <x:v>Mental_and_Developmental_Disorders</x:v>
      </x:c>
      <x:c r="D4" s="266" t="str">
        <x:v>Albrecht2019</x:v>
      </x:c>
      <x:c r="E4" s="266" t="str">
        <x:v>Schizophrenia modified Simon task EEG</x:v>
      </x:c>
      <x:c r="F4" s="266" t="str">
        <x:v>HuggingFace:jalauer/Albrecht2019 | Zenodo:889204</x:v>
      </x:c>
      <x:c r="G4" s="266" t="str">
        <x:v>DOWNLOAD_PUBLIC</x:v>
      </x:c>
      <x:c r="H4" s="266" t="str">
        <x:v>https://huggingface.co/datasets/jalauer/Albrecht2019</x:v>
      </x:c>
      <x:c r="I4" s="266" t="str">
        <x:v>精神分裂症/分裂情感障碍 vs 健康对照；modified Simon reinforcement-learning task</x:v>
      </x:c>
      <x:c r="J4" s="266" t="str">
        <x:v>78（46 patients + 32 controls）</x:v>
      </x:c>
      <x:c r="K4" s="266" t="str">
        <x:v>64</x:v>
      </x:c>
      <x:c r="L4" s="266" t="str">
        <x:v>1000 Hz</x:v>
      </x:c>
      <x:c r="M4" s="266" t="str">
        <x:v>MAT / EEGLAB-derived</x:v>
      </x:c>
      <x:c r="N4" s="266" t="str">
        <x:v>预处理与伪影校正 EEG；仓库含实验数据</x:v>
      </x:c>
      <x:c r="O4" s="266" t="str">
        <x:v>PDDL；EEG-Bench 再分发页不是原始所有者，引用原论文和数据来源</x:v>
      </x:c>
      <x:c r="P4" s="266" t="str">
        <x:v>Albrecht et al. (2019), Neuropsychologia; EEG-Bench clinical benchmark</x:v>
      </x:c>
      <x:c r="Q4" s="266" t="str">
        <x:v>02_Healthcare_and_Disease/Mental_and_Developmental_Disorders/Albrecht2019</x:v>
      </x:c>
      <x:c r="R4" s="266" t="str">
        <x:v>新增；EEG-Bench 论文与公开仓库交叉核验；51 h 为论文基准表记录</x:v>
      </x:c>
      <x:c r="S4" s="266"/>
      <x:c r="T4" s="266" t="n">
        <x:v>183600</x:v>
      </x:c>
      <x:c r="U4" s="218" t="n">
        <x:v>78</x:v>
      </x:c>
    </x:row>
    <x:row r="5" ht="60" customHeight="1">
      <x:c r="A5" s="265" t="str">
        <x:v>EEG-0584</x:v>
      </x:c>
      <x:c r="B5" s="266" t="str">
        <x:v>08_Health_and_Population</x:v>
      </x:c>
      <x:c r="C5" s="266" t="str">
        <x:v>Mental_Health_Risk_Phenotype</x:v>
      </x:c>
      <x:c r="D5" s="266" t="str">
        <x:v>Gruendler2009</x:v>
      </x:c>
      <x:c r="E5" s="266" t="str">
        <x:v>OC symptomatology flanker EEG</x:v>
      </x:c>
      <x:c r="F5" s="266" t="str">
        <x:v>HuggingFace:jalauer/Gruendler2009</x:v>
      </x:c>
      <x:c r="G5" s="266" t="str">
        <x:v>DOWNLOAD_PUBLIC</x:v>
      </x:c>
      <x:c r="H5" s="266" t="str">
        <x:v>https://huggingface.co/datasets/jalauer/Gruendler2009</x:v>
      </x:c>
      <x:c r="I5" s="266" t="str">
        <x:v>高/低强迫症状量表分组；flanker error-related negativity</x:v>
      </x:c>
      <x:c r="J5" s="266" t="str">
        <x:v>46 名本科生（按 OCI-R 高/低分组；非确诊 OCD 病例）</x:v>
      </x:c>
      <x:c r="K5" s="266" t="str">
        <x:v>64 EEG + 2 EOG + 1 EKG</x:v>
      </x:c>
      <x:c r="L5" s="266" t="str">
        <x:v>500 Hz</x:v>
      </x:c>
      <x:c r="M5" s="266" t="str">
        <x:v>CNT</x:v>
      </x:c>
      <x:c r="N5" s="266" t="str">
        <x:v>Raw + possible preprocessed variants</x:v>
      </x:c>
      <x:c r="O5" s="266" t="str">
        <x:v>PDDL；EEG-Bench 再分发页不是原始所有者</x:v>
      </x:c>
      <x:c r="P5" s="266" t="str">
        <x:v>Gründler et al. (2009), Neuropsychologia; EEG-Bench clinical benchmark</x:v>
      </x:c>
      <x:c r="Q5" s="266" t="str">
        <x:v>08_Health_and_Population/Mental_Health_Risk_Phenotype/Gruendler2009</x:v>
      </x:c>
      <x:c r="R5" s="266" t="str">
        <x:v>新增；不标为确诊 OCD 疾病队列；22 h 为 EEG-Bench 表记录</x:v>
      </x:c>
      <x:c r="S5" s="266"/>
      <x:c r="T5" s="266" t="n">
        <x:v>79200</x:v>
      </x:c>
      <x:c r="U5" s="218" t="n">
        <x:v>46</x:v>
      </x:c>
    </x:row>
    <x:row r="6" ht="60" customHeight="1">
      <x:c r="A6" s="265" t="str">
        <x:v>EEG-0585</x:v>
      </x:c>
      <x:c r="B6" s="266" t="str">
        <x:v>02_Healthcare_and_Disease</x:v>
      </x:c>
      <x:c r="C6" s="266" t="str">
        <x:v>Neurological_Disorders</x:v>
      </x:c>
      <x:c r="D6" s="266" t="str">
        <x:v>Singh2020</x:v>
      </x:c>
      <x:c r="E6" s="266" t="str">
        <x:v>Parkinson pedaling / freezing-of-gait EEG</x:v>
      </x:c>
      <x:c r="F6" s="266" t="str">
        <x:v>HuggingFace:jalauer/Singh2020</x:v>
      </x:c>
      <x:c r="G6" s="266" t="str">
        <x:v>DOWNLOAD_PUBLIC</x:v>
      </x:c>
      <x:c r="H6" s="266" t="str">
        <x:v>https://huggingface.co/datasets/jalauer/Singh2020</x:v>
      </x:c>
      <x:c r="I6" s="266" t="str">
        <x:v>PD freezing-of-gait positive/negative and healthy control lower-limb pedaling</x:v>
      </x:c>
      <x:c r="J6" s="266" t="str">
        <x:v>39（13 FOG+ PD + 13 FOG- PD + 13 controls）</x:v>
      </x:c>
      <x:c r="K6" s="266" t="str">
        <x:v>64 + accelerometer</x:v>
      </x:c>
      <x:c r="L6" s="266" t="str">
        <x:v>500 Hz</x:v>
      </x:c>
      <x:c r="M6" s="266" t="str">
        <x:v>BrainVision + MAT</x:v>
      </x:c>
      <x:c r="N6" s="266" t="str">
        <x:v>Raw + processed</x:v>
      </x:c>
      <x:c r="O6" s="266" t="str">
        <x:v>PDDL；EEG-Bench 再分发页不是原始所有者</x:v>
      </x:c>
      <x:c r="P6" s="266" t="str">
        <x:v>Singh et al. (2020), Clinical Neurophysiology; EEG-Bench</x:v>
      </x:c>
      <x:c r="Q6" s="266" t="str">
        <x:v>02_Healthcare_and_Disease/Neurological_Disorders/Singh2020</x:v>
      </x:c>
      <x:c r="R6" s="266" t="str">
        <x:v>新增；39 名与 7 h 由仓库/EEG-Bench 交叉核验</x:v>
      </x:c>
      <x:c r="S6" s="266"/>
      <x:c r="T6" s="266" t="n">
        <x:v>25200</x:v>
      </x:c>
      <x:c r="U6" s="218" t="n">
        <x:v>39</x:v>
      </x:c>
    </x:row>
    <x:row r="7" ht="60" customHeight="1">
      <x:c r="A7" s="265" t="str">
        <x:v>EEG-0586</x:v>
      </x:c>
      <x:c r="B7" s="266" t="str">
        <x:v>02_Healthcare_and_Disease</x:v>
      </x:c>
      <x:c r="C7" s="266" t="str">
        <x:v>Neurological_Disorders</x:v>
      </x:c>
      <x:c r="D7" s="266" t="str">
        <x:v>Singh2021</x:v>
      </x:c>
      <x:c r="E7" s="266" t="str">
        <x:v>Parkinson interval timing EEG</x:v>
      </x:c>
      <x:c r="F7" s="266" t="str">
        <x:v>HuggingFace:jalauer/Singh2021</x:v>
      </x:c>
      <x:c r="G7" s="266" t="str">
        <x:v>DOWNLOAD_PUBLIC</x:v>
      </x:c>
      <x:c r="H7" s="266" t="str">
        <x:v>https://huggingface.co/datasets/jalauer/Singh2021</x:v>
      </x:c>
      <x:c r="I7" s="266" t="str">
        <x:v>PD vs healthy control；3/7-second interval timing；ON/OFF medication subset</x:v>
      </x:c>
      <x:c r="J7" s="266" t="str">
        <x:v>120（83 PD + 37 controls）；129 recordings</x:v>
      </x:c>
      <x:c r="K7" s="266" t="str">
        <x:v>64 + accelerometer</x:v>
      </x:c>
      <x:c r="L7" s="266" t="str">
        <x:v>500 Hz</x:v>
      </x:c>
      <x:c r="M7" s="266" t="str">
        <x:v>BrainVision</x:v>
      </x:c>
      <x:c r="N7" s="266" t="str">
        <x:v>Raw</x:v>
      </x:c>
      <x:c r="O7" s="266" t="str">
        <x:v>PDDL；EEG-Bench 再分发页不是原始所有者</x:v>
      </x:c>
      <x:c r="P7" s="266" t="str">
        <x:v>Singh et al. (2021), npj Parkinson's Disease; EEG-Bench</x:v>
      </x:c>
      <x:c r="Q7" s="266" t="str">
        <x:v>02_Healthcare_and_Disease/Neurological_Disorders/Singh2021</x:v>
      </x:c>
      <x:c r="R7" s="266" t="str">
        <x:v>新增；受试者与记录数分开；58 h 为 EEG-Bench 表记录</x:v>
      </x:c>
      <x:c r="S7" s="266"/>
      <x:c r="T7" s="266" t="n">
        <x:v>208800</x:v>
      </x:c>
      <x:c r="U7" s="218" t="n">
        <x:v>129</x:v>
      </x:c>
    </x:row>
    <x:row r="8" ht="60" customHeight="1">
      <x:c r="A8" s="265" t="str">
        <x:v>EEG-0594</x:v>
      </x:c>
      <x:c r="B8" s="266" t="str">
        <x:v>08_Health_and_Population</x:v>
      </x:c>
      <x:c r="C8" s="266" t="str">
        <x:v>Developmental_Clinical_Cohort</x:v>
      </x:c>
      <x:c r="D8" s="266" t="str">
        <x:v>HBN-EEG Release 2</x:v>
      </x:c>
      <x:c r="E8" s="266" t="str">
        <x:v>Healthy Brain Network EEG; ds005506</x:v>
      </x:c>
      <x:c r="F8" s="266" t="str">
        <x:v>OpenNeuro:ds005506 | DOI:10.18112/openneuro.ds005506.v1.0.1</x:v>
      </x:c>
      <x:c r="G8" s="266" t="str">
        <x:v>DOWNLOAD_PUBLIC</x:v>
      </x:c>
      <x:c r="H8" s="266" t="str">
        <x:v>https://openneuro.org/datasets/ds005506</x:v>
      </x:c>
      <x:c r="I8" s="266" t="str">
        <x:v>Multi-task developmental EEG (rest, visual/cognitive tasks and behavioral phenotyping; release-dependent)</x:v>
      </x:c>
      <x:c r="J8" s="266" t="str">
        <x:v>150</x:v>
      </x:c>
      <x:c r="K8" s="266" t="str">
        <x:v>129</x:v>
      </x:c>
      <x:c r="L8" s="266" t="str">
        <x:v>500 Hz</x:v>
      </x:c>
      <x:c r="M8" s="266" t="str">
        <x:v>BIDS EEG / EEGLAB SET</x:v>
      </x:c>
      <x:c r="N8" s="266" t="str">
        <x:v>BIDS-organized EEG release</x:v>
      </x:c>
      <x:c r="O8" s="266" t="str">
        <x:v>CC BY-SA 4.0</x:v>
      </x:c>
      <x:c r="P8" s="266" t="str">
        <x:v>Shirazi et al., HBN-EEG; REVE Appendix B</x:v>
      </x:c>
      <x:c r="Q8" s="266" t="str">
        <x:v>08_Health_and_Population/Developmental_Clinical_Cohort/HBN_EEG_R2_ds005506</x:v>
      </x:c>
      <x:c r="R8" s="266" t="str">
        <x:v>150 subjects、1,405 recordings、127.5 h；按 OpenNeuro 独立 release 去重。</x:v>
      </x:c>
      <x:c r="S8" s="266"/>
      <x:c r="T8" s="266" t="n">
        <x:v>459000</x:v>
      </x:c>
      <x:c r="U8" s="218" t="n">
        <x:v>1405</x:v>
      </x:c>
    </x:row>
    <x:row r="9" ht="60" customHeight="1">
      <x:c r="A9" s="265" t="str">
        <x:v>EEG-0595</x:v>
      </x:c>
      <x:c r="B9" s="266" t="str">
        <x:v>08_Health_and_Population</x:v>
      </x:c>
      <x:c r="C9" s="266" t="str">
        <x:v>Developmental_Clinical_Cohort</x:v>
      </x:c>
      <x:c r="D9" s="266" t="str">
        <x:v>HBN-EEG Release 3</x:v>
      </x:c>
      <x:c r="E9" s="266" t="str">
        <x:v>Healthy Brain Network EEG; ds005507</x:v>
      </x:c>
      <x:c r="F9" s="266" t="str">
        <x:v>OpenNeuro:ds005507 | DOI:10.18112/openneuro.ds005507.v1.0.1</x:v>
      </x:c>
      <x:c r="G9" s="266" t="str">
        <x:v>DOWNLOAD_PUBLIC</x:v>
      </x:c>
      <x:c r="H9" s="266" t="str">
        <x:v>https://openneuro.org/datasets/ds005507</x:v>
      </x:c>
      <x:c r="I9" s="266" t="str">
        <x:v>Multi-task developmental EEG (rest, visual/cognitive tasks and behavioral phenotyping; release-dependent)</x:v>
      </x:c>
      <x:c r="J9" s="266" t="str">
        <x:v>184</x:v>
      </x:c>
      <x:c r="K9" s="266" t="str">
        <x:v>129</x:v>
      </x:c>
      <x:c r="L9" s="266" t="str">
        <x:v>500 Hz</x:v>
      </x:c>
      <x:c r="M9" s="266" t="str">
        <x:v>BIDS EEG / EEGLAB SET</x:v>
      </x:c>
      <x:c r="N9" s="266" t="str">
        <x:v>BIDS-organized EEG release</x:v>
      </x:c>
      <x:c r="O9" s="266" t="str">
        <x:v>CC BY-SA 4.0</x:v>
      </x:c>
      <x:c r="P9" s="266" t="str">
        <x:v>Shirazi et al., HBN-EEG; REVE Appendix B</x:v>
      </x:c>
      <x:c r="Q9" s="266" t="str">
        <x:v>08_Health_and_Population/Developmental_Clinical_Cohort/HBN_EEG_R3_ds005507</x:v>
      </x:c>
      <x:c r="R9" s="266" t="str">
        <x:v>184 subjects、1,812 recordings、158.8 h；按 OpenNeuro 独立 release 去重。</x:v>
      </x:c>
      <x:c r="S9" s="266"/>
      <x:c r="T9" s="266" t="n">
        <x:v>571680</x:v>
      </x:c>
      <x:c r="U9" s="218" t="n">
        <x:v>1812</x:v>
      </x:c>
    </x:row>
    <x:row r="10" ht="60" customHeight="1">
      <x:c r="A10" s="265" t="str">
        <x:v>EEG-0596</x:v>
      </x:c>
      <x:c r="B10" s="266" t="str">
        <x:v>08_Health_and_Population</x:v>
      </x:c>
      <x:c r="C10" s="266" t="str">
        <x:v>Developmental_Clinical_Cohort</x:v>
      </x:c>
      <x:c r="D10" s="266" t="str">
        <x:v>HBN-EEG Release 4</x:v>
      </x:c>
      <x:c r="E10" s="266" t="str">
        <x:v>Healthy Brain Network EEG; ds005508</x:v>
      </x:c>
      <x:c r="F10" s="266" t="str">
        <x:v>OpenNeuro:ds005508 | DOI:10.18112/openneuro.ds005508.v1.0.1</x:v>
      </x:c>
      <x:c r="G10" s="266" t="str">
        <x:v>DOWNLOAD_PUBLIC</x:v>
      </x:c>
      <x:c r="H10" s="266" t="str">
        <x:v>https://openneuro.org/datasets/ds005508</x:v>
      </x:c>
      <x:c r="I10" s="266" t="str">
        <x:v>Multi-task developmental EEG (rest, visual/cognitive tasks and behavioral phenotyping; release-dependent)</x:v>
      </x:c>
      <x:c r="J10" s="266" t="str">
        <x:v>324</x:v>
      </x:c>
      <x:c r="K10" s="266" t="str">
        <x:v>129</x:v>
      </x:c>
      <x:c r="L10" s="266" t="str">
        <x:v>500 Hz</x:v>
      </x:c>
      <x:c r="M10" s="266" t="str">
        <x:v>BIDS EEG / EEGLAB SET</x:v>
      </x:c>
      <x:c r="N10" s="266" t="str">
        <x:v>BIDS-organized EEG release</x:v>
      </x:c>
      <x:c r="O10" s="266" t="str">
        <x:v>CC BY-SA 4.0</x:v>
      </x:c>
      <x:c r="P10" s="266" t="str">
        <x:v>Shirazi et al., HBN-EEG; REVE Appendix B</x:v>
      </x:c>
      <x:c r="Q10" s="266" t="str">
        <x:v>08_Health_and_Population/Developmental_Clinical_Cohort/HBN_EEG_R4_ds005508</x:v>
      </x:c>
      <x:c r="R10" s="266" t="str">
        <x:v>324 subjects、3,342 recordings、261.8 h；按 OpenNeuro 独立 release 去重。</x:v>
      </x:c>
      <x:c r="S10" s="266"/>
      <x:c r="T10" s="266" t="n">
        <x:v>942480</x:v>
      </x:c>
      <x:c r="U10" s="218" t="n">
        <x:v>3342</x:v>
      </x:c>
    </x:row>
    <x:row r="11" ht="60" customHeight="1">
      <x:c r="A11" s="265" t="str">
        <x:v>EEG-0597</x:v>
      </x:c>
      <x:c r="B11" s="266" t="str">
        <x:v>08_Health_and_Population</x:v>
      </x:c>
      <x:c r="C11" s="266" t="str">
        <x:v>Developmental_Clinical_Cohort</x:v>
      </x:c>
      <x:c r="D11" s="266" t="str">
        <x:v>HBN-EEG Release 5</x:v>
      </x:c>
      <x:c r="E11" s="266" t="str">
        <x:v>Healthy Brain Network EEG; ds005509</x:v>
      </x:c>
      <x:c r="F11" s="266" t="str">
        <x:v>OpenNeuro:ds005509 | DOI:10.18112/openneuro.ds005509.v1.0.1</x:v>
      </x:c>
      <x:c r="G11" s="266" t="str">
        <x:v>DOWNLOAD_PUBLIC</x:v>
      </x:c>
      <x:c r="H11" s="266" t="str">
        <x:v>https://openneuro.org/datasets/ds005509</x:v>
      </x:c>
      <x:c r="I11" s="266" t="str">
        <x:v>Multi-task developmental EEG (rest, visual/cognitive tasks and behavioral phenotyping; release-dependent)</x:v>
      </x:c>
      <x:c r="J11" s="266" t="str">
        <x:v>330</x:v>
      </x:c>
      <x:c r="K11" s="266" t="str">
        <x:v>129</x:v>
      </x:c>
      <x:c r="L11" s="266" t="str">
        <x:v>500 Hz</x:v>
      </x:c>
      <x:c r="M11" s="266" t="str">
        <x:v>BIDS EEG / EEGLAB SET</x:v>
      </x:c>
      <x:c r="N11" s="266" t="str">
        <x:v>BIDS-organized EEG release</x:v>
      </x:c>
      <x:c r="O11" s="266" t="str">
        <x:v>CC BY-SA 4.0</x:v>
      </x:c>
      <x:c r="P11" s="266" t="str">
        <x:v>Shirazi et al., HBN-EEG; REVE Appendix B</x:v>
      </x:c>
      <x:c r="Q11" s="266" t="str">
        <x:v>08_Health_and_Population/Developmental_Clinical_Cohort/HBN_EEG_R5_ds005509</x:v>
      </x:c>
      <x:c r="R11" s="266" t="str">
        <x:v>330 subjects、3,326 recordings、255.3 h；按 OpenNeuro 独立 release 去重。</x:v>
      </x:c>
      <x:c r="S11" s="266"/>
      <x:c r="T11" s="266" t="n">
        <x:v>919080</x:v>
      </x:c>
      <x:c r="U11" s="218" t="n">
        <x:v>3326</x:v>
      </x:c>
    </x:row>
    <x:row r="12" ht="60" customHeight="1">
      <x:c r="A12" s="265" t="str">
        <x:v>EEG-0598</x:v>
      </x:c>
      <x:c r="B12" s="266" t="str">
        <x:v>08_Health_and_Population</x:v>
      </x:c>
      <x:c r="C12" s="266" t="str">
        <x:v>Developmental_Clinical_Cohort</x:v>
      </x:c>
      <x:c r="D12" s="266" t="str">
        <x:v>HBN-EEG Release 6</x:v>
      </x:c>
      <x:c r="E12" s="266" t="str">
        <x:v>Healthy Brain Network EEG; ds005510</x:v>
      </x:c>
      <x:c r="F12" s="266" t="str">
        <x:v>OpenNeuro:ds005510 | DOI:10.18112/openneuro.ds005510.v1.0.1</x:v>
      </x:c>
      <x:c r="G12" s="266" t="str">
        <x:v>DOWNLOAD_PUBLIC</x:v>
      </x:c>
      <x:c r="H12" s="266" t="str">
        <x:v>https://openneuro.org/datasets/ds005510</x:v>
      </x:c>
      <x:c r="I12" s="266" t="str">
        <x:v>Multi-task developmental EEG (rest, visual/cognitive tasks and behavioral phenotyping; release-dependent)</x:v>
      </x:c>
      <x:c r="J12" s="266" t="str">
        <x:v>135</x:v>
      </x:c>
      <x:c r="K12" s="266" t="str">
        <x:v>129</x:v>
      </x:c>
      <x:c r="L12" s="266" t="str">
        <x:v>500 Hz</x:v>
      </x:c>
      <x:c r="M12" s="266" t="str">
        <x:v>BIDS EEG / EEGLAB SET</x:v>
      </x:c>
      <x:c r="N12" s="266" t="str">
        <x:v>BIDS-organized EEG release</x:v>
      </x:c>
      <x:c r="O12" s="266" t="str">
        <x:v>CC BY-SA 4.0</x:v>
      </x:c>
      <x:c r="P12" s="266" t="str">
        <x:v>Shirazi et al., HBN-EEG; REVE Appendix B</x:v>
      </x:c>
      <x:c r="Q12" s="266" t="str">
        <x:v>08_Health_and_Population/Developmental_Clinical_Cohort/HBN_EEG_R6_ds005510</x:v>
      </x:c>
      <x:c r="R12" s="266" t="str">
        <x:v>135 subjects、1,227 recordings、103.5 h；按 OpenNeuro 独立 release 去重。</x:v>
      </x:c>
      <x:c r="S12" s="266"/>
      <x:c r="T12" s="266" t="n">
        <x:v>372600</x:v>
      </x:c>
      <x:c r="U12" s="218" t="n">
        <x:v>1227</x:v>
      </x:c>
    </x:row>
    <x:row r="13" ht="60" customHeight="1">
      <x:c r="A13" s="265" t="str">
        <x:v>EEG-0600</x:v>
      </x:c>
      <x:c r="B13" s="266" t="str">
        <x:v>08_Health_and_Population</x:v>
      </x:c>
      <x:c r="C13" s="266" t="str">
        <x:v>Developmental_Clinical_Cohort</x:v>
      </x:c>
      <x:c r="D13" s="266" t="str">
        <x:v>HBN-EEG Release 8</x:v>
      </x:c>
      <x:c r="E13" s="266" t="str">
        <x:v>Healthy Brain Network EEG; ds005512</x:v>
      </x:c>
      <x:c r="F13" s="266" t="str">
        <x:v>OpenNeuro:ds005512 | DOI:10.18112/openneuro.ds005512.v1.0.1</x:v>
      </x:c>
      <x:c r="G13" s="266" t="str">
        <x:v>DOWNLOAD_PUBLIC</x:v>
      </x:c>
      <x:c r="H13" s="266" t="str">
        <x:v>https://openneuro.org/datasets/ds005512</x:v>
      </x:c>
      <x:c r="I13" s="266" t="str">
        <x:v>Multi-task developmental EEG (rest, visual/cognitive tasks and behavioral phenotyping; release-dependent)</x:v>
      </x:c>
      <x:c r="J13" s="266" t="str">
        <x:v>257</x:v>
      </x:c>
      <x:c r="K13" s="266" t="str">
        <x:v>129</x:v>
      </x:c>
      <x:c r="L13" s="266" t="str">
        <x:v>500 Hz</x:v>
      </x:c>
      <x:c r="M13" s="266" t="str">
        <x:v>BIDS EEG / EEGLAB SET</x:v>
      </x:c>
      <x:c r="N13" s="266" t="str">
        <x:v>BIDS-organized EEG release</x:v>
      </x:c>
      <x:c r="O13" s="266" t="str">
        <x:v>CC BY-SA 4.0</x:v>
      </x:c>
      <x:c r="P13" s="266" t="str">
        <x:v>Shirazi et al., HBN-EEG; REVE Appendix B</x:v>
      </x:c>
      <x:c r="Q13" s="266" t="str">
        <x:v>08_Health_and_Population/Developmental_Clinical_Cohort/HBN_EEG_R8_ds005512</x:v>
      </x:c>
      <x:c r="R13" s="266" t="str">
        <x:v>257 subjects、2,320 recordings、179.1 h；按 OpenNeuro 独立 release 去重。</x:v>
      </x:c>
      <x:c r="S13" s="266"/>
      <x:c r="T13" s="266" t="n">
        <x:v>644760</x:v>
      </x:c>
      <x:c r="U13" s="218" t="n">
        <x:v>2320</x:v>
      </x:c>
    </x:row>
    <x:row r="14" ht="60" customHeight="1">
      <x:c r="A14" s="265" t="str">
        <x:v>EEG-0601</x:v>
      </x:c>
      <x:c r="B14" s="266" t="str">
        <x:v>08_Health_and_Population</x:v>
      </x:c>
      <x:c r="C14" s="266" t="str">
        <x:v>Developmental_Clinical_Cohort</x:v>
      </x:c>
      <x:c r="D14" s="266" t="str">
        <x:v>HBN-EEG Release 9</x:v>
      </x:c>
      <x:c r="E14" s="266" t="str">
        <x:v>Healthy Brain Network EEG; ds005514</x:v>
      </x:c>
      <x:c r="F14" s="266" t="str">
        <x:v>OpenNeuro:ds005514 | DOI:10.18112/openneuro.ds005514.v1.0.1</x:v>
      </x:c>
      <x:c r="G14" s="266" t="str">
        <x:v>DOWNLOAD_PUBLIC</x:v>
      </x:c>
      <x:c r="H14" s="266" t="str">
        <x:v>https://openneuro.org/datasets/ds005514</x:v>
      </x:c>
      <x:c r="I14" s="266" t="str">
        <x:v>Multi-task developmental EEG (rest, visual/cognitive tasks and behavioral phenotyping; release-dependent)</x:v>
      </x:c>
      <x:c r="J14" s="266" t="str">
        <x:v>295</x:v>
      </x:c>
      <x:c r="K14" s="266" t="str">
        <x:v>129</x:v>
      </x:c>
      <x:c r="L14" s="266" t="str">
        <x:v>500 Hz</x:v>
      </x:c>
      <x:c r="M14" s="266" t="str">
        <x:v>BIDS EEG / EEGLAB SET</x:v>
      </x:c>
      <x:c r="N14" s="266" t="str">
        <x:v>BIDS-organized EEG release</x:v>
      </x:c>
      <x:c r="O14" s="266" t="str">
        <x:v>CC BY-SA 4.0</x:v>
      </x:c>
      <x:c r="P14" s="266" t="str">
        <x:v>Shirazi et al., HBN-EEG; REVE Appendix B</x:v>
      </x:c>
      <x:c r="Q14" s="266" t="str">
        <x:v>08_Health_and_Population/Developmental_Clinical_Cohort/HBN_EEG_R9_ds005514</x:v>
      </x:c>
      <x:c r="R14" s="266" t="str">
        <x:v>295 subjects、2,885 recordings、210.8 h；按 OpenNeuro 独立 release 去重。</x:v>
      </x:c>
      <x:c r="S14" s="266"/>
      <x:c r="T14" s="266" t="n">
        <x:v>758880</x:v>
      </x:c>
      <x:c r="U14" s="218" t="n">
        <x:v>2885</x:v>
      </x:c>
    </x:row>
    <x:row r="15" ht="60" customHeight="1">
      <x:c r="A15" s="239" t="str">
        <x:v>EEG-0004</x:v>
      </x:c>
      <x:c r="B15" s="228" t="str">
        <x:v>01_Signal_Reliability</x:v>
      </x:c>
      <x:c r="C15" s="228" t="str">
        <x:v>Artifact_Identification</x:v>
      </x:c>
      <x:c r="D15" s="228" t="str">
        <x:v>TUAR (TUH Artifact)</x:v>
      </x:c>
      <x:c r="E15" s="228"/>
      <x:c r="F15" s="228" t="str">
        <x:v>TUH:TUAR:v3.0.1</x:v>
      </x:c>
      <x:c r="G15" s="228" t="str">
        <x:v>DOWNLOAD_APPLICATION_REQUIRED</x:v>
      </x:c>
      <x:c r="H15" s="228" t="str">
        <x:v>https://isip.piconepress.com/projects/nedc/html/tuh_eeg/</x:v>
      </x:c>
      <x:c r="I15" s="228" t="str">
        <x:v>EEG artifact classification (eye/chew/shiver/electrode/muscle)</x:v>
      </x:c>
      <x:c r="J15" s="228" t="str">
        <x:v>213 (~310 sessions)</x:v>
      </x:c>
      <x:c r="K15" s="228" t="str">
        <x:v>23.0</x:v>
      </x:c>
      <x:c r="L15" s="228" t="str">
        <x:v>256.0</x:v>
      </x:c>
      <x:c r="M15" s="228" t="str">
        <x:v>EDF</x:v>
      </x:c>
      <x:c r="N15" s="228" t="str">
        <x:v>Raw</x:v>
      </x:c>
      <x:c r="O15" s="228" t="str">
        <x:v>Free but restricted: signed data-use agreement (help@nedcdata.org)</x:v>
      </x:c>
      <x:c r="P15" s="228" t="str">
        <x:v>Recent advances in the TUH EEG corpus: improving the interrater agreement for artifacts and epileptiform events (TUH Artifact Corpus, TUAR). Buckwalter et al., 2021, IEEE SPMB.</x:v>
      </x:c>
      <x:c r="Q15" s="228" t="str">
        <x:v>01_Signal_Reliability/Artifact_Identification/TUAR_TUH_Artifact</x:v>
      </x:c>
      <x:c r="R15" s="228" t="str">
        <x:v>官方数据存在，但需申请、签署协议或获得权限；TUAR v3.0.1; subset of TUEG; do not add subjects or duration to TUEG totals</x:v>
      </x:c>
      <x:c r="S15" s="228"/>
      <x:c r="T15" s="228"/>
      <x:c r="U15" s="205"/>
    </x:row>
    <x:row r="16" ht="60" customHeight="1">
      <x:c r="A16" s="262" t="str">
        <x:v>EEG-0005</x:v>
      </x:c>
      <x:c r="B16" s="263" t="str">
        <x:v>02_Healthcare_and_Disease</x:v>
      </x:c>
      <x:c r="C16" s="263" t="str">
        <x:v>Epilepsy_and_Abnormalities</x:v>
      </x:c>
      <x:c r="D16" s="263" t="str">
        <x:v>A dataset of neonatal EEG recordings with seizure annotations</x:v>
      </x:c>
      <x:c r="E16" s="263" t="str">
        <x:v>Neonatal EEG Seizure Dataset [EEG-0029]</x:v>
      </x:c>
      <x:c r="F16" s="263" t="str">
        <x:v>Zenodo:4940267 | DOI:10.1038/sdata.2019.39 | Zenodo:2547147</x:v>
      </x:c>
      <x:c r="G16" s="263" t="str">
        <x:v>DOWNLOAD_PUBLIC</x:v>
      </x:c>
      <x:c r="H16" s="263" t="str">
        <x:v>https://zenodo.org/records/4940267 | https://zenodo.org/records/2547147</x:v>
      </x:c>
      <x:c r="I16" s="263" t="str">
        <x:v>seizure annotation；neonatal seizure annotation / seizure detection</x:v>
      </x:c>
      <x:c r="J16" s="263" t="str">
        <x:v>79</x:v>
      </x:c>
      <x:c r="K16" s="263" t="str">
        <x:v>19</x:v>
      </x:c>
      <x:c r="L16" s="263" t="str">
        <x:v>256 Hz</x:v>
      </x:c>
      <x:c r="M16" s="263" t="str">
        <x:v>.mat</x:v>
      </x:c>
      <x:c r="N16" s="263" t="str">
        <x:v>Both</x:v>
      </x:c>
      <x:c r="O16" s="263" t="str">
        <x:v>Fully open</x:v>
      </x:c>
      <x:c r="P16" s="263" t="str">
        <x:v>DOI: 10.1038/sdata.2019.39；Stevenson et al. (2019); EEGFormer dataset table</x:v>
      </x:c>
      <x:c r="Q16" s="263" t="str">
        <x:v>02_Biometrics_and_Disease/Epilepsy_and_Abnormalities/A_dataset_of_neonatal_EEG_recordings_with_seizures_annotations</x:v>
      </x:c>
      <x:c r="R16" s="263" t="str">
        <x:v>EEG-0005 is the newer release and canonical download unit; EEG-0029 retained only in duplicate evidence</x:v>
      </x:c>
      <x:c r="S16" s="263"/>
      <x:c r="T16" s="263"/>
      <x:c r="U16" s="264"/>
    </x:row>
    <x:row r="17" ht="60" customHeight="1">
      <x:c r="A17" s="239" t="str">
        <x:v>EEG-0009</x:v>
      </x:c>
      <x:c r="B17" s="228" t="str">
        <x:v>02_Healthcare_and_Disease</x:v>
      </x:c>
      <x:c r="C17" s="228" t="str">
        <x:v>Epilepsy_and_Abnormalities</x:v>
      </x:c>
      <x:c r="D17" s="228" t="str">
        <x:v>CHB-MIT</x:v>
      </x:c>
      <x:c r="E17" s="228"/>
      <x:c r="F17" s="228" t="str">
        <x:v>PhysioNet:chbmit</x:v>
      </x:c>
      <x:c r="G17" s="228" t="str">
        <x:v>DOWNLOAD_PUBLIC</x:v>
      </x:c>
      <x:c r="H17" s="228" t="str">
        <x:v>https://physionet.org/content/chbmit/1.0.0/</x:v>
      </x:c>
      <x:c r="I17" s="228" t="str">
        <x:v>Seizure detection (binary); no seizure-type classification (dataset does not include seizure types)</x:v>
      </x:c>
      <x:c r="J17" s="228" t="str">
        <x:v>22 subjects (5M/17F; ages 1.5-22); 23 standard cases + chb24 (added Dec 2010)</x:v>
      </x:c>
      <x:c r="K17" s="228" t="str">
        <x:v>23</x:v>
      </x:c>
      <x:c r="L17" s="228" t="str">
        <x:v>256 Hz</x:v>
      </x:c>
      <x:c r="M17" s="228" t="str">
        <x:v>EEG (EDF, PhysioNet); preprocessed by authors into frequency-domain (FFT) components with distance-based EEG graph</x:v>
      </x:c>
      <x:c r="N17" s="228" t="str">
        <x:v>Raw EEG with seizure onset/offset annotations</x:v>
      </x:c>
      <x:c r="O17" s="228" t="str">
        <x:v>Open Access (PhysioNet; ODC Attribution License v1.0)</x:v>
      </x:c>
      <x:c r="P17" s="228" t="str">
        <x:v>Shoeb (2009). Application of Machine Learning to Epileptic Seizure Onset Detection and Treatment. PhD Thesis, Massachusetts Institute of Technology.</x:v>
      </x:c>
      <x:c r="Q17" s="228" t="str">
        <x:v>02_Biometrics_and_Disease/Epilepsy_and_Abnormalities/CHB-MIT</x:v>
      </x:c>
      <x:c r="R17" s="228" t="str">
        <x:v>存在公开仓库、官方入口或稳定数据访问号</x:v>
      </x:c>
      <x:c r="S17" s="228"/>
      <x:c r="T17" s="228"/>
      <x:c r="U17" s="205"/>
    </x:row>
    <x:row r="18" ht="60" customHeight="1">
      <x:c r="A18" s="262" t="str">
        <x:v>EEG-0010</x:v>
      </x:c>
      <x:c r="B18" s="263" t="str">
        <x:v>02_Healthcare_and_Disease</x:v>
      </x:c>
      <x:c r="C18" s="263" t="str">
        <x:v>Epilepsy_and_Abnormalities</x:v>
      </x:c>
      <x:c r="D18" s="263" t="str">
        <x:v>Criteria for defining interictal epileptiform discharges in EEG: a clinical validation study</x:v>
      </x:c>
      <x:c r="E18" s="263"/>
      <x:c r="F18" s="263" t="str">
        <x:v>Zenodo:4688758 | DOI:10.1212/WNL.0000000000009439</x:v>
      </x:c>
      <x:c r="G18" s="263" t="str">
        <x:v>DOWNLOAD_PUBLIC</x:v>
      </x:c>
      <x:c r="H18" s="263" t="str">
        <x:v>https://zenodo.org/records/4688758</x:v>
      </x:c>
      <x:c r="I18" s="263" t="str">
        <x:v>EEG interictal epileptiform discharge</x:v>
      </x:c>
      <x:c r="J18" s="263" t="str">
        <x:v>100</x:v>
      </x:c>
      <x:c r="K18" s="263" t="str">
        <x:v>25</x:v>
      </x:c>
      <x:c r="L18" s="263" t="str">
        <x:v>256 Hz</x:v>
      </x:c>
      <x:c r="M18" s="263" t="str">
        <x:v>EDF</x:v>
      </x:c>
      <x:c r="N18" s="263" t="str">
        <x:v>Processed Data</x:v>
      </x:c>
      <x:c r="O18" s="263" t="str">
        <x:v>Fully open</x:v>
      </x:c>
      <x:c r="P18" s="263" t="str">
        <x:v>DOI: 10.1212/WNL.0000000000009439</x:v>
      </x:c>
      <x:c r="Q18" s="263" t="str">
        <x:v>02_Biometrics_and_Disease/Epilepsy_and_Abnormalities/Criteria_for_defining_interictal_epileptiform_discharges_in_EEG_a_clinical_validation_stud</x:v>
      </x:c>
      <x:c r="R18" s="263" t="str">
        <x:v>存在公开仓库、官方入口或稳定数据访问号</x:v>
      </x:c>
      <x:c r="S18" s="263"/>
      <x:c r="T18" s="263"/>
      <x:c r="U18" s="264"/>
    </x:row>
    <x:row r="19" ht="60" customHeight="1">
      <x:c r="A19" s="239" t="str">
        <x:v>EEG-0013</x:v>
      </x:c>
      <x:c r="B19" s="228" t="str">
        <x:v>02_Healthcare_and_Disease</x:v>
      </x:c>
      <x:c r="C19" s="228" t="str">
        <x:v>Epilepsy_and_Abnormalities</x:v>
      </x:c>
      <x:c r="D19" s="228" t="str">
        <x:v>HFO (High-Frequency Oscillations)</x:v>
      </x:c>
      <x:c r="E19" s="228"/>
      <x:c r="F19" s="228" t="str">
        <x:v>OpenNeuro:ds003555 | BNCI:256-2000</x:v>
      </x:c>
      <x:c r="G19" s="228" t="str">
        <x:v>DOWNLOAD_PUBLIC</x:v>
      </x:c>
      <x:c r="H19" s="228" t="str">
        <x:v>https://openneuro.org/datasets/ds003555</x:v>
      </x:c>
      <x:c r="I19" s="228" t="str">
        <x:v>Scalp HFO (ripple) detection in pediatric epilepsy</x:v>
      </x:c>
      <x:c r="J19" s="228" t="str">
        <x:v>30</x:v>
      </x:c>
      <x:c r="K19" s="228" t="str">
        <x:v>~18-20</x:v>
      </x:c>
      <x:c r="L19" s="228" t="str">
        <x:v>N.A. (likely 256-2000 Hz)</x:v>
      </x:c>
      <x:c r="M19" s="228" t="str">
        <x:v>EDF / BIDS</x:v>
      </x:c>
      <x:c r="N19" s="228" t="str">
        <x:v>Raw + expert HFO/ripple annotations</x:v>
      </x:c>
      <x:c r="O19" s="228" t="str">
        <x:v>Open (OpenNeuro ds003555)</x:v>
      </x:c>
      <x:c r="P19" s="228" t="str">
        <x:v>Scalp EEG dataset with marked high-frequency oscillations in pediatric epilepsy (OpenNeuro ds003555). 2021 (full citation to confirm).</x:v>
      </x:c>
      <x:c r="Q19" s="228" t="str">
        <x:v>02_Biometrics_and_Disease/Epilepsy_and_Abnormalities/HFO_High-Frequency_Oscillations</x:v>
      </x:c>
      <x:c r="R19" s="228" t="str">
        <x:v>存在公开仓库、官方入口或稳定数据访问号</x:v>
      </x:c>
      <x:c r="S19" s="228"/>
      <x:c r="T19" s="228"/>
      <x:c r="U19" s="205"/>
    </x:row>
    <x:row r="20" ht="60" customHeight="1">
      <x:c r="A20" s="262" t="str">
        <x:v>EEG-0017</x:v>
      </x:c>
      <x:c r="B20" s="263" t="str">
        <x:v>02_Healthcare_and_Disease</x:v>
      </x:c>
      <x:c r="C20" s="263" t="str">
        <x:v>Epilepsy_and_Abnormalities</x:v>
      </x:c>
      <x:c r="D20" s="263" t="str">
        <x:v>Intracranial entrainment reveals statistical learning across levels of abstraction</x:v>
      </x:c>
      <x:c r="E20" s="263"/>
      <x:c r="F20" s="263" t="str">
        <x:v>Zenodo:8018664 | DOI:10.1162/jocn_a_02012</x:v>
      </x:c>
      <x:c r="G20" s="263" t="str">
        <x:v>DOWNLOAD_PUBLIC</x:v>
      </x:c>
      <x:c r="H20" s="263" t="str">
        <x:v>https://zenodo.org/records/8018664</x:v>
      </x:c>
      <x:c r="I20" s="263" t="str">
        <x:v>epilepsy/seizure</x:v>
      </x:c>
      <x:c r="J20" s="263" t="str">
        <x:v>8</x:v>
      </x:c>
      <x:c r="K20" s="263" t="str">
        <x:v>Not fixed</x:v>
      </x:c>
      <x:c r="L20" s="263" t="str">
        <x:v>4096 Hz</x:v>
      </x:c>
      <x:c r="M20" s="263" t="str">
        <x:v>EDF</x:v>
      </x:c>
      <x:c r="N20" s="263" t="str">
        <x:v>Raw</x:v>
      </x:c>
      <x:c r="O20" s="263" t="str">
        <x:v>Fully open</x:v>
      </x:c>
      <x:c r="P20" s="263" t="str">
        <x:v>DOI 10.1162/jocn_a_02012</x:v>
      </x:c>
      <x:c r="Q20" s="263" t="str">
        <x:v>02_Biometrics_and_Disease/Epilepsy_and_Abnormalities/Intracranial_entrainment_reveals_statistical_learning_across_levels_of_abstraction</x:v>
      </x:c>
      <x:c r="R20" s="263" t="str">
        <x:v>存在公开仓库、官方入口或稳定数据访问号</x:v>
      </x:c>
      <x:c r="S20" s="263"/>
      <x:c r="T20" s="263"/>
      <x:c r="U20" s="264"/>
    </x:row>
    <x:row r="21" ht="60" customHeight="1">
      <x:c r="A21" s="239" t="str">
        <x:v>EEG-0031</x:v>
      </x:c>
      <x:c r="B21" s="228" t="str">
        <x:v>02_Healthcare_and_Disease</x:v>
      </x:c>
      <x:c r="C21" s="228" t="str">
        <x:v>Epilepsy_and_Abnormalities</x:v>
      </x:c>
      <x:c r="D21" s="228" t="str">
        <x:v>SeizeIT2</x:v>
      </x:c>
      <x:c r="E21" s="228"/>
      <x:c r="F21" s="228" t="str">
        <x:v>OpenNeuro:ds005873</x:v>
      </x:c>
      <x:c r="G21" s="228" t="str">
        <x:v>DOWNLOAD_PUBLIC</x:v>
      </x:c>
      <x:c r="H21" s="228" t="str">
        <x:v>[OpenNeuro ds005873](https://openneuro.org/datasets/ds005873/versions/1.1.0)</x:v>
      </x:c>
      <x:c r="I21" s="228" t="str">
        <x:v>seizure monitoring；wearable / behind-the-ear low-channel EEG</x:v>
      </x:c>
      <x:c r="J21" s="228" t="str">
        <x:v>125</x:v>
      </x:c>
      <x:c r="K21" s="228" t="str">
        <x:v>2</x:v>
      </x:c>
      <x:c r="L21" s="228" t="str">
        <x:v>256Hz</x:v>
      </x:c>
      <x:c r="M21" s="228" t="str">
        <x:v>BIDS</x:v>
      </x:c>
      <x:c r="N21" s="228" t="str">
        <x:v>raw BIDS</x:v>
      </x:c>
      <x:c r="O21" s="228" t="str">
        <x:v>公开下载：OpenNeuro ds005873 v1.1.0；CC0，可网页、OpenNeuro CLI 或 DataLad 获取。</x:v>
      </x:c>
      <x:c r="P21" s="228" t="str">
        <x:v>Miguel Bhagubai; Christos Chatzichristos; Lauren Swinnen; Jaiver Macea; Jingwei Zhang; Lieven Lagae; Katrien Jansen; Andreas Schulze-Bonhage</x:v>
      </x:c>
      <x:c r="Q21" s="228" t="str">
        <x:v>02_Biometrics_and_Disease/Epilepsy_and_Abnormalities/SeizeIT2</x:v>
      </x:c>
      <x:c r="R21" s="228" t="str">
        <x:v>存在公开仓库、官方入口或稳定数据访问号</x:v>
      </x:c>
      <x:c r="S21" s="228"/>
      <x:c r="T21" s="228"/>
      <x:c r="U21" s="205"/>
    </x:row>
    <x:row r="22" ht="60" customHeight="1">
      <x:c r="A22" s="262" t="str">
        <x:v>EEG-0032</x:v>
      </x:c>
      <x:c r="B22" s="263" t="str">
        <x:v>02_Healthcare_and_Disease</x:v>
      </x:c>
      <x:c r="C22" s="263" t="str">
        <x:v>Epilepsy_and_Abnormalities</x:v>
      </x:c>
      <x:c r="D22" s="263" t="str">
        <x:v>Siena Scalp EEG</x:v>
      </x:c>
      <x:c r="E22" s="263"/>
      <x:c r="F22" s="263" t="str">
        <x:v>PhysioNet:siena-scalp-eeg</x:v>
      </x:c>
      <x:c r="G22" s="263" t="str">
        <x:v>DOWNLOAD_PUBLIC</x:v>
      </x:c>
      <x:c r="H22" s="263" t="str">
        <x:v>https://physionet.org/content/siena-scalp-eeg/1.0.0/</x:v>
      </x:c>
      <x:c r="I22" s="263" t="str">
        <x:v>Seizure detection (focal epilepsy)</x:v>
      </x:c>
      <x:c r="J22" s="263" t="str">
        <x:v>14</x:v>
      </x:c>
      <x:c r="K22" s="263" t="str">
        <x:v>29-31 EEG (+EKG; min 21)</x:v>
      </x:c>
      <x:c r="L22" s="263" t="str">
        <x:v>512 Hz</x:v>
      </x:c>
      <x:c r="M22" s="263" t="str">
        <x:v>EDF</x:v>
      </x:c>
      <x:c r="N22" s="263" t="str">
        <x:v>Raw</x:v>
      </x:c>
      <x:c r="O22" s="263" t="str">
        <x:v>Open Data Commons Attribution (PhysioNet)</x:v>
      </x:c>
      <x:c r="P22" s="263" t="str">
        <x:v>EEG synchronization analysis for seizure prediction (Siena Scalp EEG Database). Detti et al., 2020, Processes 8(7):846 / PhysioNet.</x:v>
      </x:c>
      <x:c r="Q22" s="263" t="str">
        <x:v>02_Biometrics_and_Disease/Epilepsy_and_Abnormalities/Siena_Scalp_EEG</x:v>
      </x:c>
      <x:c r="R22" s="263" t="str">
        <x:v>存在公开仓库、官方入口或稳定数据访问号</x:v>
      </x:c>
      <x:c r="S22" s="263"/>
      <x:c r="T22" s="263"/>
      <x:c r="U22" s="264"/>
    </x:row>
    <x:row r="23" ht="60" customHeight="1">
      <x:c r="A23" s="239" t="str">
        <x:v>EEG-0033</x:v>
      </x:c>
      <x:c r="B23" s="228" t="str">
        <x:v>02_Healthcare_and_Disease</x:v>
      </x:c>
      <x:c r="C23" s="228" t="str">
        <x:v>Epilepsy_and_Abnormalities</x:v>
      </x:c>
      <x:c r="D23" s="228" t="str">
        <x:v>TUEP (TUH Epilepsy)</x:v>
      </x:c>
      <x:c r="E23" s="228"/>
      <x:c r="F23" s="228" t="str">
        <x:v>TUH:TUEP:v3.1.0</x:v>
      </x:c>
      <x:c r="G23" s="228" t="str">
        <x:v>DOWNLOAD_APPLICATION_REQUIRED</x:v>
      </x:c>
      <x:c r="H23" s="228" t="str">
        <x:v>https://isip.piconepress.com/projects/nedc/html/tuh_eeg/</x:v>
      </x:c>
      <x:c r="I23" s="228" t="str">
        <x:v>Epilepsy vs non-epilepsy</x:v>
      </x:c>
      <x:c r="J23" s="228" t="str">
        <x:v>200 (~1,648 recordings)</x:v>
      </x:c>
      <x:c r="K23" s="228" t="str">
        <x:v>Varies (≥19)</x:v>
      </x:c>
      <x:c r="L23" s="228" t="str">
        <x:v>256 Hz</x:v>
      </x:c>
      <x:c r="M23" s="228" t="str">
        <x:v>EDF</x:v>
      </x:c>
      <x:c r="N23" s="228" t="str">
        <x:v>Raw</x:v>
      </x:c>
      <x:c r="O23" s="228" t="str">
        <x:v>Free but restricted: signed data-use agreement (help@nedcdata.org)</x:v>
      </x:c>
      <x:c r="P23" s="228" t="str">
        <x:v>Big data resources for EEGs: enabling deep learning research (TUH Epilepsy Corpus, TUEP). Veloso et al., 2017, IEEE SPMB.</x:v>
      </x:c>
      <x:c r="Q23" s="228" t="str">
        <x:v>02_Biometrics_and_Disease/Epilepsy_and_Abnormalities/TUEP_TUH_Epilepsy</x:v>
      </x:c>
      <x:c r="R23" s="228" t="str">
        <x:v>官方数据存在，但需申请、签署协议或获得权限；TUEP v3.1.0; subset of TUEG; do not add subjects or duration to TUEG totals</x:v>
      </x:c>
      <x:c r="S23" s="228"/>
      <x:c r="T23" s="228"/>
      <x:c r="U23" s="205"/>
    </x:row>
    <x:row r="24" ht="60" customHeight="1">
      <x:c r="A24" s="262" t="str">
        <x:v>EEG-0034</x:v>
      </x:c>
      <x:c r="B24" s="263" t="str">
        <x:v>02_Healthcare_and_Disease</x:v>
      </x:c>
      <x:c r="C24" s="263" t="str">
        <x:v>Epilepsy_and_Abnormalities</x:v>
      </x:c>
      <x:c r="D24" s="263" t="str">
        <x:v>TUEV (TUH Events)</x:v>
      </x:c>
      <x:c r="E24" s="263"/>
      <x:c r="F24" s="263" t="str">
        <x:v>TUH:TUEV:v2.0.1</x:v>
      </x:c>
      <x:c r="G24" s="263" t="str">
        <x:v>DOWNLOAD_APPLICATION_REQUIRED</x:v>
      </x:c>
      <x:c r="H24" s="263" t="str">
        <x:v>https://isip.piconepress.com/projects/nedc/html/tuh_eeg/</x:v>
      </x:c>
      <x:c r="I24" s="263" t="str">
        <x:v>EEG event classification (6 classes: SPSW/GPED/PLED/EYEM/ARTF/BCKG)</x:v>
      </x:c>
      <x:c r="J24" s="263" t="str">
        <x:v>370 (518 recordings)</x:v>
      </x:c>
      <x:c r="K24" s="263" t="str">
        <x:v>23 channels in CBraMod; common 16 bipolar montage in benchmarks</x:v>
      </x:c>
      <x:c r="L24" s="263" t="str">
        <x:v>250 Hz in CBraMod</x:v>
      </x:c>
      <x:c r="M24" s="263" t="str">
        <x:v>EDF</x:v>
      </x:c>
      <x:c r="N24" s="263" t="str">
        <x:v>Raw</x:v>
      </x:c>
      <x:c r="O24" s="263" t="str">
        <x:v>Free but restricted: signed data-use agreement (help@nedcdata.org)</x:v>
      </x:c>
      <x:c r="P24" s="263" t="str">
        <x:v>Improved EEG event classification using differential energy (TUH Events Corpus, TUEV). Harati et al., 2015, IEEE SPMB.</x:v>
      </x:c>
      <x:c r="Q24" s="263" t="str">
        <x:v>02_Biometrics_and_Disease/Epilepsy_and_Abnormalities/TUEV_TUH_Events</x:v>
      </x:c>
      <x:c r="R24" s="263" t="str">
        <x:v>官方数据存在，但需申请、签署协议或获得权限；TUEV v2.0.1; subset of TUEG; do not add subjects or duration to TUEG totals</x:v>
      </x:c>
      <x:c r="S24" s="263"/>
      <x:c r="T24" s="263"/>
      <x:c r="U24" s="264"/>
    </x:row>
    <x:row r="25" ht="60" customHeight="1">
      <x:c r="A25" s="239" t="str">
        <x:v>EEG-0035</x:v>
      </x:c>
      <x:c r="B25" s="228" t="str">
        <x:v>02_Healthcare_and_Disease</x:v>
      </x:c>
      <x:c r="C25" s="228" t="str">
        <x:v>Epilepsy_and_Abnormalities</x:v>
      </x:c>
      <x:c r="D25" s="228" t="str">
        <x:v>TUSL (TUH Slowing)</x:v>
      </x:c>
      <x:c r="E25" s="228"/>
      <x:c r="F25" s="228" t="str">
        <x:v>TUH:TUSL:v2.0.1</x:v>
      </x:c>
      <x:c r="G25" s="228" t="str">
        <x:v>DOWNLOAD_APPLICATION_REQUIRED</x:v>
      </x:c>
      <x:c r="H25" s="228" t="str">
        <x:v>https://isip.piconepress.com/projects/nedc/html/tuh_eeg/</x:v>
      </x:c>
      <x:c r="I25" s="228" t="str">
        <x:v>EEG slowing vs seizure vs background (3-class)</x:v>
      </x:c>
      <x:c r="J25" s="228" t="str">
        <x:v>38 (112 files; 300 samples)</x:v>
      </x:c>
      <x:c r="K25" s="228" t="str">
        <x:v>Varies (~22)</x:v>
      </x:c>
      <x:c r="L25" s="228" t="str">
        <x:v>256 Hz</x:v>
      </x:c>
      <x:c r="M25" s="228" t="str">
        <x:v>EDF</x:v>
      </x:c>
      <x:c r="N25" s="228" t="str">
        <x:v>Raw</x:v>
      </x:c>
      <x:c r="O25" s="228" t="str">
        <x:v>Free but restricted: signed data-use agreement (help@nedcdata.org)</x:v>
      </x:c>
      <x:c r="P25" s="228" t="str">
        <x:v>Electroencephalographic slowing: a primary source of error in automatic seizure detection (TUH Slowing Corpus, TUSL). von Weltin et al., 2017, IEEE SPMB.</x:v>
      </x:c>
      <x:c r="Q25" s="228" t="str">
        <x:v>02_Biometrics_and_Disease/Epilepsy_and_Abnormalities/TUSL_TUH_Slowing</x:v>
      </x:c>
      <x:c r="R25" s="228" t="str">
        <x:v>官方数据存在，但需申请、签署协议或获得权限；TUSL v2.0.1; subset of TUEG; do not add subjects or duration to TUEG totals</x:v>
      </x:c>
      <x:c r="S25" s="228"/>
      <x:c r="T25" s="228"/>
      <x:c r="U25" s="205"/>
    </x:row>
    <x:row r="26" ht="60" customHeight="1">
      <x:c r="A26" s="262" t="str">
        <x:v>EEG-0036</x:v>
      </x:c>
      <x:c r="B26" s="263" t="str">
        <x:v>02_Healthcare_and_Disease</x:v>
      </x:c>
      <x:c r="C26" s="263" t="str">
        <x:v>Epilepsy_and_Abnormalities</x:v>
      </x:c>
      <x:c r="D26" s="263" t="str">
        <x:v>TUSZ (TUH Seizure)</x:v>
      </x:c>
      <x:c r="E26" s="263"/>
      <x:c r="F26" s="263" t="str">
        <x:v>TUH:TUSZ:v2.0.6</x:v>
      </x:c>
      <x:c r="G26" s="263" t="str">
        <x:v>DOWNLOAD_APPLICATION_REQUIRED</x:v>
      </x:c>
      <x:c r="H26" s="263" t="str">
        <x:v>https://isip.piconepress.com/projects/nedc/html/tuh_eeg/</x:v>
      </x:c>
      <x:c r="I26" s="263" t="str">
        <x:v>Seizure detection (start/stop/channel/type)</x:v>
      </x:c>
      <x:c r="J26" s="263" t="str">
        <x:v>675 (315 in core; 822 sessions)</x:v>
      </x:c>
      <x:c r="K26" s="263" t="str">
        <x:v>19-128 (varies)</x:v>
      </x:c>
      <x:c r="L26" s="263" t="str">
        <x:v>250 Hz</x:v>
      </x:c>
      <x:c r="M26" s="263" t="str">
        <x:v>EDF</x:v>
      </x:c>
      <x:c r="N26" s="263" t="str">
        <x:v>Raw</x:v>
      </x:c>
      <x:c r="O26" s="263" t="str">
        <x:v>Free but restricted: signed data-use agreement (help@nedcdata.org)</x:v>
      </x:c>
      <x:c r="P26" s="263" t="str">
        <x:v>The Temple University Hospital seizure detection corpus (TUSZ). Shah et al., 2018, Frontiers in Neuroinformatics 12:83.</x:v>
      </x:c>
      <x:c r="Q26" s="263" t="str">
        <x:v>02_Biometrics_and_Disease/Epilepsy_and_Abnormalities/TUSZ_TUH_Seizure</x:v>
      </x:c>
      <x:c r="R26" s="263" t="str">
        <x:v>官方数据存在，但需申请、签署协议或获得权限；TUSZ v2.0.6; subset of TUEG; do not add subjects or duration to TUEG totals</x:v>
      </x:c>
      <x:c r="S26" s="263"/>
      <x:c r="T26" s="263"/>
      <x:c r="U26" s="264"/>
    </x:row>
    <x:row r="27" ht="60" customHeight="1">
      <x:c r="A27" s="239" t="str">
        <x:v>EEG-0040</x:v>
      </x:c>
      <x:c r="B27" s="228" t="str">
        <x:v>02_Healthcare_and_Disease</x:v>
      </x:c>
      <x:c r="C27" s="228" t="str">
        <x:v>Neurodegenerative_Disorders</x:v>
      </x:c>
      <x:c r="D27" s="228" t="str">
        <x:v>AD65 (Alzheimer/FTD)</x:v>
      </x:c>
      <x:c r="E27" s="228"/>
      <x:c r="F27" s="228" t="str">
        <x:v>OpenNeuro:ds004504</x:v>
      </x:c>
      <x:c r="G27" s="228" t="str">
        <x:v>DOWNLOAD_PUBLIC</x:v>
      </x:c>
      <x:c r="H27" s="228" t="str">
        <x:v>https://openneuro.org/datasets/ds004504</x:v>
      </x:c>
      <x:c r="I27" s="228" t="str">
        <x:v>Alzheimer vs frontotemporal dementia vs healthy (resting EC)</x:v>
      </x:c>
      <x:c r="J27" s="228" t="str">
        <x:v>88 (36 AD/23 FTD/29 CN)</x:v>
      </x:c>
      <x:c r="K27" s="228" t="str">
        <x:v>19</x:v>
      </x:c>
      <x:c r="L27" s="228" t="str">
        <x:v>500 Hz</x:v>
      </x:c>
      <x:c r="M27" s="228" t="str">
        <x:v>EEGLAB / EDF / BIDS</x:v>
      </x:c>
      <x:c r="N27" s="228" t="str">
        <x:v>Both (raw + preprocessed derivative)</x:v>
      </x:c>
      <x:c r="O27" s="228" t="str">
        <x:v>Open (OpenNeuro ds004504), CC0</x:v>
      </x:c>
      <x:c r="P27" s="228" t="str">
        <x:v>A dataset of scalp EEG recordings of Alzheimer's disease, frontotemporal dementia and healthy subjects from routine EEG. Miltiadous et al., 2023, Data 8(6):95.</x:v>
      </x:c>
      <x:c r="Q27" s="228" t="str">
        <x:v>02_Biometrics_and_Disease/Neurodegenerative_Disorders/AD65_Alzheimer_FTD</x:v>
      </x:c>
      <x:c r="R27" s="228" t="str">
        <x:v>存在公开仓库、官方入口或稳定数据访问号</x:v>
      </x:c>
      <x:c r="S27" s="228"/>
      <x:c r="T27" s="228"/>
      <x:c r="U27" s="205"/>
    </x:row>
    <x:row r="28" ht="60" customHeight="1">
      <x:c r="A28" s="262" t="str">
        <x:v>EEG-0041</x:v>
      </x:c>
      <x:c r="B28" s="263" t="str">
        <x:v>02_Healthcare_and_Disease</x:v>
      </x:c>
      <x:c r="C28" s="263" t="str">
        <x:v>Neurodegenerative_Disorders</x:v>
      </x:c>
      <x:c r="D28" s="263" t="str">
        <x:v>Alzheimer Risk Classification Sample-enrichment EEG</x:v>
      </x:c>
      <x:c r="E28" s="263"/>
      <x:c r="F28" s="263" t="str">
        <x:v>OpenNeuro:ds007427</x:v>
      </x:c>
      <x:c r="G28" s="263" t="str">
        <x:v>DOWNLOAD_PUBLIC</x:v>
      </x:c>
      <x:c r="H28" s="263" t="str">
        <x:v>[OpenNeuro ds007427](https://openneuro.org/datasets/ds007427/versions/1.0.1)</x:v>
      </x:c>
      <x:c r="I28" s="263" t="str">
        <x:v>Alzheimer’s risk classification；sample enrichment；cognitive / resting EEG biomarkers</x:v>
      </x:c>
      <x:c r="J28" s="263" t="str">
        <x:v>44</x:v>
      </x:c>
      <x:c r="K28" s="263" t="str">
        <x:v>58</x:v>
      </x:c>
      <x:c r="L28" s="263" t="str">
        <x:v>1000Hz</x:v>
      </x:c>
      <x:c r="M28" s="263" t="str">
        <x:v>BIDS</x:v>
      </x:c>
      <x:c r="N28" s="263" t="str">
        <x:v>raw BIDS</x:v>
      </x:c>
      <x:c r="O28" s="263" t="str">
        <x:v>公开下载：OpenNeuro ds007427 v1.0.1；CC0，可网页、OpenNeuro CLI 或 DataLad 获取。</x:v>
      </x:c>
      <x:c r="P28" s="263" t="str">
        <x:v>Verónica Henao Isaza; Carlos Andrés Tobón Quintero; John Fredy Ochoa Gómez</x:v>
      </x:c>
      <x:c r="Q28" s="263" t="str">
        <x:v>02_Biometrics_and_Disease/Neurodegenerative_Disorders/Alzheimer_Risk_Classification_Sample-enrichment_EEG</x:v>
      </x:c>
      <x:c r="R28" s="263" t="str">
        <x:v>存在公开仓库、官方入口或稳定数据访问号</x:v>
      </x:c>
      <x:c r="S28" s="263"/>
      <x:c r="T28" s="263"/>
      <x:c r="U28" s="264"/>
    </x:row>
    <x:row r="29" ht="60" customHeight="1">
      <x:c r="A29" s="239" t="str">
        <x:v>EEG-0045</x:v>
      </x:c>
      <x:c r="B29" s="228" t="str">
        <x:v>02_Healthcare_and_Disease</x:v>
      </x:c>
      <x:c r="C29" s="228" t="str">
        <x:v>Neurodegenerative_Disorders</x:v>
      </x:c>
      <x:c r="D29" s="228" t="str">
        <x:v>EEG p-adic quantum potential accurately identifies depression, schizophrenia and cognitive decline</x:v>
      </x:c>
      <x:c r="E29" s="228" t="str">
        <x:v>P-ADIC [EEG-0046]</x:v>
      </x:c>
      <x:c r="F29" s="228" t="str">
        <x:v>Zenodo:7258868 | DOI:10.1371/journal.pone.0255529 | DOI:10.5061/dryad.8gtht76pw</x:v>
      </x:c>
      <x:c r="G29" s="228" t="str">
        <x:v>DOWNLOAD_PUBLIC</x:v>
      </x:c>
      <x:c r="H29" s="228" t="str">
        <x:v>https://zenodo.org/records/7258868 | [Dryad P-ADIC dataset](https://datadryad.org/dataset/doi:10.5061/dryad.8gtht76pw)</x:v>
      </x:c>
      <x:c r="I29" s="228" t="str">
        <x:v>Resting-state；AD / MCI / healthy control / schizophrenia / depression classification；可构造 neurodegeneration vs psychiatric differential diagnosis</x:v>
      </x:c>
      <x:c r="J29" s="228" t="str">
        <x:v>230/249 (source-version scope differs; see duplicate evidence)</x:v>
      </x:c>
      <x:c r="K29" s="228" t="str">
        <x:v>19</x:v>
      </x:c>
      <x:c r="L29" s="228" t="str">
        <x:v>500 Hz</x:v>
      </x:c>
      <x:c r="M29" s="228" t="str">
        <x:v>.mat</x:v>
      </x:c>
      <x:c r="N29" s="228" t="str">
        <x:v>Processed data</x:v>
      </x:c>
      <x:c r="O29" s="228" t="str">
        <x:v>Fully open</x:v>
      </x:c>
      <x:c r="P29" s="228" t="str">
        <x:v>DOI：10.1371/journal.pone.0255529；未给出</x:v>
      </x:c>
      <x:c r="Q29" s="228" t="str">
        <x:v>02_Biometrics_and_Disease/Neurodegenerative_Disorders/EEG_p-adic_quantum_potential_accurately_identifies_depression_schizophrenia_and_cognitive_</x:v>
      </x:c>
      <x:c r="R29" s="228" t="str">
        <x:v>存在公开仓库、官方入口或稳定数据访问号；2026-08-04去重：EEG-0046并入EEG-0045（Project download-content audit: P-ADIC source duplication）</x:v>
      </x:c>
      <x:c r="S29" s="228"/>
      <x:c r="T29" s="228"/>
      <x:c r="U29" s="205"/>
    </x:row>
    <x:row r="30" ht="60" customHeight="1">
      <x:c r="A30" s="262" t="str">
        <x:v>EEG-0047</x:v>
      </x:c>
      <x:c r="B30" s="263" t="str">
        <x:v>02_Healthcare_and_Disease</x:v>
      </x:c>
      <x:c r="C30" s="263" t="str">
        <x:v>Neurodegenerative_Disorders</x:v>
      </x:c>
      <x:c r="D30" s="263" t="str">
        <x:v>Resting-state high-density EEG using EGI GES 300 for healthy elders, SCD, MCI and Alzheimer's disease</x:v>
      </x:c>
      <x:c r="E30" s="263"/>
      <x:c r="F30" s="263" t="str">
        <x:v>Zenodo:4316608 | DOI:10.3390/brainsci10060392,10.5281/zenodo.4316608</x:v>
      </x:c>
      <x:c r="G30" s="263" t="str">
        <x:v>DOWNLOAD_APPLICATION_REQUIRED</x:v>
      </x:c>
      <x:c r="H30" s="263" t="str">
        <x:v>https://doi.org/10.5281/zenodo.4316608</x:v>
      </x:c>
      <x:c r="I30" s="263" t="str">
        <x:v>including 4 samples of resting-state EEG recording for Alzheimer's Disease (AD), Mild Cognitive Impairment (MCI), Subjective Cognitive Decline (SCD), and Healthy Controls (HC) using the HD-EEG EGI GES 300.</x:v>
      </x:c>
      <x:c r="J30" s="263" t="str">
        <x:v>230</x:v>
      </x:c>
      <x:c r="K30" s="263" t="str">
        <x:v>256</x:v>
      </x:c>
      <x:c r="L30" s="263" t="str">
        <x:v>250 Hz</x:v>
      </x:c>
      <x:c r="M30" s="263" t="str">
        <x:v>.mat</x:v>
      </x:c>
      <x:c r="N30" s="263" t="str">
        <x:v>Processed Data</x:v>
      </x:c>
      <x:c r="O30" s="263" t="str">
        <x:v>Need apply</x:v>
      </x:c>
      <x:c r="P30" s="263" t="str">
        <x:v>DOI: 10.3390/brainsci10060392.</x:v>
      </x:c>
      <x:c r="Q30" s="263" t="str">
        <x:v>02_Biometrics_and_Disease/Neurodegenerative_Disorders/Resting-state_high-density_EEG_using_EGI_GES_300_for_healthy_elders_SCD_MCI_and_Alzheimer_</x:v>
      </x:c>
      <x:c r="R30" s="263" t="str">
        <x:v>官方数据存在，但需申请、签署协议或获得权限</x:v>
      </x:c>
      <x:c r="S30" s="263"/>
      <x:c r="T30" s="263"/>
      <x:c r="U30" s="264"/>
    </x:row>
    <x:row r="31" ht="60" customHeight="1">
      <x:c r="A31" s="239" t="str">
        <x:v>EEG-0052</x:v>
      </x:c>
      <x:c r="B31" s="228" t="str">
        <x:v>02_Healthcare_and_Disease</x:v>
      </x:c>
      <x:c r="C31" s="228" t="str">
        <x:v>Mental_and_Developmental_Disorders</x:v>
      </x:c>
      <x:c r="D31" s="228" t="str">
        <x:v>Depression resting (BDI)</x:v>
      </x:c>
      <x:c r="E31" s="228"/>
      <x:c r="F31" s="228" t="str">
        <x:v>OpenNeuro:ds003478</x:v>
      </x:c>
      <x:c r="G31" s="228" t="str">
        <x:v>DOWNLOAD_PUBLIC</x:v>
      </x:c>
      <x:c r="H31" s="228" t="str">
        <x:v>https://openneuro.org/datasets/ds003478</x:v>
      </x:c>
      <x:c r="I31" s="228" t="str">
        <x:v>Depression severity (high vs low BDI) resting EEG</x:v>
      </x:c>
      <x:c r="J31" s="228" t="str">
        <x:v>122</x:v>
      </x:c>
      <x:c r="K31" s="228" t="str">
        <x:v>64 (+2 EOG)</x:v>
      </x:c>
      <x:c r="L31" s="228" t="str">
        <x:v>500 Hz</x:v>
      </x:c>
      <x:c r="M31" s="228" t="str">
        <x:v>EEGLAB (Curry) / BIDS</x:v>
      </x:c>
      <x:c r="N31" s="228" t="str">
        <x:v>Raw</x:v>
      </x:c>
      <x:c r="O31" s="228" t="str">
        <x:v>Open (OpenNeuro ds003478), CC0</x:v>
      </x:c>
      <x:c r="P31" s="228" t="str">
        <x:v>Resting-state EEG dataset for depression severity grouping via BDI (OpenNeuro ds003478). Cavanagh et al., 2019.</x:v>
      </x:c>
      <x:c r="Q31" s="228" t="str">
        <x:v>02_Biometrics_and_Disease/Mental_and_Developmental_Disorders/Depression_resting_BDI</x:v>
      </x:c>
      <x:c r="R31" s="228" t="str">
        <x:v>存在公开仓库、官方入口或稳定数据访问号</x:v>
      </x:c>
      <x:c r="S31" s="228"/>
      <x:c r="T31" s="228"/>
      <x:c r="U31" s="205"/>
    </x:row>
    <x:row r="32" ht="60" customHeight="1">
      <x:c r="A32" s="262" t="str">
        <x:v>EEG-0053</x:v>
      </x:c>
      <x:c r="B32" s="263" t="str">
        <x:v>02_Healthcare_and_Disease</x:v>
      </x:c>
      <x:c r="C32" s="263" t="str">
        <x:v>Mental_and_Developmental_Disorders</x:v>
      </x:c>
      <x:c r="D32" s="263" t="str">
        <x:v>EEG Data for ADHD</x:v>
      </x:c>
      <x:c r="E32" s="263" t="str">
        <x:v>ADHD-AliMotie</x:v>
      </x:c>
      <x:c r="F32" s="263" t="str">
        <x:v>DOI:10.21227/rzfh-zn36</x:v>
      </x:c>
      <x:c r="G32" s="263" t="str">
        <x:v>DOWNLOAD_PUBLIC</x:v>
      </x:c>
      <x:c r="H32" s="263" t="str">
        <x:v>[IEEE DataPort ADHD-Control Children](https://ieee-dataport.org/open-access/eeg-data-adhd-control-children)</x:v>
      </x:c>
      <x:c r="I32" s="263" t="str">
        <x:v>ADHD vs healthy control classification</x:v>
      </x:c>
      <x:c r="J32" s="263" t="str">
        <x:v>121</x:v>
      </x:c>
      <x:c r="K32" s="263" t="str">
        <x:v>19</x:v>
      </x:c>
      <x:c r="L32" s="263" t="str">
        <x:v>128Hz</x:v>
      </x:c>
      <x:c r="M32" s="263" t="str">
        <x:v>MAT</x:v>
      </x:c>
      <x:c r="N32" s="263" t="str">
        <x:v>raw</x:v>
      </x:c>
      <x:c r="O32" s="263" t="str">
        <x:v>IEEE DataPort open access; DOI 10.21227/rzfh-zn36.</x:v>
      </x:c>
      <x:c r="P32" s="263" t="str">
        <x:v>Motie Nasrabadi et al. (2020); BrainWave evaluation table</x:v>
      </x:c>
      <x:c r="Q32" s="263" t="str">
        <x:v>02_Biometrics_and_Disease/Mental_and_Developmental_Disorders/EEG_Data_for_ADHD</x:v>
      </x:c>
      <x:c r="R32" s="263" t="str">
        <x:v>存在公开仓库、官方入口或稳定数据访问号</x:v>
      </x:c>
      <x:c r="S32" s="263"/>
      <x:c r="T32" s="263"/>
      <x:c r="U32" s="264"/>
    </x:row>
    <x:row r="33" ht="60" customHeight="1">
      <x:c r="A33" s="239" t="str">
        <x:v>EEG-0055</x:v>
      </x:c>
      <x:c r="B33" s="228" t="str">
        <x:v>02_Healthcare_and_Disease</x:v>
      </x:c>
      <x:c r="C33" s="228" t="str">
        <x:v>Mental_and_Developmental_Disorders</x:v>
      </x:c>
      <x:c r="D33" s="228" t="str">
        <x:v>FEPCR</x:v>
      </x:c>
      <x:c r="E33" s="228"/>
      <x:c r="F33" s="228" t="str">
        <x:v>OpenNeuro:ds003944,ds003947</x:v>
      </x:c>
      <x:c r="G33" s="228" t="str">
        <x:v>DOWNLOAD_PUBLIC</x:v>
      </x:c>
      <x:c r="H33" s="228" t="str">
        <x:v>https://huggingface.co/datasets/EEGDash/ds003944</x:v>
      </x:c>
      <x:c r="I33" s="228" t="str">
        <x:v>clinical / first-episode psychosis related EEG; LEAD pretraining source</x:v>
      </x:c>
      <x:c r="J33" s="228" t="str">
        <x:v>82</x:v>
      </x:c>
      <x:c r="K33" s="228" t="str">
        <x:v>61</x:v>
      </x:c>
      <x:c r="L33" s="228" t="str">
        <x:v>1000 Hz</x:v>
      </x:c>
      <x:c r="M33" s="228" t="str">
        <x:v>BIDS; BIDS (JSON, TSV, EEG, VHDR, VMRK)</x:v>
      </x:c>
      <x:c r="N33" s="228" t="str">
        <x:v>raw / release-dependent</x:v>
      </x:c>
      <x:c r="O33" s="228" t="str">
        <x:v>公开下载：OpenNeuro ds003944 与 ds003947；CC0，可网页、OpenNeuro CLI 或 DataLad 获取。</x:v>
      </x:c>
      <x:c r="P33" s="228" t="str">
        <x:v>LEAD; Liu et al. (2026), EEG Foundation Models Tables VIII-XIV</x:v>
      </x:c>
      <x:c r="Q33" s="228" t="str">
        <x:v>02_Biometrics_and_Disease/Mental_and_Developmental_Disorders/FEPCR</x:v>
      </x:c>
      <x:c r="R33" s="228" t="str">
        <x:v>存在公开仓库、官方入口或稳定数据访问号</x:v>
      </x:c>
      <x:c r="S33" s="228"/>
      <x:c r="T33" s="228"/>
      <x:c r="U33" s="205"/>
    </x:row>
    <x:row r="34" ht="60" customHeight="1">
      <x:c r="A34" s="262" t="str">
        <x:v>EEG-0056</x:v>
      </x:c>
      <x:c r="B34" s="263" t="str">
        <x:v>02_Healthcare_and_Disease</x:v>
      </x:c>
      <x:c r="C34" s="263" t="str">
        <x:v>Mental_and_Developmental_Disorders</x:v>
      </x:c>
      <x:c r="D34" s="263" t="str">
        <x:v>Fribourg Ultimatum Game in Schizophrenia Study</x:v>
      </x:c>
      <x:c r="E34" s="263"/>
      <x:c r="F34" s="263" t="str">
        <x:v>OpenNeuro:ds004000 | DOI:10.1016/j.schres.2017.05.037</x:v>
      </x:c>
      <x:c r="G34" s="263" t="str">
        <x:v>DOWNLOAD_APPLICATION_REQUIRED</x:v>
      </x:c>
      <x:c r="H34" s="263" t="str">
        <x:v>https://huggingface.co/datasets/EEGDash/ds004000</x:v>
      </x:c>
      <x:c r="I34" s="263" t="str">
        <x:v>Schizophrenia / psychosis</x:v>
      </x:c>
      <x:c r="J34" s="263" t="str">
        <x:v>43</x:v>
      </x:c>
      <x:c r="K34" s="263" t="str">
        <x:v>132</x:v>
      </x:c>
      <x:c r="L34" s="263" t="str">
        <x:v>2024 Hz</x:v>
      </x:c>
      <x:c r="M34" s="263" t="str">
        <x:v>BIDS; BIDS (JSON, TSV, EEG, VHDR, VMRK)</x:v>
      </x:c>
      <x:c r="N34" s="263" t="str">
        <x:v>Raw Data</x:v>
      </x:c>
      <x:c r="O34" s="263" t="str">
        <x:v>Agreement</x:v>
      </x:c>
      <x:c r="P34" s="263" t="str">
        <x:v>DOI: 10.1016/j.schres.2017.05.037</x:v>
      </x:c>
      <x:c r="Q34" s="263" t="str">
        <x:v>02_Biometrics_and_Disease/Mental_and_Developmental_Disorders/Fribourg_Ultimatum_Game_in_Schizophrenia_Study</x:v>
      </x:c>
      <x:c r="R34" s="263" t="str">
        <x:v>官方数据存在，但需申请、签署协议或获得权限</x:v>
      </x:c>
      <x:c r="S34" s="263"/>
      <x:c r="T34" s="263"/>
      <x:c r="U34" s="264"/>
    </x:row>
    <x:row r="35" ht="60" customHeight="1">
      <x:c r="A35" s="239" t="str">
        <x:v>EEG-0057</x:v>
      </x:c>
      <x:c r="B35" s="228" t="str">
        <x:v>02_Healthcare_and_Disease</x:v>
      </x:c>
      <x:c r="C35" s="228" t="str">
        <x:v>Mental_and_Developmental_Disorders</x:v>
      </x:c>
      <x:c r="D35" s="228" t="str">
        <x:v>MDD (Mumtaz)</x:v>
      </x:c>
      <x:c r="E35" s="228" t="str">
        <x:v>MDD
Mumtaz2016 (MDD Patients and Healthy Controls EEG Data)
Mumtaz2016 depression EEG</x:v>
      </x:c>
      <x:c r="F35" s="228" t="str">
        <x:v>Figshare:3385168,Figshare:4244171 | DOI:10.6084/m9.figshare.4244171</x:v>
      </x:c>
      <x:c r="G35" s="228" t="str">
        <x:v>DOWNLOAD_APPLICATION_REQUIRED</x:v>
      </x:c>
      <x:c r="H35" s="228" t="str">
        <x:v>https://doi.org/10.6084/m9.figshare.4244171</x:v>
      </x:c>
      <x:c r="I35" s="228" t="str">
        <x:v>Depression (MDD) vs healthy (EO/EC + P300); OmniEEG: MDD classification</x:v>
      </x:c>
      <x:c r="J35" s="228" t="str">
        <x:v>64 (34 MDD + 30 HC)</x:v>
      </x:c>
      <x:c r="K35" s="228" t="str">
        <x:v>19</x:v>
      </x:c>
      <x:c r="L35" s="228" t="str">
        <x:v>256 Hz</x:v>
      </x:c>
      <x:c r="M35" s="228" t="str">
        <x:v>EDF / MAT</x:v>
      </x:c>
      <x:c r="N35" s="228" t="str">
        <x:v>Both (raw .edf + some preprocessed)</x:v>
      </x:c>
      <x:c r="O35" s="228" t="str">
        <x:v>Open (figshare 4244171), CC-BY</x:v>
      </x:c>
      <x:c r="P35" s="228" t="str">
        <x:v>A wavelet-based technique to predict treatment outcome for major depressive disorder (MDD patients and healthy controls EEG data). Mumtaz et al., 2017, PLoS ONE 12(2):e0171409.</x:v>
      </x:c>
      <x:c r="Q35" s="228" t="str">
        <x:v>02_Biometrics_and_Disease/Mental_and_Developmental_Disorders/MDD_Mumtaz</x:v>
      </x:c>
      <x:c r="R35" s="228" t="str">
        <x:v>官方数据存在，但需申请、签署协议或获得权限</x:v>
      </x:c>
      <x:c r="S35" s="228"/>
      <x:c r="T35" s="228"/>
      <x:c r="U35" s="205"/>
    </x:row>
    <x:row r="36" ht="60" customHeight="1">
      <x:c r="A36" s="262" t="str">
        <x:v>EEG-0059</x:v>
      </x:c>
      <x:c r="B36" s="263" t="str">
        <x:v>02_Healthcare_and_Disease</x:v>
      </x:c>
      <x:c r="C36" s="263" t="str">
        <x:v>Mental_and_Developmental_Disorders</x:v>
      </x:c>
      <x:c r="D36" s="263" t="str">
        <x:v>Power Spectral Density-Based Resting-State EEG Classification of First-Episode Psychosis</x:v>
      </x:c>
      <x:c r="E36" s="263"/>
      <x:c r="F36" s="263" t="str">
        <x:v>Zenodo:7315010 | DOI:10.1016/j.bpsc.2019.06.010</x:v>
      </x:c>
      <x:c r="G36" s="263" t="str">
        <x:v>DOWNLOAD_PUBLIC</x:v>
      </x:c>
      <x:c r="H36" s="263" t="str">
        <x:v>https://zenodo.org/records/7315010</x:v>
      </x:c>
      <x:c r="I36" s="263" t="str">
        <x:v>Resting-state EEG</x:v>
      </x:c>
      <x:c r="J36" s="263" t="str">
        <x:v>72</x:v>
      </x:c>
      <x:c r="K36" s="263" t="str">
        <x:v>60</x:v>
      </x:c>
      <x:c r="L36" s="263" t="str">
        <x:v>1000 Hz</x:v>
      </x:c>
      <x:c r="M36" s="263" t="str">
        <x:v>.fif</x:v>
      </x:c>
      <x:c r="N36" s="263" t="str">
        <x:v>Processed data</x:v>
      </x:c>
      <x:c r="O36" s="263" t="str">
        <x:v>Fully open</x:v>
      </x:c>
      <x:c r="P36" s="263" t="str">
        <x:v>DOI: 10.1016/j.bpsc.2019.06.010</x:v>
      </x:c>
      <x:c r="Q36" s="263" t="str">
        <x:v>02_Biometrics_and_Disease/Mental_and_Developmental_Disorders/Power_Spectral_Density-Based_Resting-State_EEG_Classification_of_First-Episode_Psychosis</x:v>
      </x:c>
      <x:c r="R36" s="263" t="str">
        <x:v>存在公开仓库、官方入口或稳定数据访问号</x:v>
      </x:c>
      <x:c r="S36" s="263"/>
      <x:c r="T36" s="263"/>
      <x:c r="U36" s="264"/>
    </x:row>
    <x:row r="37" ht="60" customHeight="1">
      <x:c r="A37" s="239" t="str">
        <x:v>EEG-0062</x:v>
      </x:c>
      <x:c r="B37" s="228" t="str">
        <x:v>02_Healthcare_and_Disease</x:v>
      </x:c>
      <x:c r="C37" s="228" t="str">
        <x:v>Neurological_Disorders</x:v>
      </x:c>
      <x:c r="D37" s="228" t="str">
        <x:v>Acute Mild TBI DPX Cognitive-control EEG</x:v>
      </x:c>
      <x:c r="E37" s="228"/>
      <x:c r="F37" s="228" t="str">
        <x:v>OpenNeuro:ds005114</x:v>
      </x:c>
      <x:c r="G37" s="228" t="str">
        <x:v>DOWNLOAD_PUBLIC</x:v>
      </x:c>
      <x:c r="H37" s="228" t="str">
        <x:v>[OpenNeuro ds005114](https://openneuro.org/datasets/ds005114/versions/1.0.0)</x:v>
      </x:c>
      <x:c r="I37" s="228" t="str">
        <x:v>DPX cognitive-control task；acute mild traumatic brain injury</x:v>
      </x:c>
      <x:c r="J37" s="228" t="str">
        <x:v>91</x:v>
      </x:c>
      <x:c r="K37" s="228" t="str">
        <x:v>64</x:v>
      </x:c>
      <x:c r="L37" s="228" t="str">
        <x:v>500Hz</x:v>
      </x:c>
      <x:c r="M37" s="228" t="str">
        <x:v>BIDS</x:v>
      </x:c>
      <x:c r="N37" s="228" t="str">
        <x:v>raw BIDS</x:v>
      </x:c>
      <x:c r="O37" s="228" t="str">
        <x:v>公开下载：OpenNeuro ds005114 v1.0.0；CC0，可网页、OpenNeuro CLI 或 DataLad 获取。</x:v>
      </x:c>
      <x:c r="P37" s="228" t="str">
        <x:v>James F. Cavanagh</x:v>
      </x:c>
      <x:c r="Q37" s="228" t="str">
        <x:v>02_Biometrics_and_Disease/Neurological_Disorders/Acute_Mild_TBI_DPX_Cognitive-control_EEG</x:v>
      </x:c>
      <x:c r="R37" s="228" t="str">
        <x:v>存在公开仓库、官方入口或稳定数据访问号</x:v>
      </x:c>
      <x:c r="S37" s="228"/>
      <x:c r="T37" s="228"/>
      <x:c r="U37" s="205"/>
    </x:row>
    <x:row r="38" ht="60" customHeight="1">
      <x:c r="A38" s="262" t="str">
        <x:v>EEG-0063</x:v>
      </x:c>
      <x:c r="B38" s="263" t="str">
        <x:v>02_Healthcare_and_Disease</x:v>
      </x:c>
      <x:c r="C38" s="263" t="str">
        <x:v>Neurological_Disorders</x:v>
      </x:c>
      <x:c r="D38" s="263" t="str">
        <x:v>Clinical BCI Challenge WCCI 2020 (Stroke Motor Attempt)</x:v>
      </x:c>
      <x:c r="E38" s="263" t="str">
        <x:v>Acute Stroke Motor Imagery EEG Dataset</x:v>
      </x:c>
      <x:c r="F38" s="263" t="str">
        <x:v>GitHub:5anirban9/Clinical-Brain-Computer-Interfaces-Challenge-WCCI-2020-Glasgow</x:v>
      </x:c>
      <x:c r="G38" s="263" t="str">
        <x:v>DOWNLOAD_PUBLIC</x:v>
      </x:c>
      <x:c r="H38" s="263" t="str">
        <x:v>https://github.com/5anirban9/Clinical-Brain-Computer-Interfaces-Challenge-WCCI-2020-Glasgow</x:v>
      </x:c>
      <x:c r="I38" s="263" t="str">
        <x:v>Left-versus-right hand motor attempt in hemiparetic stroke; within- and cross-subject classification</x:v>
      </x:c>
      <x:c r="J38" s="263" t="str">
        <x:v>10 hemiparetic stroke patients (P01-P10; training labels P01-P08)</x:v>
      </x:c>
      <x:c r="K38" s="263" t="str">
        <x:v>12 EEG</x:v>
      </x:c>
      <x:c r="L38" s="263" t="str">
        <x:v>512 Hz</x:v>
      </x:c>
      <x:c r="M38" s="263" t="str">
        <x:v>ZIP containing MATLAB .mat</x:v>
      </x:c>
      <x:c r="N38" s="263" t="str">
        <x:v>Parsed trial matrices (competition release)</x:v>
      </x:c>
      <x:c r="O38" s="263" t="str">
        <x:v>Public challenge repository; follow the WCCI challenge/repository reuse terms.</x:v>
      </x:c>
      <x:c r="P38" s="263" t="str">
        <x:v>Clinical BCI Challenge, WCCI 2020 Glasgow</x:v>
      </x:c>
      <x:c r="Q38" s="263" t="str">
        <x:v>02_Biometrics_and_Disease/Neurological_Disorders/Acute_Stroke_Motor_Imagery_EEG_Dataset</x:v>
      </x:c>
      <x:c r="R38" s="263" t="str">
        <x:v>存在公开仓库、官方入口或稳定数据访问号</x:v>
      </x:c>
      <x:c r="S38" s="263"/>
      <x:c r="T38" s="263"/>
      <x:c r="U38" s="264"/>
    </x:row>
    <x:row r="39" ht="60" customHeight="1">
      <x:c r="A39" s="239" t="str">
        <x:v>EEG-0065</x:v>
      </x:c>
      <x:c r="B39" s="228" t="str">
        <x:v>02_Healthcare_and_Disease</x:v>
      </x:c>
      <x:c r="C39" s="228" t="str">
        <x:v>Neurological_Disorders</x:v>
      </x:c>
      <x:c r="D39" s="228" t="str">
        <x:v>ALS-Spelling (EEG-ET)</x:v>
      </x:c>
      <x:c r="E39" s="228"/>
      <x:c r="F39" s="228" t="str">
        <x:v>DOI:10.6084/m9.figshare.c.6910027.v1 | DOI:10.6084/m9.figshare.24485689.v1</x:v>
      </x:c>
      <x:c r="G39" s="228" t="str">
        <x:v>DOWNLOAD_PUBLIC</x:v>
      </x:c>
      <x:c r="H39" s="228" t="str">
        <x:v>https://doi.org/10.6084/m9.figshare.24485689.v1</x:v>
      </x:c>
      <x:c r="I39" s="228" t="str">
        <x:v>Eye-tracking spelling system usage (ALS)</x:v>
      </x:c>
      <x:c r="J39" s="228" t="str">
        <x:v>176（6 ALS + 170 healthy）</x:v>
      </x:c>
      <x:c r="K39" s="228" t="str">
        <x:v>34</x:v>
      </x:c>
      <x:c r="L39" s="228" t="str">
        <x:v>1000 Hz</x:v>
      </x:c>
      <x:c r="M39" s="228" t="str">
        <x:v>EDF</x:v>
      </x:c>
      <x:c r="N39" s="228" t="str">
        <x:v>Raw</x:v>
      </x:c>
      <x:c r="O39" s="228" t="str">
        <x:v>Open (figshare c.6910027), CC-BY 4.0</x:v>
      </x:c>
      <x:c r="P39" s="228" t="str">
        <x:v>An EEG &amp; eye-tracking dataset of ALS patients &amp; healthy people during eye-tracking-based spelling system usage. Ngo et al., 2024, Scientific Data 11:664.</x:v>
      </x:c>
      <x:c r="Q39" s="228" t="str">
        <x:v>02_Biometrics_and_Disease/Neurological_Disorders/ALS-Spelling_EEG-ET</x:v>
      </x:c>
      <x:c r="R39" s="228" t="str">
        <x:v>存在公开仓库、官方入口或稳定数据访问号</x:v>
      </x:c>
      <x:c r="S39" s="228"/>
      <x:c r="T39" s="228"/>
      <x:c r="U39" s="205"/>
    </x:row>
    <x:row r="40" ht="60" customHeight="1">
      <x:c r="A40" s="262" t="str">
        <x:v>EEG-0066</x:v>
      </x:c>
      <x:c r="B40" s="263" t="str">
        <x:v>04_Cognition_and_Emotion</x:v>
      </x:c>
      <x:c r="C40" s="263" t="str">
        <x:v>Emotion_Recognition</x:v>
      </x:c>
      <x:c r="D40" s="263" t="str">
        <x:v>AMIGOS</x:v>
      </x:c>
      <x:c r="E40" s="263" t="str">
        <x:v>AMIGOS [EEG-0109]; AMIGOS; same official dataset as EEG-0066</x:v>
      </x:c>
      <x:c r="F40" s="263" t="str">
        <x:v>DOI:10.1109/TAFFC.2018.2884461</x:v>
      </x:c>
      <x:c r="G40" s="263" t="str">
        <x:v>DOWNLOAD_APPLICATION_REQUIRED</x:v>
      </x:c>
      <x:c r="H40" s="263" t="str">
        <x:v>https://www.eecs.qmul.ac.uk/mmv/datasets/amigos/</x:v>
      </x:c>
      <x:c r="I40" s="263" t="str">
        <x:v>emotion recognition；EEG-based emotion recognition; binary valence and arousal classification. Used as an augmentation benchmark and as the dataset for adversarial-attack robustness experiments (FGSM, PGD, DeepFool) on emotional arousal</x:v>
      </x:c>
      <x:c r="J40" s="263" t="str">
        <x:v>40</x:v>
      </x:c>
      <x:c r="K40" s="263" t="str">
        <x:v>14</x:v>
      </x:c>
      <x:c r="L40" s="263" t="str">
        <x:v>128 Hz</x:v>
      </x:c>
      <x:c r="M40" s="263" t="str">
        <x:v>.mat</x:v>
      </x:c>
      <x:c r="N40" s="263" t="str">
        <x:v>Both</x:v>
      </x:c>
      <x:c r="O40" s="263" t="str">
        <x:v>Official QMUL access requires an approved request/signed EULA; use only the account holder's issued credentials or download link.</x:v>
      </x:c>
      <x:c r="P40" s="263" t="str">
        <x:v>DOI: 10.1109/TAFFC.2018.2884461；Miranda-Correa et al. (2021). AMIGOS: A Dataset for Affect, Personality and Mood Research on Individuals and Groups. IEEE Transactions on Affective Computing, 12(2):479-493.</x:v>
      </x:c>
      <x:c r="Q40" s="263" t="str">
        <x:v>04_Cognition_and_Emotion/Emotion_Recognition/AMIGOS</x:v>
      </x:c>
      <x:c r="R40" s="263" t="str">
        <x:v>Official AMIGOS dataset; registration/application required; EEG-0109 merged as an alias on 2026-08-04</x:v>
      </x:c>
      <x:c r="S40" s="263"/>
      <x:c r="T40" s="263"/>
      <x:c r="U40" s="264"/>
    </x:row>
    <x:row r="41" ht="60" customHeight="1">
      <x:c r="A41" s="239" t="str">
        <x:v>EEG-0067</x:v>
      </x:c>
      <x:c r="B41" s="228" t="str">
        <x:v>04_Cognition_and_Emotion</x:v>
      </x:c>
      <x:c r="C41" s="228" t="str">
        <x:v>Attention_and_Multisensory</x:v>
      </x:c>
      <x:c r="D41" s="228" t="str">
        <x:v>Auditory-Visual Shift Study</x:v>
      </x:c>
      <x:c r="E41" s="228"/>
      <x:c r="F41" s="228" t="str">
        <x:v>OpenNeuro:ds002893 | DOI:10.1016/j.brainres.2008.02.010</x:v>
      </x:c>
      <x:c r="G41" s="228" t="str">
        <x:v>DOWNLOAD_PUBLIC</x:v>
      </x:c>
      <x:c r="H41" s="228" t="str">
        <x:v>https://openneuro.org/datasets/ds002893</x:v>
      </x:c>
      <x:c r="I41" s="228" t="str">
        <x:v>AuditoryVisualShift</x:v>
      </x:c>
      <x:c r="J41" s="228" t="str">
        <x:v>49</x:v>
      </x:c>
      <x:c r="K41" s="228" t="str">
        <x:v>33</x:v>
      </x:c>
      <x:c r="L41" s="228" t="str">
        <x:v>250 Hz</x:v>
      </x:c>
      <x:c r="M41" s="228" t="str">
        <x:v>BIDS</x:v>
      </x:c>
      <x:c r="N41" s="228" t="str">
        <x:v>RAW</x:v>
      </x:c>
      <x:c r="O41" s="228" t="str">
        <x:v>Fully open</x:v>
      </x:c>
      <x:c r="P41" s="228" t="str">
        <x:v>DOI: 10.1016/j.brainres.2008.02.010</x:v>
      </x:c>
      <x:c r="Q41" s="228" t="str">
        <x:v>02_Biometrics_and_Disease/Neurological_Disorders/Auditory-Visual_Shift_Study</x:v>
      </x:c>
      <x:c r="R41" s="228" t="str">
        <x:v>存在公开仓库、官方入口或稳定数据访问号</x:v>
      </x:c>
      <x:c r="S41" s="228"/>
      <x:c r="T41" s="228"/>
      <x:c r="U41" s="205"/>
    </x:row>
    <x:row r="42" ht="60" customHeight="1">
      <x:c r="A42" s="262" t="str">
        <x:v>EEG-0068</x:v>
      </x:c>
      <x:c r="B42" s="263" t="str">
        <x:v>06_Motor_and_Interaction</x:v>
      </x:c>
      <x:c r="C42" s="263" t="str">
        <x:v>BCI_Competition</x:v>
      </x:c>
      <x:c r="D42" s="263" t="str">
        <x:v>BCI Competition III (2005) Dataset I</x:v>
      </x:c>
      <x:c r="E42" s="263" t="str">
        <x:v>BCI2005_I; motor-imagery ECoG</x:v>
      </x:c>
      <x:c r="F42" s="263" t="str">
        <x:v>BBCI:competition-iii-dataset-i</x:v>
      </x:c>
      <x:c r="G42" s="263" t="str">
        <x:v>DOWNLOAD_PUBLIC</x:v>
      </x:c>
      <x:c r="H42" s="263" t="str">
        <x:v>https://www.bbci.de/competition/iii/</x:v>
      </x:c>
      <x:c r="I42" s="263" t="str">
        <x:v>Cued motor imagery (left pinky versus tongue), ECoG session-to-session transfer</x:v>
      </x:c>
      <x:c r="J42" s="263" t="str">
        <x:v>1</x:v>
      </x:c>
      <x:c r="K42" s="263" t="str">
        <x:v>64 ECoG</x:v>
      </x:c>
      <x:c r="L42" s="263" t="str">
        <x:v>1000 Hz</x:v>
      </x:c>
      <x:c r="M42" s="263" t="str">
        <x:v>GDF</x:v>
      </x:c>
      <x:c r="N42" s="263" t="str">
        <x:v>Raw ECoG competition release</x:v>
      </x:c>
      <x:c r="O42" s="263" t="str">
        <x:v>Public BCI Competition III download; competition reuse terms apply.</x:v>
      </x:c>
      <x:c r="P42" s="263" t="str">
        <x:v>BCI Competition III; Birbaumer, Schölkopf and collaborators</x:v>
      </x:c>
      <x:c r="Q42" s="263" t="str">
        <x:v>02_Biometrics_and_Disease/Neurological_Disorders/BCI_Competition_2003_III_Dataset_I</x:v>
      </x:c>
      <x:c r="R42" s="263" t="str">
        <x:v>存在公开仓库、官方入口或稳定数据访问号</x:v>
      </x:c>
      <x:c r="S42" s="263"/>
      <x:c r="T42" s="263"/>
      <x:c r="U42" s="264"/>
    </x:row>
    <x:row r="43" ht="60" customHeight="1">
      <x:c r="A43" s="239" t="str">
        <x:v>EEG-0069</x:v>
      </x:c>
      <x:c r="B43" s="228" t="str">
        <x:v>06_Motor_and_Interaction</x:v>
      </x:c>
      <x:c r="C43" s="228" t="str">
        <x:v>Interaction_and_Control</x:v>
      </x:c>
      <x:c r="D43" s="228" t="str">
        <x:v>Tsinghua SSVEP Benchmark (Wang 2016)</x:v>
      </x:c>
      <x:c r="E43" s="228" t="str">
        <x:v>TSU (Tsinghua Benchmark SSVEP dataset)
Tsinghua Benchmark SSVEP
Tsinghua SSVEP Benchmark Dataset
Wang2016 SSVEP; SSVEP Benchmark (Wang 2016) [EEG-0445]</x:v>
      </x:c>
      <x:c r="F43" s="228" t="str">
        <x:v>Zenodo:14865172</x:v>
      </x:c>
      <x:c r="G43" s="228" t="str">
        <x:v>DOWNLOAD_PUBLIC</x:v>
      </x:c>
      <x:c r="H43" s="228" t="str">
        <x:v>http://bci.med.tsinghua.edu.cn/download.html (mirror: zenodo.org/records/14865172) | http://bci.med.tsinghua.edu.cn/download.html</x:v>
      </x:c>
      <x:c r="I43" s="228" t="str">
        <x:v>SSVEP 40-target speller (JFPM 8-15.8 Hz)；SSVEP 40-class target recognition (40 frequencies: 8-15.8 Hz, 0.2 Hz step)</x:v>
      </x:c>
      <x:c r="J43" s="228" t="str">
        <x:v>35</x:v>
      </x:c>
      <x:c r="K43" s="228" t="str">
        <x:v>64</x:v>
      </x:c>
      <x:c r="L43" s="228" t="str">
        <x:v>250 Hz (down from 1000)</x:v>
      </x:c>
      <x:c r="M43" s="228" t="str">
        <x:v>MAT</x:v>
      </x:c>
      <x:c r="N43" s="228" t="str">
        <x:v>Processed</x:v>
      </x:c>
      <x:c r="O43" s="228" t="str">
        <x:v>Free download; CC BY 4.0</x:v>
      </x:c>
      <x:c r="P43" s="228"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43" s="228" t="str">
        <x:v>06_Motor_and_Interaction/Interaction_and_Control/Tsinghua_SSVEP_Benchmark_Wang_2016</x:v>
      </x:c>
      <x:c r="R43" s="228" t="str">
        <x:v>官方数据存在，但需申请、签署协议或获得权限；2026-08-04去重：EEG-0445并入EEG-0069（Tsinghua SSVEP Benchmark / Wang 2016）</x:v>
      </x:c>
      <x:c r="S43" s="228"/>
      <x:c r="T43" s="228"/>
      <x:c r="U43" s="205"/>
    </x:row>
    <x:row r="44" ht="60" customHeight="1">
      <x:c r="A44" s="262" t="str">
        <x:v>EEG-0071</x:v>
      </x:c>
      <x:c r="B44" s="263" t="str">
        <x:v>02_Healthcare_and_Disease</x:v>
      </x:c>
      <x:c r="C44" s="263" t="str">
        <x:v>Neurological_Disorders</x:v>
      </x:c>
      <x:c r="D44" s="263" t="str">
        <x:v>BNCI 008-2014 (P300 speller, ALS)</x:v>
      </x:c>
      <x:c r="E44" s="263" t="str">
        <x:v>BNCI2014_008 [EEG-0072]</x:v>
      </x:c>
      <x:c r="F44" s="263" t="str">
        <x:v>BNCI:BNCI 008-2014 | BNCI:008-2014 | DOI:10.3389/fnhum.2013.00732</x:v>
      </x:c>
      <x:c r="G44" s="263" t="str">
        <x:v>DOWNLOAD_PUBLIC</x:v>
      </x:c>
      <x:c r="H44" s="263" t="str">
        <x:v>http://bnci-horizon-2020.eu/database/data-sets | https://bnci-horizon-2020.eu/database/data-sets</x:v>
      </x:c>
      <x:c r="I44" s="263" t="str">
        <x:v>Visual P300 speller matrix spelling task；P300 / ERP target vs non-target; ALS P300 speller</x:v>
      </x:c>
      <x:c r="J44" s="263" t="str">
        <x:v>8</x:v>
      </x:c>
      <x:c r="K44" s="263" t="str">
        <x:v>8 EEG channels</x:v>
      </x:c>
      <x:c r="L44" s="263" t="str">
        <x:v>256 Hz</x:v>
      </x:c>
      <x:c r="M44" s="263" t="str">
        <x:v>MAT</x:v>
      </x:c>
      <x:c r="N44" s="263" t="str">
        <x:v>Raw EEG</x:v>
      </x:c>
      <x:c r="O44" s="263" t="str">
        <x:v>Open, CC BY-NC-ND 4.0, no application</x:v>
      </x:c>
      <x:c r="P44" s="263" t="str">
        <x:v>Riccio/Cincotti, IRCCS Santa Lucia；Riccio et al. (2013); EEG-FM-Compass Table IV (2026)</x:v>
      </x:c>
      <x:c r="Q44" s="263" t="str">
        <x:v>02_Biometrics_and_Disease/Neurological_Disorders/BNCI_008-2014_P300_speller_ALS</x:v>
      </x:c>
      <x:c r="R44" s="263" t="str">
        <x:v>官方数据存在，但需申请、签署协议或获得权限；2026-08-04去重：EEG-0072并入EEG-0071（BNCI 008-2014 / MOABB BNCI2014_008）</x:v>
      </x:c>
      <x:c r="S44" s="263"/>
      <x:c r="T44" s="263"/>
      <x:c r="U44" s="264"/>
    </x:row>
    <x:row r="45" ht="60" customHeight="1">
      <x:c r="A45" s="239" t="str">
        <x:v>EEG-0074</x:v>
      </x:c>
      <x:c r="B45" s="228" t="str">
        <x:v>02_Healthcare_and_Disease</x:v>
      </x:c>
      <x:c r="C45" s="228" t="str">
        <x:v>Neurological_Disorders</x:v>
      </x:c>
      <x:c r="D45" s="228" t="str">
        <x:v>CCEP ECoG Dataset across age 4-51</x:v>
      </x:c>
      <x:c r="E45" s="228"/>
      <x:c r="F45" s="228" t="str">
        <x:v>OpenNeuro:ds004080</x:v>
      </x:c>
      <x:c r="G45" s="228" t="str">
        <x:v>DOWNLOAD_PUBLIC</x:v>
      </x:c>
      <x:c r="H45" s="228" t="str">
        <x:v>[OpenNeuro ds004080](https://openneuro.org/datasets/ds004080/versions/1.2.4)</x:v>
      </x:c>
      <x:c r="I45" s="228" t="str">
        <x:v>cortico-cortical evoked potentials; SPESclin / developmental transmission speed</x:v>
      </x:c>
      <x:c r="J45" s="228" t="str">
        <x:v>74</x:v>
      </x:c>
      <x:c r="K45" s="228" t="str">
        <x:v>64-133</x:v>
      </x:c>
      <x:c r="L45" s="228" t="str">
        <x:v>2048Hz; some 512Hz</x:v>
      </x:c>
      <x:c r="M45" s="228" t="str">
        <x:v>BIDS / iEEG</x:v>
      </x:c>
      <x:c r="N45" s="228" t="str">
        <x:v>raw BIDS + derivatives</x:v>
      </x:c>
      <x:c r="O45" s="228" t="str">
        <x:v>OpenNeuro public; CC0; DataLad/OpenNeuro CLI/EEGDash.</x:v>
      </x:c>
      <x:c r="P45" s="228" t="str">
        <x:v>van Blooijs et al. (2023); BrainWave/Brant-2 dataset table</x:v>
      </x:c>
      <x:c r="Q45" s="228" t="str">
        <x:v>02_Biometrics_and_Disease/Neurological_Disorders/CCEP_ECoG_Dataset_across_age_4-51</x:v>
      </x:c>
      <x:c r="R45" s="228" t="str">
        <x:v>存在公开仓库、官方入口或稳定数据访问号</x:v>
      </x:c>
      <x:c r="S45" s="228"/>
      <x:c r="T45" s="228"/>
      <x:c r="U45" s="205"/>
    </x:row>
    <x:row r="46" ht="60" customHeight="1">
      <x:c r="A46" s="262" t="str">
        <x:v>EEG-0075</x:v>
      </x:c>
      <x:c r="B46" s="263" t="str">
        <x:v>02_Healthcare_and_Disease</x:v>
      </x:c>
      <x:c r="C46" s="263" t="str">
        <x:v>Neurological_Disorders</x:v>
      </x:c>
      <x:c r="D46" s="263" t="str">
        <x:v>Dataset of electrophysiological signals (EEG, ECG, EMG) during Music therapy with adult burn patients in the Intensive Care Unit.</x:v>
      </x:c>
      <x:c r="E46" s="263"/>
      <x:c r="F46" s="263" t="str">
        <x:v>OpenNeuro:ds004840 | DOI:10.18112/openneuro.ds004840.v1.0.1</x:v>
      </x:c>
      <x:c r="G46" s="263" t="str">
        <x:v>DOWNLOAD_PUBLIC</x:v>
      </x:c>
      <x:c r="H46" s="263" t="str">
        <x:v>[OpenNeuro ds004840](https://openneuro.org/datasets/ds004840/versions/1.0.1)</x:v>
      </x:c>
      <x:c r="I46" s="263" t="str">
        <x:v>task-musicTherapy; task-postMusicTherapy; task-preMusicTherapy</x:v>
      </x:c>
      <x:c r="J46" s="263" t="str">
        <x:v>9</x:v>
      </x:c>
      <x:c r="K46" s="263" t="str">
        <x:v>8</x:v>
      </x:c>
      <x:c r="L46" s="263" t="str">
        <x:v>1024Hz</x:v>
      </x:c>
      <x:c r="M46" s="263" t="str">
        <x:v>BIDS</x:v>
      </x:c>
      <x:c r="N46" s="263" t="str">
        <x:v>raw BIDS</x:v>
      </x:c>
      <x:c r="O46" s="263" t="str">
        <x:v>OpenNeuro public download; ds004840 v1.0.1; license CC0; use web / OpenNeuro CLI / DataLad.</x:v>
      </x:c>
      <x:c r="P46" s="263" t="str">
        <x:v>Jose Cordoba-Silva; Rafael Maya; Mario Valderrama; Luis Felipe Giraldo; William Betancourt-Zapata; doi:10.18112/openneuro.ds004840.v1.0.1</x:v>
      </x:c>
      <x:c r="Q46" s="263" t="str">
        <x:v>02_Biometrics_and_Disease/Neurological_Disorders/Dataset_of_electrophysiological_signals_EEG_ECG_EMG_during_Music_therapy_with_adult_burn_p</x:v>
      </x:c>
      <x:c r="R46" s="263" t="str">
        <x:v>存在公开仓库、官方入口或稳定数据访问号</x:v>
      </x:c>
      <x:c r="S46" s="263"/>
      <x:c r="T46" s="263"/>
      <x:c r="U46" s="264"/>
    </x:row>
    <x:row r="47" ht="60" customHeight="1">
      <x:c r="A47" s="239" t="str">
        <x:v>EEG-0076</x:v>
      </x:c>
      <x:c r="B47" s="228" t="str">
        <x:v>04_Cognition_and_Emotion</x:v>
      </x:c>
      <x:c r="C47" s="228" t="str">
        <x:v>Emotion_Recognition</x:v>
      </x:c>
      <x:c r="D47" s="228" t="str">
        <x:v>DEAP</x:v>
      </x:c>
      <x:c r="E47" s="228" t="str">
        <x:v>DEAP [EEG-0118]; DEAP-arousal [EEG-0119]</x:v>
      </x:c>
      <x:c r="F47" s="228" t="str">
        <x:v>DOI:10.1109/T-AFFC.2011.15</x:v>
      </x:c>
      <x:c r="G47" s="228" t="str">
        <x:v>DOWNLOAD_APPLICATION_REQUIRED</x:v>
      </x:c>
      <x:c r="H47" s="228" t="str">
        <x:v>https://www.eecs.qmul.ac.uk/mmv/datasets/deap/</x:v>
      </x:c>
      <x:c r="I47" s="228" t="str">
        <x:v>human affective states；Emotion: valence / arousal / dominance / liking；High/low arousal classification (2 classes)</x:v>
      </x:c>
      <x:c r="J47" s="228" t="str">
        <x:v>32</x:v>
      </x:c>
      <x:c r="K47" s="228" t="str">
        <x:v>32</x:v>
      </x:c>
      <x:c r="L47" s="228" t="str">
        <x:v>512 Hz</x:v>
      </x:c>
      <x:c r="M47" s="228" t="str">
        <x:v>.mat</x:v>
      </x:c>
      <x:c r="N47" s="228" t="str">
        <x:v>Both</x:v>
      </x:c>
      <x:c r="O47" s="228" t="str">
        <x:v>Free for academic research after signing the official DEAP EULA; the issued credentials are user-specific.</x:v>
      </x:c>
      <x:c r="P47" s="228"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47" s="228" t="str">
        <x:v>04_Cognition_and_Emotion/Emotion_Recognition/DEAP</x:v>
      </x:c>
      <x:c r="R47" s="228" t="str">
        <x:v>Official DEAP dataset; registration/application required; EEG-0118 and EEG-0119 merged as aliases on 2026-08-04</x:v>
      </x:c>
      <x:c r="S47" s="228"/>
      <x:c r="T47" s="228"/>
      <x:c r="U47" s="205"/>
    </x:row>
    <x:row r="48" ht="60" customHeight="1">
      <x:c r="A48" s="262" t="str">
        <x:v>EEG-0077</x:v>
      </x:c>
      <x:c r="B48" s="263" t="str">
        <x:v>04_Cognition_and_Emotion</x:v>
      </x:c>
      <x:c r="C48" s="263" t="str">
        <x:v>Attention_and_ERP</x:v>
      </x:c>
      <x:c r="D48" s="263" t="str">
        <x:v>EEG recordings comprising evoked potentials related to attention to colored laminar stimuli</x:v>
      </x:c>
      <x:c r="E48" s="263"/>
      <x:c r="F48" s="263" t="str">
        <x:v>Zenodo:8188857 | DOI:10.1109/COMPENG50184.2022.9905445</x:v>
      </x:c>
      <x:c r="G48" s="263" t="str">
        <x:v>DOWNLOAD_PUBLIC</x:v>
      </x:c>
      <x:c r="H48" s="263" t="str">
        <x:v>https://zenodo.org/records/8188857</x:v>
      </x:c>
      <x:c r="I48" s="263" t="str">
        <x:v>covert spatial-attention BCI binary</x:v>
      </x:c>
      <x:c r="J48" s="263" t="str">
        <x:v>14</x:v>
      </x:c>
      <x:c r="K48" s="263" t="str">
        <x:v>12</x:v>
      </x:c>
      <x:c r="L48" s="263" t="str">
        <x:v>250 Hz</x:v>
      </x:c>
      <x:c r="M48" s="263" t="str">
        <x:v>.mat</x:v>
      </x:c>
      <x:c r="N48" s="263" t="str">
        <x:v>preprocessed data</x:v>
      </x:c>
      <x:c r="O48" s="263" t="str">
        <x:v>Fully open</x:v>
      </x:c>
      <x:c r="P48" s="263" t="str">
        <x:v>DOI: 10.1109/COMPENG50184.2022.9905445</x:v>
      </x:c>
      <x:c r="Q48" s="263" t="str">
        <x:v>02_Biometrics_and_Disease/Neurological_Disorders/EEG_recordings_comprising_evoked_potentials_related_to_attention_to_colored_laminar_stimul</x:v>
      </x:c>
      <x:c r="R48" s="263" t="str">
        <x:v>存在公开仓库、官方入口或稳定数据访问号</x:v>
      </x:c>
      <x:c r="S48" s="263"/>
      <x:c r="T48" s="263"/>
      <x:c r="U48" s="264"/>
    </x:row>
    <x:row r="49" ht="60" customHeight="1">
      <x:c r="A49" s="239" t="str">
        <x:v>EEG-0078</x:v>
      </x:c>
      <x:c r="B49" s="228" t="str">
        <x:v>02_Healthcare_and_Disease</x:v>
      </x:c>
      <x:c r="C49" s="228" t="str">
        <x:v>Neurological_Disorders</x:v>
      </x:c>
      <x:c r="D49" s="228" t="str">
        <x:v>EEG: 3-Stim Auditory Oddball and Rest in Parkinson’s</x:v>
      </x:c>
      <x:c r="E49" s="228" t="str">
        <x:v>Parkinson's EEG (3-Stim Auditory Oddball + Rest, OpenNeuro ds003490)</x:v>
      </x:c>
      <x:c r="F49" s="228" t="str">
        <x:v>OpenNeuro:ds003490 | DOI:10.1016/j.clinph.2017.11.023</x:v>
      </x:c>
      <x:c r="G49" s="228" t="str">
        <x:v>DOWNLOAD_APPLICATION_REQUIRED</x:v>
      </x:c>
      <x:c r="H49" s="228" t="str">
        <x:v>https://huggingface.co/datasets/EEGDash/ds003490</x:v>
      </x:c>
      <x:c r="I49" s="228" t="str">
        <x:v>Parkinson’s disease</x:v>
      </x:c>
      <x:c r="J49" s="228" t="str">
        <x:v>50</x:v>
      </x:c>
      <x:c r="K49" s="228" t="str">
        <x:v>67</x:v>
      </x:c>
      <x:c r="L49" s="228" t="str">
        <x:v>500 Hz</x:v>
      </x:c>
      <x:c r="M49" s="228" t="str">
        <x:v>.set + .fdt</x:v>
      </x:c>
      <x:c r="N49" s="228" t="str">
        <x:v>Raw Data</x:v>
      </x:c>
      <x:c r="O49" s="228" t="str">
        <x:v>Agreement</x:v>
      </x:c>
      <x:c r="P49" s="228" t="str">
        <x:v>DOI：10.1016/j.clinph.2017.11.023</x:v>
      </x:c>
      <x:c r="Q49" s="228" t="str">
        <x:v>02_Biometrics_and_Disease/Neurological_Disorders/EEG_3-Stim_Auditory_Oddball_and_Rest_in_Parkinson_s</x:v>
      </x:c>
      <x:c r="R49" s="228" t="str">
        <x:v>官方数据存在，但需申请、签署协议或获得权限</x:v>
      </x:c>
      <x:c r="S49" s="228"/>
      <x:c r="T49" s="228"/>
      <x:c r="U49" s="205"/>
    </x:row>
    <x:row r="50" ht="60" customHeight="1">
      <x:c r="A50" s="262" t="str">
        <x:v>EEG-0079</x:v>
      </x:c>
      <x:c r="B50" s="263" t="str">
        <x:v>02_Healthcare_and_Disease</x:v>
      </x:c>
      <x:c r="C50" s="263" t="str">
        <x:v>Neurological_Disorders</x:v>
      </x:c>
      <x:c r="D50" s="263" t="str">
        <x:v>EEG: Reinforcement Learning in Parkinson’s</x:v>
      </x:c>
      <x:c r="E50" s="263"/>
      <x:c r="F50" s="263" t="str">
        <x:v>OpenNeuro:ds003506 | DOI:10.1016/j.brainres.2019.146541</x:v>
      </x:c>
      <x:c r="G50" s="263" t="str">
        <x:v>DOWNLOAD_APPLICATION_REQUIRED</x:v>
      </x:c>
      <x:c r="H50" s="263" t="str">
        <x:v>https://huggingface.co/datasets/EEGDash/ds003506</x:v>
      </x:c>
      <x:c r="I50" s="263" t="str">
        <x:v>Parkinson’s disease / reinforcement learning task</x:v>
      </x:c>
      <x:c r="J50" s="263" t="str">
        <x:v>56</x:v>
      </x:c>
      <x:c r="K50" s="263" t="str">
        <x:v>67</x:v>
      </x:c>
      <x:c r="L50" s="263" t="str">
        <x:v>500 Hz</x:v>
      </x:c>
      <x:c r="M50" s="263" t="str">
        <x:v>.set + .fdt</x:v>
      </x:c>
      <x:c r="N50" s="263" t="str">
        <x:v>Raw Data</x:v>
      </x:c>
      <x:c r="O50" s="263" t="str">
        <x:v>Agreement</x:v>
      </x:c>
      <x:c r="P50" s="263" t="str">
        <x:v>DOI: 10.1016/j.brainres.2019.146541</x:v>
      </x:c>
      <x:c r="Q50" s="263" t="str">
        <x:v>02_Biometrics_and_Disease/Neurological_Disorders/EEG_Reinforcement_Learning_in_Parkinson_s</x:v>
      </x:c>
      <x:c r="R50" s="263" t="str">
        <x:v>官方数据存在，但需申请、签署协议或获得权限</x:v>
      </x:c>
      <x:c r="S50" s="263"/>
      <x:c r="T50" s="263"/>
      <x:c r="U50" s="264"/>
    </x:row>
    <x:row r="51" ht="60" customHeight="1">
      <x:c r="A51" s="239" t="str">
        <x:v>EEG-0080</x:v>
      </x:c>
      <x:c r="B51" s="228" t="str">
        <x:v>02_Healthcare_and_Disease</x:v>
      </x:c>
      <x:c r="C51" s="228" t="str">
        <x:v>Neurological_Disorders</x:v>
      </x:c>
      <x:c r="D51" s="228" t="str">
        <x:v>EEG: Simon Conflict in Parkinson's</x:v>
      </x:c>
      <x:c r="E51" s="228"/>
      <x:c r="F51" s="228" t="str">
        <x:v>OpenNeuro:ds003509</x:v>
      </x:c>
      <x:c r="G51" s="228" t="str">
        <x:v>DOWNLOAD_PUBLIC</x:v>
      </x:c>
      <x:c r="H51" s="228" t="str">
        <x:v>https://huggingface.co/datasets/EEGDash/ds003509</x:v>
      </x:c>
      <x:c r="I51" s="228" t="str">
        <x:v>Simon conflict task；cognitive control；Parkinson medication/session effects</x:v>
      </x:c>
      <x:c r="J51" s="228" t="str">
        <x:v>56</x:v>
      </x:c>
      <x:c r="K51" s="228" t="str">
        <x:v>67</x:v>
      </x:c>
      <x:c r="L51" s="228" t="str">
        <x:v>500 Hz</x:v>
      </x:c>
      <x:c r="M51" s="228" t="str">
        <x:v>.set + .fdt</x:v>
      </x:c>
      <x:c r="N51" s="228" t="str">
        <x:v>Raw Data</x:v>
      </x:c>
      <x:c r="O51" s="228" t="str">
        <x:v>公开下载：OpenNeuro ds003509 v1.1.0；CC0，可网页、OpenNeuro CLI 或 DataLad 获取。</x:v>
      </x:c>
      <x:c r="P51" s="228" t="str">
        <x:v>James F. Cavanagh; Arun Singh; Kumar Narayanan</x:v>
      </x:c>
      <x:c r="Q51" s="228" t="str">
        <x:v>02_Biometrics_and_Disease/Neurological_Disorders/EEG_Simon_Conflict_in_Parkinson_s</x:v>
      </x:c>
      <x:c r="R51" s="228" t="str">
        <x:v>存在公开仓库、官方入口或稳定数据访问号</x:v>
      </x:c>
      <x:c r="S51" s="228"/>
      <x:c r="T51" s="228"/>
      <x:c r="U51" s="205"/>
    </x:row>
    <x:row r="52" ht="60" customHeight="1">
      <x:c r="A52" s="262" t="str">
        <x:v>EEG-0081</x:v>
      </x:c>
      <x:c r="B52" s="263" t="str">
        <x:v>02_Healthcare_and_Disease</x:v>
      </x:c>
      <x:c r="C52" s="263" t="str">
        <x:v>Neurological_Disorders</x:v>
      </x:c>
      <x:c r="D52" s="263" t="str">
        <x:v>EEG: Three-Stim Auditory Oddball and Rest in Acute and Chronic TBI</x:v>
      </x:c>
      <x:c r="E52" s="263"/>
      <x:c r="F52" s="263" t="str">
        <x:v>OpenNeuro:ds003522,ds003523 | DOI:10.18112/openneuro.ds003522.v1.1.0</x:v>
      </x:c>
      <x:c r="G52" s="263" t="str">
        <x:v>DOWNLOAD_PUBLIC</x:v>
      </x:c>
      <x:c r="H52" s="263" t="str">
        <x:v>https://huggingface.co/datasets/EEGDash/ds003522</x:v>
      </x:c>
      <x:c r="I52" s="263" t="str">
        <x:v>three-stim auditory oddball；rest；visual working memory in acute / chronic TBI</x:v>
      </x:c>
      <x:c r="J52" s="263" t="str">
        <x:v>96</x:v>
      </x:c>
      <x:c r="K52" s="263" t="str">
        <x:v>64</x:v>
      </x:c>
      <x:c r="L52" s="263" t="str">
        <x:v>500 Hz</x:v>
      </x:c>
      <x:c r="M52" s="263" t="str">
        <x:v>BIDS; BIDS (JSON, TSV, FDT, SET, MAT)</x:v>
      </x:c>
      <x:c r="N52" s="263" t="str">
        <x:v>Raw Data</x:v>
      </x:c>
      <x:c r="O52" s="263" t="str">
        <x:v>公开下载：OpenNeuro ds003522 与 ds003523；CC0，可网页、OpenNeuro CLI 或 DataLad 获取。</x:v>
      </x:c>
      <x:c r="P52" s="263" t="str">
        <x:v>DOI: 10.18112/openneuro.ds003522.v1.1.0</x:v>
      </x:c>
      <x:c r="Q52" s="263" t="str">
        <x:v>02_Biometrics_and_Disease/Neurological_Disorders/EEG_Three-Stim_Auditory_Oddball_and_Rest_in_Acute_and_Chronic_TBI</x:v>
      </x:c>
      <x:c r="R52" s="263" t="str">
        <x:v>存在公开仓库、官方入口或稳定数据访问号</x:v>
      </x:c>
      <x:c r="S52" s="263"/>
      <x:c r="T52" s="263"/>
      <x:c r="U52" s="264"/>
    </x:row>
    <x:row r="53" ht="60" customHeight="1">
      <x:c r="A53" s="239" t="str">
        <x:v>EEG-0082</x:v>
      </x:c>
      <x:c r="B53" s="228" t="str">
        <x:v>08_Health_and_Population</x:v>
      </x:c>
      <x:c r="C53" s="228" t="str">
        <x:v>Sensory_Physiology</x:v>
      </x:c>
      <x:c r="D53" s="228" t="str">
        <x:v>Human Spinal-cord Somatosensory Evoked Potentials EEG</x:v>
      </x:c>
      <x:c r="E53" s="228"/>
      <x:c r="F53" s="228" t="str">
        <x:v>OpenNeuro:ds004388</x:v>
      </x:c>
      <x:c r="G53" s="228" t="str">
        <x:v>DOWNLOAD_PUBLIC</x:v>
      </x:c>
      <x:c r="H53" s="228" t="str">
        <x:v>[OpenNeuro ds004388](https://openneuro.org/datasets/ds004388/versions/1.0.0)</x:v>
      </x:c>
      <x:c r="I53" s="228" t="str">
        <x:v>mixed nerve stimulation；spinal cord SEP；EEG/ESG/ENG physiology</x:v>
      </x:c>
      <x:c r="J53" s="228" t="str">
        <x:v>40</x:v>
      </x:c>
      <x:c r="K53" s="228" t="str">
        <x:v>64</x:v>
      </x:c>
      <x:c r="L53" s="228" t="str">
        <x:v>10000Hz</x:v>
      </x:c>
      <x:c r="M53" s="228" t="str">
        <x:v>BIDS</x:v>
      </x:c>
      <x:c r="N53" s="228" t="str">
        <x:v>raw BIDS</x:v>
      </x:c>
      <x:c r="O53" s="228" t="str">
        <x:v>公开下载：OpenNeuro ds004388 v1.0.0；CC0，可网页、OpenNeuro CLI 或 DataLad 获取。</x:v>
      </x:c>
      <x:c r="P53" s="228" t="str">
        <x:v>Birgit Nierula; Tilman Stephani; Merve Kaptan; André Moruaux; Burkhard Maess; Gabriel Curio; Vadim V. Nikulin; Falk Eippert</x:v>
      </x:c>
      <x:c r="Q53" s="228" t="str">
        <x:v>02_Biometrics_and_Disease/Neurological_Disorders/Human_Spinal-cord_Somatosensory_Evoked_Potentials_EEG</x:v>
      </x:c>
      <x:c r="R53" s="228" t="str">
        <x:v>存在公开仓库、官方入口或稳定数据访问号</x:v>
      </x:c>
      <x:c r="S53" s="228"/>
      <x:c r="T53" s="228"/>
      <x:c r="U53" s="205"/>
    </x:row>
    <x:row r="54" ht="60" customHeight="1">
      <x:c r="A54" s="262" t="str">
        <x:v>EEG-0083</x:v>
      </x:c>
      <x:c r="B54" s="263" t="str">
        <x:v>02_Healthcare_and_Disease</x:v>
      </x:c>
      <x:c r="C54" s="263" t="str">
        <x:v>Neurological_Disorders</x:v>
      </x:c>
      <x:c r="D54" s="263" t="str">
        <x:v>Intraoperative Medianus-tibialis Stimulation EEG</x:v>
      </x:c>
      <x:c r="E54" s="263"/>
      <x:c r="F54" s="263" t="str">
        <x:v>OpenNeuro:ds004381</x:v>
      </x:c>
      <x:c r="G54" s="263" t="str">
        <x:v>DOWNLOAD_PUBLIC</x:v>
      </x:c>
      <x:c r="H54" s="263" t="str">
        <x:v>[OpenNeuro ds004381](https://openneuro.org/datasets/ds004381/versions/1.0.2)</x:v>
      </x:c>
      <x:c r="I54" s="263" t="str">
        <x:v>intraoperative somatosensory evoked potentials；medianus/tibialis stimulation rates</x:v>
      </x:c>
      <x:c r="J54" s="263" t="str">
        <x:v>18</x:v>
      </x:c>
      <x:c r="K54" s="263" t="str">
        <x:v>5</x:v>
      </x:c>
      <x:c r="L54" s="263" t="str">
        <x:v>20000Hz</x:v>
      </x:c>
      <x:c r="M54" s="263" t="str">
        <x:v>BIDS</x:v>
      </x:c>
      <x:c r="N54" s="263" t="str">
        <x:v>raw BIDS</x:v>
      </x:c>
      <x:c r="O54" s="263" t="str">
        <x:v>公开下载：OpenNeuro ds004381 v1.0.2；CC0，可网页、OpenNeuro CLI 或 DataLad 获取。</x:v>
      </x:c>
      <x:c r="P54" s="263" t="str">
        <x:v>Giorgio Selmin; Vasileios Dimakopoulos; Niklaus Krayenbühl; Luca Regli; Johannes Sarnthein</x:v>
      </x:c>
      <x:c r="Q54" s="263" t="str">
        <x:v>02_Biometrics_and_Disease/Neurological_Disorders/Intraoperative_Medianus-tibialis_Stimulation_EEG</x:v>
      </x:c>
      <x:c r="R54" s="263" t="str">
        <x:v>存在公开仓库、官方入口或稳定数据访问号</x:v>
      </x:c>
      <x:c r="S54" s="263"/>
      <x:c r="T54" s="263"/>
      <x:c r="U54" s="264"/>
    </x:row>
    <x:row r="55" ht="60" customHeight="1">
      <x:c r="A55" s="239" t="str">
        <x:v>EEG-0084</x:v>
      </x:c>
      <x:c r="B55" s="228" t="str">
        <x:v>02_Healthcare_and_Disease</x:v>
      </x:c>
      <x:c r="C55" s="228" t="str">
        <x:v>Neurological_Disorders</x:v>
      </x:c>
      <x:c r="D55" s="228" t="str">
        <x:v>Liu2024</x:v>
      </x:c>
      <x:c r="E55" s="228" t="str">
        <x:v>Liu (2024)
MI-Acute-Stroke
SPMI (Stroke Patient Motor Imagery EEG dataset, Liu et al. 2024a)</x:v>
      </x:c>
      <x:c r="F55" s="228" t="str">
        <x:v>Figshare:21679035 | DOI:10.1038/s41597-023-02787-8,10.6084/m9.figshare.21679035,10.6084/m9.figshare.21679035.v5</x:v>
      </x:c>
      <x:c r="G55" s="228" t="str">
        <x:v>DOWNLOAD_APPLICATION_REQUIRED</x:v>
      </x:c>
      <x:c r="H55" s="228" t="str">
        <x:v>https://moabb.neurotechx.com/docs/generated/moabb.datasets.Liu2024.html</x:v>
      </x:c>
      <x:c r="I55" s="228" t="str">
        <x:v>acute-stroke motor imagery: left/right hand-grip imagination</x:v>
      </x:c>
      <x:c r="J55" s="228" t="str">
        <x:v>50</x:v>
      </x:c>
      <x:c r="K55" s="228" t="str">
        <x:v>29</x:v>
      </x:c>
      <x:c r="L55" s="228" t="str">
        <x:v>500 Hz</x:v>
      </x:c>
      <x:c r="M55" s="228" t="str">
        <x:v>Figshare / MOABB-supported</x:v>
      </x:c>
      <x:c r="N55" s="228" t="str">
        <x:v>preprocessed / MOABB-supported</x:v>
      </x:c>
      <x:c r="O55" s="228" t="str">
        <x:v>Figshare DOI 10.6084/m9.figshare.21679035.v5; REVE Appendix B MOABB source; CC BY 4.0.</x:v>
      </x:c>
      <x:c r="P55" s="228" t="str">
        <x:v>Liu et al. (2024); REVE Appendix B</x:v>
      </x:c>
      <x:c r="Q55" s="228" t="str">
        <x:v>02_Biometrics_and_Disease/Neurological_Disorders/Liu2024</x:v>
      </x:c>
      <x:c r="R55" s="228" t="str">
        <x:v>官方数据存在，但需申请、签署协议或获得权限</x:v>
      </x:c>
      <x:c r="S55" s="228"/>
      <x:c r="T55" s="228"/>
      <x:c r="U55" s="205"/>
    </x:row>
    <x:row r="56" ht="60" customHeight="1">
      <x:c r="A56" s="262" t="str">
        <x:v>EEG-0085</x:v>
      </x:c>
      <x:c r="B56" s="263" t="str">
        <x:v>02_Healthcare_and_Disease</x:v>
      </x:c>
      <x:c r="C56" s="263" t="str">
        <x:v>Neurological_Disorders</x:v>
      </x:c>
      <x:c r="D56" s="263" t="str">
        <x:v>Lower-Limb-MI (stroke)</x:v>
      </x:c>
      <x:c r="E56" s="263" t="str">
        <x:v>Liu (2019) [EEG-0396]</x:v>
      </x:c>
      <x:c r="F56" s="263" t="str">
        <x:v>Figshare:27130299 | DOI:10.6084/m9.figshare.27130299</x:v>
      </x:c>
      <x:c r="G56" s="263" t="str">
        <x:v>DOWNLOAD_PUBLIC</x:v>
      </x:c>
      <x:c r="H56" s="263" t="str">
        <x:v>https://springernature.figshare.com/articles/dataset/Lower_limb_motor_imagery_EEG.../27130299 | Figshare (Springer Nature), DOI:10.6084/m9.figshare.27130299</x:v>
      </x:c>
      <x:c r="I56" s="263" t="str">
        <x:v>Lower-limb motor imagery (stroke rehab)；MI</x:v>
      </x:c>
      <x:c r="J56" s="263" t="str">
        <x:v>27</x:v>
      </x:c>
      <x:c r="K56" s="263" t="str">
        <x:v>64</x:v>
      </x:c>
      <x:c r="L56" s="263" t="str">
        <x:v>1000 Hz</x:v>
      </x:c>
      <x:c r="M56" s="263" t="str">
        <x:v>EEGLAB</x:v>
      </x:c>
      <x:c r="N56" s="263" t="str">
        <x:v>Both (raw + preprocessed .set)</x:v>
      </x:c>
      <x:c r="O56" s="263" t="str">
        <x:v>Open (figshare 27130299); paper CC BY-NC-ND</x:v>
      </x:c>
      <x:c r="P56" s="263" t="str">
        <x:v>Lower limb motor imagery EEG dataset based on the multi-paradigm and longitudinal-training of stroke patients. Liu et al., 2025, Scientific Data 12:314.；Liu Y, Gui Z, Yan D, Wang Z, Gao R, Han N, Chen J, Wu J, Ming D. Sci Data 2025;12:314 (27 stroke patients, lower-limb MI)</x:v>
      </x:c>
      <x:c r="Q56" s="263" t="str">
        <x:v>02_Biometrics_and_Disease/Neurological_Disorders/Lower-Limb-MI_stroke</x:v>
      </x:c>
      <x:c r="R56" s="263" t="str">
        <x:v>存在公开仓库、官方入口或稳定数据访问号；2026-08-04去重：EEG-0396并入EEG-0085（Figshare article 27130299）</x:v>
      </x:c>
      <x:c r="S56" s="263"/>
      <x:c r="T56" s="263"/>
      <x:c r="U56" s="264"/>
    </x:row>
    <x:row r="57" ht="60" customHeight="1">
      <x:c r="A57" s="239" t="str">
        <x:v>EEG-0087</x:v>
      </x:c>
      <x:c r="B57" s="228" t="str">
        <x:v>02_Healthcare_and_Disease</x:v>
      </x:c>
      <x:c r="C57" s="228" t="str">
        <x:v>Neurological_Disorders</x:v>
      </x:c>
      <x:c r="D57" s="228" t="str">
        <x:v>Ultra High-Density EEG of Interictal Migraine and Controls</x:v>
      </x:c>
      <x:c r="E57" s="228" t="str">
        <x:v>Migrainedb; KiltHub 12636731</x:v>
      </x:c>
      <x:c r="F57" s="228" t="str">
        <x:v>DOI:10.1184/R1/12636731</x:v>
      </x:c>
      <x:c r="G57" s="228" t="str">
        <x:v>DOWNLOAD_PUBLIC</x:v>
      </x:c>
      <x:c r="H57" s="228" t="str">
        <x:v>https://kilthub.cmu.edu/articles/dataset/Ultra_high-density_EEG_recording_of_interictal_migraine_and_controls_sensory_and_rest/12636731</x:v>
      </x:c>
      <x:c r="I57" s="228" t="str">
        <x:v>Rest, 4/6 Hz visual SSVEP, and 4/6 Hz auditory SSAEP in interictal migraine versus controls</x:v>
      </x:c>
      <x:c r="J57" s="228" t="str">
        <x:v>35 (17 migraine + 18 controls)</x:v>
      </x:c>
      <x:c r="K57" s="228" t="str">
        <x:v>128 EEG</x:v>
      </x:c>
      <x:c r="L57" s="228" t="str">
        <x:v>2048 Hz</x:v>
      </x:c>
      <x:c r="M57" s="228" t="str">
        <x:v>ZIP containing BDF plus stimuli and demographics</x:v>
      </x:c>
      <x:c r="N57" s="228" t="str">
        <x:v>Raw EEG</x:v>
      </x:c>
      <x:c r="O57" s="228" t="str">
        <x:v>Public KiltHub release; CC BY 4.0.</x:v>
      </x:c>
      <x:c r="P57" s="228" t="str">
        <x:v>Chamanzar, Haigh, Grover, Behrmann (2020/2021)</x:v>
      </x:c>
      <x:c r="Q57" s="228" t="str">
        <x:v>02_Biometrics_and_Disease/Neurological_Disorders/Migrainedb</x:v>
      </x:c>
      <x:c r="R57" s="228" t="str">
        <x:v>存在公开仓库、官方入口或稳定数据访问号</x:v>
      </x:c>
      <x:c r="S57" s="228"/>
      <x:c r="T57" s="228"/>
      <x:c r="U57" s="205"/>
    </x:row>
    <x:row r="58" ht="60" customHeight="1">
      <x:c r="A58" s="262" t="str">
        <x:v>EEG-0089</x:v>
      </x:c>
      <x:c r="B58" s="263" t="str">
        <x:v>02_Healthcare_and_Disease</x:v>
      </x:c>
      <x:c r="C58" s="263" t="str">
        <x:v>Neurological_Disorders</x:v>
      </x:c>
      <x:c r="D58" s="263" t="str">
        <x:v>Mu and Beta Oscillatory Changes during a motor task following Rehabilitation in Chronic MCA Stroke: Insights from EEG</x:v>
      </x:c>
      <x:c r="E58" s="263"/>
      <x:c r="F58" s="263" t="str">
        <x:v>Zenodo:19599466 | DOI:10.31428/10317/13645</x:v>
      </x:c>
      <x:c r="G58" s="263" t="str">
        <x:v>DOWNLOAD_PUBLIC</x:v>
      </x:c>
      <x:c r="H58" s="263" t="str">
        <x:v>https://zenodo.org/records/19599466</x:v>
      </x:c>
      <x:c r="I58" s="263" t="str">
        <x:v>resting state eyes closed 5 minutes, motor imagery, active hand movements motor tasks</x:v>
      </x:c>
      <x:c r="J58" s="263" t="str">
        <x:v>17</x:v>
      </x:c>
      <x:c r="K58" s="263" t="str">
        <x:v>64</x:v>
      </x:c>
      <x:c r="L58" s="263" t="str">
        <x:v>1000 Hz</x:v>
      </x:c>
      <x:c r="M58" s="263" t="str">
        <x:v>.eeg、.vhdr、.vmrk</x:v>
      </x:c>
      <x:c r="N58" s="263" t="str">
        <x:v>Both</x:v>
      </x:c>
      <x:c r="O58" s="263" t="str">
        <x:v>Fully open</x:v>
      </x:c>
      <x:c r="P58" s="263" t="str">
        <x:v>DOI 10.31428/10317/13645</x:v>
      </x:c>
      <x:c r="Q58" s="263" t="str">
        <x:v>02_Biometrics_and_Disease/Neurological_Disorders/Mu_and_Beta_Oscillatory_Changes_during_a_motor_task_following_Rehabilitation_in_Chronic_MC</x:v>
      </x:c>
      <x:c r="R58" s="263" t="str">
        <x:v>存在公开仓库、官方入口或稳定数据访问号</x:v>
      </x:c>
      <x:c r="S58" s="263"/>
      <x:c r="T58" s="263"/>
      <x:c r="U58" s="264"/>
    </x:row>
    <x:row r="59" ht="60" customHeight="1">
      <x:c r="A59" s="239" t="str">
        <x:v>EEG-0091</x:v>
      </x:c>
      <x:c r="B59" s="228" t="str">
        <x:v>04_Cognition_and_Emotion</x:v>
      </x:c>
      <x:c r="C59" s="228" t="str">
        <x:v>Visual_Object_Decoding</x:v>
      </x:c>
      <x:c r="D59" s="228" t="str">
        <x:v>Object classification from randomized EEG trials</x:v>
      </x:c>
      <x:c r="E59" s="228"/>
      <x:c r="F59" s="228" t="str">
        <x:v>DOI:10.1109/CVPR46437.2021.00384</x:v>
      </x:c>
      <x:c r="G59" s="228" t="str">
        <x:v>DOWNLOAD_APPLICATION_REQUIRED</x:v>
      </x:c>
      <x:c r="H59" s="228" t="str">
        <x:v>https://ieee-dataport.org/open-access/dataset-object-classification-randomized-eeg-trials</x:v>
      </x:c>
      <x:c r="I59" s="228" t="str">
        <x:v>Object classification from EEG</x:v>
      </x:c>
      <x:c r="J59" s="228" t="str">
        <x:v>1</x:v>
      </x:c>
      <x:c r="K59" s="228" t="str">
        <x:v>96</x:v>
      </x:c>
      <x:c r="L59" s="228" t="str">
        <x:v>4096 Hz</x:v>
      </x:c>
      <x:c r="M59" s="228" t="str">
        <x:v>BDF</x:v>
      </x:c>
      <x:c r="N59" s="228" t="str">
        <x:v>Raw Data</x:v>
      </x:c>
      <x:c r="O59" s="228" t="str">
        <x:v>Need apply</x:v>
      </x:c>
      <x:c r="P59" s="228" t="str">
        <x:v>DOI:10.1109/CVPR46437.2021.00384</x:v>
      </x:c>
      <x:c r="Q59" s="228" t="str">
        <x:v>02_Biometrics_and_Disease/Neurological_Disorders/Object_classification_from_randomized_EEG_trials</x:v>
      </x:c>
      <x:c r="R59" s="228" t="str">
        <x:v>官方数据存在，但需申请、签署协议或获得权限</x:v>
      </x:c>
      <x:c r="S59" s="228"/>
      <x:c r="T59" s="228"/>
      <x:c r="U59" s="205"/>
    </x:row>
    <x:row r="60" ht="60" customHeight="1">
      <x:c r="A60" s="262" t="str">
        <x:v>EEG-0092</x:v>
      </x:c>
      <x:c r="B60" s="263" t="str">
        <x:v>02_Healthcare_and_Disease</x:v>
      </x:c>
      <x:c r="C60" s="263" t="str">
        <x:v>Neurological_Disorders</x:v>
      </x:c>
      <x:c r="D60" s="263" t="str">
        <x:v>PD-EEG Resting-State &amp; Walking EEG</x:v>
      </x:c>
      <x:c r="E60" s="263"/>
      <x:c r="F60" s="263" t="str">
        <x:v>OpenNeuro:ds007526</x:v>
      </x:c>
      <x:c r="G60" s="263" t="str">
        <x:v>DOWNLOAD_PUBLIC</x:v>
      </x:c>
      <x:c r="H60" s="263" t="str">
        <x:v>[OpenNeuro ds007526](https://openneuro.org/datasets/ds007526/versions/1.0.2)</x:v>
      </x:c>
      <x:c r="I60" s="263" t="str">
        <x:v>Parkinson disease resting EEG and walking EEG；gait / motor biomarkers</x:v>
      </x:c>
      <x:c r="J60" s="263" t="str">
        <x:v>144</x:v>
      </x:c>
      <x:c r="K60" s="263" t="str">
        <x:v>65</x:v>
      </x:c>
      <x:c r="L60" s="263" t="str">
        <x:v>250Hz</x:v>
      </x:c>
      <x:c r="M60" s="263" t="str">
        <x:v>BIDS</x:v>
      </x:c>
      <x:c r="N60" s="263" t="str">
        <x:v>raw BIDS</x:v>
      </x:c>
      <x:c r="O60" s="263" t="str">
        <x:v>公开下载：OpenNeuro ds007526 v1.0.2；CC0，可网页、OpenNeuro CLI 或 DataLad 获取。</x:v>
      </x:c>
      <x:c r="P60" s="263" t="str">
        <x:v>Zoya Katzir; Daniel Vered; Inbal Maidan</x:v>
      </x:c>
      <x:c r="Q60" s="263" t="str">
        <x:v>02_Biometrics_and_Disease/Neurological_Disorders/PD-EEG_Resting-State_Walking_EEG</x:v>
      </x:c>
      <x:c r="R60" s="263" t="str">
        <x:v>存在公开仓库、官方入口或稳定数据访问号</x:v>
      </x:c>
      <x:c r="S60" s="263"/>
      <x:c r="T60" s="263"/>
      <x:c r="U60" s="264"/>
    </x:row>
    <x:row r="61" ht="60" customHeight="1">
      <x:c r="A61" s="239" t="str">
        <x:v>EEG-0093</x:v>
      </x:c>
      <x:c r="B61" s="228" t="str">
        <x:v>02_Healthcare_and_Disease</x:v>
      </x:c>
      <x:c r="C61" s="228" t="str">
        <x:v>Neurological_Disorders</x:v>
      </x:c>
      <x:c r="D61" s="228" t="str">
        <x:v>PD-Mortality</x:v>
      </x:c>
      <x:c r="E61" s="228"/>
      <x:c r="F61" s="228" t="str">
        <x:v>DOI:10.1101/2025.07.07.25331047</x:v>
      </x:c>
      <x:c r="G61" s="228" t="str">
        <x:v>DOWNLOAD_APPLICATION_REQUIRED</x:v>
      </x:c>
      <x:c r="H61" s="228" t="str">
        <x:v>https://www.medrxiv.org/content/10.1101/2025.07.07.25331047 (data per authors)</x:v>
      </x:c>
      <x:c r="I61" s="228" t="str">
        <x:v>Parkinson 3-year mortality prognosis from resting EEG</x:v>
      </x:c>
      <x:c r="J61" s="228" t="str">
        <x:v>94 (22 deceased &lt;3 yr)</x:v>
      </x:c>
      <x:c r="K61" s="228" t="str">
        <x:v>64 recorded (59 retained)</x:v>
      </x:c>
      <x:c r="L61" s="228" t="str">
        <x:v>500</x:v>
      </x:c>
      <x:c r="M61" s="228" t="str">
        <x:v>N.A.</x:v>
      </x:c>
      <x:c r="N61" s="228" t="str">
        <x:v>Processed (resting, channels pruned)</x:v>
      </x:c>
      <x:c r="O61" s="228" t="str">
        <x:v>N.A. (availability per authors; likely request)</x:v>
      </x:c>
      <x:c r="P61" s="228" t="str">
        <x:v>EEG-based 3-year mortality prognosis in Parkinson's disease (LEAPD). 2025, medRxiv (full citation to confirm).</x:v>
      </x:c>
      <x:c r="Q61" s="228" t="str">
        <x:v>02_Biometrics_and_Disease/Neurological_Disorders/PD-Mortality</x:v>
      </x:c>
      <x:c r="R61" s="228" t="str">
        <x:v>官方数据存在，但需申请、签署协议或获得权限</x:v>
      </x:c>
      <x:c r="S61" s="228"/>
      <x:c r="T61" s="228"/>
      <x:c r="U61" s="205"/>
    </x:row>
    <x:row r="62" ht="60" customHeight="1">
      <x:c r="A62" s="262" t="str">
        <x:v>EEG-0094</x:v>
      </x:c>
      <x:c r="B62" s="263" t="str">
        <x:v>02_Healthcare_and_Disease</x:v>
      </x:c>
      <x:c r="C62" s="263" t="str">
        <x:v>Neurological_Disorders</x:v>
      </x:c>
      <x:c r="D62" s="263" t="str">
        <x:v>PD31 (Parkinson)</x:v>
      </x:c>
      <x:c r="E62" s="263"/>
      <x:c r="F62" s="263" t="str">
        <x:v>OpenNeuro:ds002778</x:v>
      </x:c>
      <x:c r="G62" s="263" t="str">
        <x:v>DOWNLOAD_PUBLIC</x:v>
      </x:c>
      <x:c r="H62" s="263" t="str">
        <x:v>https://openneuro.org/datasets/ds002778</x:v>
      </x:c>
      <x:c r="I62" s="263" t="str">
        <x:v>Parkinson vs control resting EEG (on/off medication)</x:v>
      </x:c>
      <x:c r="J62" s="263" t="str">
        <x:v>31 (15 PD/16 control)</x:v>
      </x:c>
      <x:c r="K62" s="263" t="str">
        <x:v>32 (BioSemi; OmniEEG mounts 64)</x:v>
      </x:c>
      <x:c r="L62" s="263" t="str">
        <x:v>512 Hz</x:v>
      </x:c>
      <x:c r="M62" s="263" t="str">
        <x:v>BDF / EEGLAB / BIDS</x:v>
      </x:c>
      <x:c r="N62" s="263" t="str">
        <x:v>Raw</x:v>
      </x:c>
      <x:c r="O62" s="263" t="str">
        <x:v>Open (OpenNeuro ds002778), CC0</x:v>
      </x:c>
      <x:c r="P62" s="263" t="str">
        <x:v>UC San Diego resting-state EEG data from patients with Parkinson's disease (OpenNeuro ds002778). Rockhill et al., 2020.</x:v>
      </x:c>
      <x:c r="Q62" s="263" t="str">
        <x:v>02_Biometrics_and_Disease/Neurological_Disorders/PD31_Parkinson</x:v>
      </x:c>
      <x:c r="R62" s="263" t="str">
        <x:v>存在公开仓库、官方入口或稳定数据访问号</x:v>
      </x:c>
      <x:c r="S62" s="263"/>
      <x:c r="T62" s="263"/>
      <x:c r="U62" s="264"/>
    </x:row>
    <x:row r="63" ht="60" customHeight="1">
      <x:c r="A63" s="239" t="str">
        <x:v>EEG-0095</x:v>
      </x:c>
      <x:c r="B63" s="228" t="str">
        <x:v>06_Motor_and_Interaction</x:v>
      </x:c>
      <x:c r="C63" s="228" t="str">
        <x:v>P300_BCI</x:v>
      </x:c>
      <x:c r="D63" s="228" t="str">
        <x:v>PhysioP300 (PhysioNet ERP</x:v>
      </x:c>
      <x:c r="E63" s="228" t="str">
        <x:v>Citi2010
Physio-ERP (P300
PhysioNet P300 (P300 Speller</x:v>
      </x:c>
      <x:c r="F63" s="228" t="str">
        <x:v>PhysioNet:erpbci</x:v>
      </x:c>
      <x:c r="G63" s="228" t="str">
        <x:v>DOWNLOAD_PUBLIC</x:v>
      </x:c>
      <x:c r="H63" s="228" t="str">
        <x:v>https://physionet.org/content/erpbci/1.0.0/</x:v>
      </x:c>
      <x:c r="I63" s="228" t="str">
        <x:v>P300 speller BCI (6x6 matrix; mental count of target character highlights)</x:v>
      </x:c>
      <x:c r="J63" s="228" t="str">
        <x:v>10</x:v>
      </x:c>
      <x:c r="K63" s="228" t="str">
        <x:v>64 EEG + 4 EOG + 2 earlobe reference</x:v>
      </x:c>
      <x:c r="L63" s="228" t="str">
        <x:v>2048 Hz</x:v>
      </x:c>
      <x:c r="M63" s="228" t="str">
        <x:v>EDF+ (with separate .event annotation files)</x:v>
      </x:c>
      <x:c r="N63" s="228" t="str">
        <x:v>Raw EEG with event annotations</x:v>
      </x:c>
      <x:c r="O63" s="228" t="str">
        <x:v>公开下载：PhysioNet ERP-based BCI recordings (https://physionet.org/content/erpbci/1.0.0/)；可网页或 PhysioNet 工具下载。</x:v>
      </x:c>
      <x:c r="P63" s="228" t="str">
        <x:v>Citi, Poli &amp; Cinel (2010). Documenting, modelling and exploiting P300 amplitude changes due to variable target delays in Donchin's speller. Journal of Neural Engineering, 7(5), 056006.</x:v>
      </x:c>
      <x:c r="Q63" s="228" t="str">
        <x:v>02_Biometrics_and_Disease/Neurological_Disorders/PhysioP300_PhysioNet_ERP</x:v>
      </x:c>
      <x:c r="R63" s="228" t="str">
        <x:v>存在公开仓库、官方入口或稳定数据访问号</x:v>
      </x:c>
      <x:c r="S63" s="228"/>
      <x:c r="T63" s="228"/>
      <x:c r="U63" s="205"/>
    </x:row>
    <x:row r="64" ht="60" customHeight="1">
      <x:c r="A64" s="262" t="str">
        <x:v>EEG-0097</x:v>
      </x:c>
      <x:c r="B64" s="263" t="str">
        <x:v>04_Cognition_and_Emotion</x:v>
      </x:c>
      <x:c r="C64" s="263" t="str">
        <x:v>Language_and_Semantics</x:v>
      </x:c>
      <x:c r="D64" s="263" t="str">
        <x:v>Semantic Animals/Tools (EEG-fNIRS)</x:v>
      </x:c>
      <x:c r="E64" s="263"/>
      <x:c r="F64" s="263" t="str">
        <x:v>OpenNeuro:ds004514</x:v>
      </x:c>
      <x:c r="G64" s="263" t="str">
        <x:v>DOWNLOAD_PUBLIC</x:v>
      </x:c>
      <x:c r="H64" s="263" t="str">
        <x:v>https://openneuro.org/datasets/ds004514</x:v>
      </x:c>
      <x:c r="I64" s="263" t="str">
        <x:v>Semantic decoding of imagined animals/tools (EEG-fNIRS)</x:v>
      </x:c>
      <x:c r="J64" s="263" t="str">
        <x:v>19 (D1:12 + D2:7)</x:v>
      </x:c>
      <x:c r="K64" s="263" t="str">
        <x:v>64</x:v>
      </x:c>
      <x:c r="L64" s="263" t="str">
        <x:v>2048 Hz</x:v>
      </x:c>
      <x:c r="M64" s="263" t="str">
        <x:v>Biosemi / BIDS</x:v>
      </x:c>
      <x:c r="N64" s="263" t="str">
        <x:v>Raw (BIDS)</x:v>
      </x:c>
      <x:c r="O64" s="263" t="str">
        <x:v>Open (OpenNeuro ds004514), CC0</x:v>
      </x:c>
      <x:c r="P64" s="263" t="str">
        <x:v>Simultaneous EEG and fNIRS recordings for semantic decoding of imagined animals and tools. Rybar et al., 2025, Scientific Data 12:613.</x:v>
      </x:c>
      <x:c r="Q64" s="263" t="str">
        <x:v>02_Biometrics_and_Disease/Neurological_Disorders/Semantic_Animals_Tools_EEG-fNIRS</x:v>
      </x:c>
      <x:c r="R64" s="263" t="str">
        <x:v>存在公开仓库、官方入口或稳定数据访问号</x:v>
      </x:c>
      <x:c r="S64" s="263"/>
      <x:c r="T64" s="263"/>
      <x:c r="U64" s="264"/>
    </x:row>
    <x:row r="65" ht="60" customHeight="1">
      <x:c r="A65" s="239" t="str">
        <x:v>EEG-0101</x:v>
      </x:c>
      <x:c r="B65" s="228" t="str">
        <x:v>04_Cognition_and_Emotion</x:v>
      </x:c>
      <x:c r="C65" s="228" t="str">
        <x:v>Visual_Perception</x:v>
      </x:c>
      <x:c r="D65" s="228" t="str">
        <x:v>VEPCON</x:v>
      </x:c>
      <x:c r="E65" s="228"/>
      <x:c r="F65" s="228" t="str">
        <x:v>OpenNeuro:ds003505</x:v>
      </x:c>
      <x:c r="G65" s="228" t="str">
        <x:v>DOWNLOAD_PUBLIC</x:v>
      </x:c>
      <x:c r="H65" s="228" t="str">
        <x:v>https://openneuro.org/datasets/ds003505</x:v>
      </x:c>
      <x:c r="I65" s="228" t="str">
        <x:v>Visual evoked potentials (face / motion ID)</x:v>
      </x:c>
      <x:c r="J65" s="228" t="str">
        <x:v>20</x:v>
      </x:c>
      <x:c r="K65" s="228" t="str">
        <x:v>128</x:v>
      </x:c>
      <x:c r="L65" s="228" t="str">
        <x:v>2048 Hz (down 250)</x:v>
      </x:c>
      <x:c r="M65" s="228" t="str">
        <x:v>Biosemi (.bdf) / BIDS</x:v>
      </x:c>
      <x:c r="N65" s="228" t="str">
        <x:v>Both (raw .bdf + preprocessed single-trial epochs)</x:v>
      </x:c>
      <x:c r="O65" s="228" t="str">
        <x:v>Open (OpenNeuro ds003505), BIDS</x:v>
      </x:c>
      <x:c r="P65" s="228" t="str">
        <x:v>Source imaging of high-density visual evoked potentials with multi-scale brain parcellations and connectomes. Pascucci et al., 2022, Scientific Data 9:9.</x:v>
      </x:c>
      <x:c r="Q65" s="228" t="str">
        <x:v>02_Biometrics_and_Disease/Neurological_Disorders/VEPCON</x:v>
      </x:c>
      <x:c r="R65" s="228" t="str">
        <x:v>视觉 ERP 项目；当前已下载树未发现 EEG 记录，且不属于疾病类</x:v>
      </x:c>
      <x:c r="S65" s="228"/>
      <x:c r="T65" s="228"/>
      <x:c r="U65" s="205"/>
    </x:row>
    <x:row r="66" ht="60" customHeight="1">
      <x:c r="A66" s="262" t="str">
        <x:v>EEG-0102</x:v>
      </x:c>
      <x:c r="B66" s="263" t="str">
        <x:v>02_Healthcare_and_Disease</x:v>
      </x:c>
      <x:c r="C66" s="263" t="str">
        <x:v>Clinical_Abnormalities</x:v>
      </x:c>
      <x:c r="D66" s="263" t="str">
        <x:v>BrainLat (Latin American EEG)</x:v>
      </x:c>
      <x:c r="E66" s="263"/>
      <x:c r="F66" s="263" t="str">
        <x:v>DOI:10.1038/s41597-023-02806-8,10.7303/syn51549340</x:v>
      </x:c>
      <x:c r="G66" s="263" t="str">
        <x:v>DOWNLOAD_APPLICATION_REQUIRED</x:v>
      </x:c>
      <x:c r="H66" s="263" t="str">
        <x:v>https://doi.org/10.7303/syn51549340</x:v>
      </x:c>
      <x:c r="I66" s="263" t="str">
        <x:v>Neurological Disorder Classification (AD / bvFTD / PD / MS / healthy; multi-class) + resting-state research</x:v>
      </x:c>
      <x:c r="J66" s="263" t="str">
        <x:v>780 (across 5 Latin American countries)</x:v>
      </x:c>
      <x:c r="K66" s="263" t="str">
        <x:v>128 EEG + EOG (BioSemi ActiveTwo)</x:v>
      </x:c>
      <x:c r="L66" s="263" t="str">
        <x:v>512 Hz</x:v>
      </x:c>
      <x:c r="M66" s="263" t="str">
        <x:v>EEG (BDF; BioSemi)</x:v>
      </x:c>
      <x:c r="N66" s="263" t="str">
        <x:v>Raw (annotated by clinical neurologists)</x:v>
      </x:c>
      <x:c r="O66" s="263" t="str">
        <x:v>Synapse BrainLat syn51549340; a Synapse account and project access acceptance/login are required before downloading EEG, MRI, and clinical files.</x:v>
      </x:c>
      <x:c r="P66" s="263" t="str">
        <x:v>Prado et al. 2023, Scientific Data (doi: 10.1038/s41597-023-02806-8)</x:v>
      </x:c>
      <x:c r="Q66" s="263" t="str">
        <x:v>02_Biometrics_and_Disease/Clinical_Abnormalities/BrainLat_Latin_American_EEG</x:v>
      </x:c>
      <x:c r="R66" s="263" t="str">
        <x:v>官方数据存在，但需申请、签署协议或获得权限</x:v>
      </x:c>
      <x:c r="S66" s="263"/>
      <x:c r="T66" s="263"/>
      <x:c r="U66" s="264"/>
    </x:row>
    <x:row r="67" ht="60" customHeight="1">
      <x:c r="A67" s="239" t="str">
        <x:v>EEG-0107</x:v>
      </x:c>
      <x:c r="B67" s="228" t="str">
        <x:v>02_Healthcare_and_Disease</x:v>
      </x:c>
      <x:c r="C67" s="228" t="str">
        <x:v>Clinical_Abnormalities</x:v>
      </x:c>
      <x:c r="D67" s="228" t="str">
        <x:v>TUAB (TUH Abnormal)</x:v>
      </x:c>
      <x:c r="E67" s="228"/>
      <x:c r="F67" s="228" t="str">
        <x:v>TUH:TUAB:v3.0.1</x:v>
      </x:c>
      <x:c r="G67" s="228" t="str">
        <x:v>DOWNLOAD_APPLICATION_REQUIRED</x:v>
      </x:c>
      <x:c r="H67" s="228" t="str">
        <x:v>https://isip.piconepress.com/projects/nedc/html/tuh_eeg/</x:v>
      </x:c>
      <x:c r="I67" s="228" t="str">
        <x:v>Abnormal vs normal clinical EEG</x:v>
      </x:c>
      <x:c r="J67" s="228" t="str">
        <x:v>2,383 (2,993 sessions)</x:v>
      </x:c>
      <x:c r="K67" s="228" t="str">
        <x:v>Varies (~19-21)</x:v>
      </x:c>
      <x:c r="L67" s="228" t="str">
        <x:v>250 Hz</x:v>
      </x:c>
      <x:c r="M67" s="228" t="str">
        <x:v>EDF</x:v>
      </x:c>
      <x:c r="N67" s="228" t="str">
        <x:v>Raw</x:v>
      </x:c>
      <x:c r="O67" s="228" t="str">
        <x:v>Free but restricted: signed TUH data-use agreement (help@nedcdata.org)</x:v>
      </x:c>
      <x:c r="P67" s="228" t="str">
        <x:v>Automated identification of abnormal adult EEGs (TUH Abnormal EEG Corpus, TUAB). Lopez et al., 2015, IEEE Signal Processing in Medicine and Biology Symposium (SPMB).</x:v>
      </x:c>
      <x:c r="Q67" s="228" t="str">
        <x:v>02_Biometrics_and_Disease/Clinical_Abnormalities/TUAB_TUH_Abnormal</x:v>
      </x:c>
      <x:c r="R67" s="228" t="str">
        <x:v>官方数据存在，但需申请、签署协议或获得权限；TUAB v3.0.1; subset of TUEG; do not add subjects or duration to TUEG totals</x:v>
      </x:c>
      <x:c r="S67" s="228"/>
      <x:c r="T67" s="228"/>
      <x:c r="U67" s="205"/>
    </x:row>
    <x:row r="68" ht="60" customHeight="1">
      <x:c r="A68" s="262" t="str">
        <x:v>EEG-0110</x:v>
      </x:c>
      <x:c r="B68" s="263" t="str">
        <x:v>03_Consciousness_and_State</x:v>
      </x:c>
      <x:c r="C68" s="263" t="str">
        <x:v>Sleep_Staging</x:v>
      </x:c>
      <x:c r="D68" s="263" t="str">
        <x:v>ANPHY-Sleep</x:v>
      </x:c>
      <x:c r="E68" s="263"/>
      <x:c r="F68" s="263" t="str">
        <x:v>DOI:10.17605/OSF.IO/R26FH</x:v>
      </x:c>
      <x:c r="G68" s="263" t="str">
        <x:v>DOWNLOAD_PUBLIC</x:v>
      </x:c>
      <x:c r="H68" s="263" t="str">
        <x:v>https://doi.org/10.17605/OSF.IO/R26FH</x:v>
      </x:c>
      <x:c r="I68" s="263" t="str">
        <x:v>Sleep staging (high-density PSG)</x:v>
      </x:c>
      <x:c r="J68" s="263" t="str">
        <x:v>29</x:v>
      </x:c>
      <x:c r="K68" s="263" t="str">
        <x:v>83 EEG (paper lists 19 core)</x:v>
      </x:c>
      <x:c r="L68" s="263" t="str">
        <x:v>1000 Hz</x:v>
      </x:c>
      <x:c r="M68" s="263" t="str">
        <x:v>EDF</x:v>
      </x:c>
      <x:c r="N68" s="263" t="str">
        <x:v>Both (raw PSG + annotations + artifact matrix)</x:v>
      </x:c>
      <x:c r="O68" s="263" t="str">
        <x:v>Open (OSF R26FH), CC-BY 4.0</x:v>
      </x:c>
      <x:c r="P68" s="263" t="str">
        <x:v>ANPHY-Sleep: an open sleep database from healthy adults using high-density scalp electroencephalogram. Wei et al., 2024, Scientific Data 11:896.</x:v>
      </x:c>
      <x:c r="Q68" s="263" t="str">
        <x:v>03_Consciousness_and_State/Sleep_Staging/ANPHY-Sleep</x:v>
      </x:c>
      <x:c r="R68" s="263" t="str">
        <x:v>存在公开仓库、官方入口或稳定数据访问号</x:v>
      </x:c>
      <x:c r="S68" s="263"/>
      <x:c r="T68" s="263"/>
      <x:c r="U68" s="264"/>
    </x:row>
    <x:row r="69" ht="60" customHeight="1">
      <x:c r="A69" s="239" t="str">
        <x:v>EEG-0113</x:v>
      </x:c>
      <x:c r="B69" s="228" t="str">
        <x:v>03_Consciousness_and_State</x:v>
      </x:c>
      <x:c r="C69" s="228" t="str">
        <x:v>Sleep_Staging</x:v>
      </x:c>
      <x:c r="D69" s="228" t="str">
        <x:v>BOAS</x:v>
      </x:c>
      <x:c r="E69" s="228" t="str">
        <x:v>Bitbrain Open Access Sleep Dataset</x:v>
      </x:c>
      <x:c r="F69" s="228" t="str">
        <x:v>OpenNeuro:ds005555</x:v>
      </x:c>
      <x:c r="G69" s="228" t="str">
        <x:v>DOWNLOAD_PUBLIC</x:v>
      </x:c>
      <x:c r="H69" s="228" t="str">
        <x:v>https://openneuro.org/datasets/ds005555</x:v>
      </x:c>
      <x:c r="I69" s="228" t="str">
        <x:v>Sleep staging (PSG + wearable headband)</x:v>
      </x:c>
      <x:c r="J69" s="228" t="str">
        <x:v>128 recordings (108 participants)</x:v>
      </x:c>
      <x:c r="K69" s="228" t="str">
        <x:v>2/6 (PSG 6 + headband 2)</x:v>
      </x:c>
      <x:c r="L69" s="228" t="str">
        <x:v>256 Hz</x:v>
      </x:c>
      <x:c r="M69" s="228" t="str">
        <x:v>EDF</x:v>
      </x:c>
      <x:c r="N69" s="228" t="str">
        <x:v>Raw (PSG + wearable, AASM labels)</x:v>
      </x:c>
      <x:c r="O69" s="228" t="str">
        <x:v>Open (OpenNeuro ds005555), CC0</x:v>
      </x:c>
      <x:c r="P69" s="228" t="str">
        <x:v>Bitbrain open access sleep dataset (BOAS). Lopez-Larraz et al., 2025.</x:v>
      </x:c>
      <x:c r="Q69" s="228" t="str">
        <x:v>03_Consciousness_and_State/Sleep_Staging/BOAS</x:v>
      </x:c>
      <x:c r="R69" s="228" t="str">
        <x:v>存在公开仓库、官方入口或稳定数据访问号</x:v>
      </x:c>
      <x:c r="S69" s="228"/>
      <x:c r="T69" s="228"/>
      <x:c r="U69" s="205"/>
    </x:row>
    <x:row r="70" ht="60" customHeight="1">
      <x:c r="A70" s="262" t="str">
        <x:v>EEG-0114</x:v>
      </x:c>
      <x:c r="B70" s="263" t="str">
        <x:v>03_Consciousness_and_State</x:v>
      </x:c>
      <x:c r="C70" s="263" t="str">
        <x:v>Sleep_Staging</x:v>
      </x:c>
      <x:c r="D70" s="263" t="str">
        <x:v>CAP Sleep Database</x:v>
      </x:c>
      <x:c r="E70" s="263"/>
      <x:c r="F70" s="263" t="str">
        <x:v>PhysioNet:capslpdb</x:v>
      </x:c>
      <x:c r="G70" s="263" t="str">
        <x:v>DOWNLOAD_PUBLIC</x:v>
      </x:c>
      <x:c r="H70" s="263" t="str">
        <x:v>https://physionet.org/content/capslpdb/1.0.0/</x:v>
      </x:c>
      <x:c r="I70" s="263" t="str">
        <x:v>EEG-based sleep staging (5-class: W, N1, N2, N3, REM; originally K&amp;M scoring, S3/S4 merged to N3); source-free UDA under inherent label shifts</x:v>
      </x:c>
      <x:c r="J70" s="263" t="str">
        <x:v>108 recordings (16 healthy + 92 patients)</x:v>
      </x:c>
      <x:c r="K70" s="263" t="str">
        <x:v>3 EEG + 2 EOG + 1 chin EMG (standard PSG)</x:v>
      </x:c>
      <x:c r="L70" s="263" t="str">
        <x:v>100 Hz to 512 Hz (varies by recording)</x:v>
      </x:c>
      <x:c r="M70" s="263" t="str">
        <x:v>EDF + annotations (PhysioNet)</x:v>
      </x:c>
      <x:c r="N70" s="263" t="str">
        <x:v>Raw polysomnography + expert annotations (CAP phases and sleep stages)</x:v>
      </x:c>
      <x:c r="O70" s="263" t="str">
        <x:v>公开下载：PhysioNet CAP Sleep Database (https://physionet.org/content/capslpdb/1.0.0/)；可网页或 PhysioNet 工具下载 EDF / annotations。</x:v>
      </x:c>
      <x:c r="P70" s="263" t="str">
        <x:v>Terzano et al. (2001). Atlas, Rules, and Recording Techniques for the Scoring of Cyclic Alternating Pattern (CAP) in Human Sleep. Sleep Medicine, 2(6):537-553.</x:v>
      </x:c>
      <x:c r="Q70" s="263" t="str">
        <x:v>03_Consciousness_and_State/Sleep_Staging/CAP_Sleep_Database</x:v>
      </x:c>
      <x:c r="R70" s="263" t="str">
        <x:v>存在公开仓库、官方入口或稳定数据访问号</x:v>
      </x:c>
      <x:c r="S70" s="263"/>
      <x:c r="T70" s="263"/>
      <x:c r="U70" s="264"/>
    </x:row>
    <x:row r="71" ht="60" customHeight="1">
      <x:c r="A71" s="239" t="str">
        <x:v>EEG-0120</x:v>
      </x:c>
      <x:c r="B71" s="228" t="str">
        <x:v>03_Consciousness_and_State</x:v>
      </x:c>
      <x:c r="C71" s="228" t="str">
        <x:v>Sleep_Staging</x:v>
      </x:c>
      <x:c r="D71" s="228" t="str">
        <x:v>DREAMER</x:v>
      </x:c>
      <x:c r="E71" s="228"/>
      <x:c r="F71" s="228" t="str">
        <x:v>Zenodo:546113</x:v>
      </x:c>
      <x:c r="G71" s="228" t="str">
        <x:v>DOWNLOAD_PUBLIC</x:v>
      </x:c>
      <x:c r="H71" s="228" t="str">
        <x:v>https://zenodo.org/records/546113</x:v>
      </x:c>
      <x:c r="I71" s="228" t="str">
        <x:v>Emotion recognition (cross-subject); binary valence and arousal classification (split by median score 3 on a 1-5 scale)</x:v>
      </x:c>
      <x:c r="J71" s="228" t="str">
        <x:v>23</x:v>
      </x:c>
      <x:c r="K71" s="228" t="str">
        <x:v>14 EEG + 2 ECG channels</x:v>
      </x:c>
      <x:c r="L71" s="228" t="str">
        <x:v>128 Hz (EEG), 256 Hz (ECG)</x:v>
      </x:c>
      <x:c r="M71" s="228" t="str">
        <x:v>Original DREAMER: single MATLAB .mat file containing a nested struct with EEG/ECG signals and self-assessment ratings</x:v>
      </x:c>
      <x:c r="N71" s="228" t="str">
        <x:v>Raw and preprocessed EEG + ECG + self-assessments</x:v>
      </x:c>
      <x:c r="O71" s="228" t="str">
        <x:v>公开下载：Zenodo DREAMER (https://zenodo.org/records/546113)；下载 `DREAMER.mat` 后可直接用 TorchEEG / 自定义脚本读取。</x:v>
      </x:c>
      <x:c r="P71" s="228" t="str">
        <x:v>Katsigiannis &amp; Ramzan (2018). DREAMER: A Database for Emotion Recognition Through EEG and ECG Signals From Wireless Low-Cost Off-the-Shelf Devices. IEEE Journal of Biomedical and Health Informatics, 22(1), 98-107.</x:v>
      </x:c>
      <x:c r="Q71" s="228" t="str">
        <x:v>03_Consciousness_and_State/Sleep_Staging/DREAMER</x:v>
      </x:c>
      <x:c r="R71" s="228" t="str">
        <x:v>存在公开仓库、官方入口或稳定数据访问号</x:v>
      </x:c>
      <x:c r="S71" s="228"/>
      <x:c r="T71" s="228"/>
      <x:c r="U71" s="205"/>
    </x:row>
    <x:row r="72" ht="60" customHeight="1">
      <x:c r="A72" s="262" t="str">
        <x:v>EEG-0122</x:v>
      </x:c>
      <x:c r="B72" s="263" t="str">
        <x:v>03_Consciousness_and_State</x:v>
      </x:c>
      <x:c r="C72" s="263" t="str">
        <x:v>Sleep_Staging</x:v>
      </x:c>
      <x:c r="D72" s="263" t="str">
        <x:v>Dreem Open Datasets (DOD-H</x:v>
      </x:c>
      <x:c r="E72" s="263" t="str">
        <x:v>Dreem Open Datasets</x:v>
      </x:c>
      <x:c r="F72" s="263" t="str">
        <x:v>Zenodo:4498364</x:v>
      </x:c>
      <x:c r="G72" s="263" t="str">
        <x:v>DOWNLOAD_APPLICATION_REQUIRED</x:v>
      </x:c>
      <x:c r="H72" s="263" t="str">
        <x:v>https://zenodo.org/records/4498364</x:v>
      </x:c>
      <x:c r="I72" s="263" t="str">
        <x:v>Sleep staging with clinical PSG and wearable headband</x:v>
      </x:c>
      <x:c r="J72" s="263" t="str">
        <x:v>80</x:v>
      </x:c>
      <x:c r="K72" s="263" t="str">
        <x:v>DOD-H: 12 EEG channels; DOD-O: 8 EEG channels (both also have 5 headband EEG channels)</x:v>
      </x:c>
      <x:c r="L72" s="263" t="str">
        <x:v>250 Hz</x:v>
      </x:c>
      <x:c r="M72" s="263" t="str">
        <x:v>HDF5 / EDF</x:v>
      </x:c>
      <x:c r="N72" s="263" t="str">
        <x:v>Raw PSG + Dreem headband signals + expert consensus hypnograms (scored by 5 experts)</x:v>
      </x:c>
      <x:c r="O72" s="263" t="str">
        <x:v>Open Access (Zenodo; Creative Commons Attribution 4.0 International)</x:v>
      </x:c>
      <x:c r="P72" s="263" t="str">
        <x:v>Guillot et al. 2020</x:v>
      </x:c>
      <x:c r="Q72" s="263" t="str">
        <x:v>03_Consciousness_and_State/Sleep_Staging/Dreem_Open_Datasets_DOD-H</x:v>
      </x:c>
      <x:c r="R72" s="263" t="str">
        <x:v>官方数据存在，但需申请、签署协议或获得权限</x:v>
      </x:c>
      <x:c r="S72" s="263"/>
      <x:c r="T72" s="263"/>
      <x:c r="U72" s="264"/>
    </x:row>
    <x:row r="73" ht="60" customHeight="1">
      <x:c r="A73" s="239" t="str">
        <x:v>EEG-0123</x:v>
      </x:c>
      <x:c r="B73" s="228" t="str">
        <x:v>03_Consciousness_and_State</x:v>
      </x:c>
      <x:c r="C73" s="228" t="str">
        <x:v>Sleep_Staging</x:v>
      </x:c>
      <x:c r="D73" s="228" t="str">
        <x:v>Ear-EEG Sleep Monitoring 2017</x:v>
      </x:c>
      <x:c r="E73" s="228"/>
      <x:c r="F73" s="228" t="str">
        <x:v>OpenNeuro:ds004348</x:v>
      </x:c>
      <x:c r="G73" s="228" t="str">
        <x:v>DOWNLOAD_PUBLIC</x:v>
      </x:c>
      <x:c r="H73" s="228" t="str">
        <x:v>[OpenNeuro ds004348](https://openneuro.org/datasets/ds004348/versions/1.0.5)</x:v>
      </x:c>
      <x:c r="I73" s="228" t="str">
        <x:v>sleep monitoring；ear-EEG vs conventional sleep EEG</x:v>
      </x:c>
      <x:c r="J73" s="228" t="str">
        <x:v>9</x:v>
      </x:c>
      <x:c r="K73" s="228" t="str">
        <x:v>34</x:v>
      </x:c>
      <x:c r="L73" s="228" t="str">
        <x:v>200Hz</x:v>
      </x:c>
      <x:c r="M73" s="228" t="str">
        <x:v>BIDS</x:v>
      </x:c>
      <x:c r="N73" s="228" t="str">
        <x:v>raw BIDS</x:v>
      </x:c>
      <x:c r="O73" s="228" t="str">
        <x:v>公开下载：OpenNeuro ds004348 v1.0.5；CC0，可网页、OpenNeuro CLI 或 DataLad 获取。</x:v>
      </x:c>
      <x:c r="P73" s="228" t="str">
        <x:v>Kaare B. Mikkelsen; David B. Villadsen; Laura Birch; Marit Otto; Preben Kidmose</x:v>
      </x:c>
      <x:c r="Q73" s="228" t="str">
        <x:v>03_Consciousness_and_State/Sleep_Staging/Ear-EEG_Sleep_Monitoring_2017</x:v>
      </x:c>
      <x:c r="R73" s="228" t="str">
        <x:v>存在公开仓库、官方入口或稳定数据访问号</x:v>
      </x:c>
      <x:c r="S73" s="228"/>
      <x:c r="T73" s="228"/>
      <x:c r="U73" s="205"/>
    </x:row>
    <x:row r="74" ht="60" customHeight="1">
      <x:c r="A74" s="262" t="str">
        <x:v>EEG-0124</x:v>
      </x:c>
      <x:c r="B74" s="263" t="str">
        <x:v>03_Consciousness_and_State</x:v>
      </x:c>
      <x:c r="C74" s="263" t="str">
        <x:v>Sleep_Staging</x:v>
      </x:c>
      <x:c r="D74" s="263" t="str">
        <x:v>EESM23 (Ear-EEG Sleep Monitoring)</x:v>
      </x:c>
      <x:c r="E74" s="263"/>
      <x:c r="F74" s="263" t="str">
        <x:v>OpenNeuro:ds005178</x:v>
      </x:c>
      <x:c r="G74" s="263" t="str">
        <x:v>DOWNLOAD_PUBLIC</x:v>
      </x:c>
      <x:c r="H74" s="263" t="str">
        <x:v>[OpenNeuro ds005178](https://openneuro.org/datasets/ds005178/versions/1.0.0)</x:v>
      </x:c>
      <x:c r="I74" s="263" t="str">
        <x:v>Ear-EEG based sleep staging (out-of-distribution / scalability evaluation)</x:v>
      </x:c>
      <x:c r="J74" s="263" t="str">
        <x:v>10.0</x:v>
      </x:c>
      <x:c r="K74" s="263" t="str">
        <x:v>4.0</x:v>
      </x:c>
      <x:c r="L74" s="263" t="str">
        <x:v>200.0</x:v>
      </x:c>
      <x:c r="M74" s="263" t="str">
        <x:v>EEGLAB .set files (BIDS-formatted; scoring in .tsv, actigraphy in .tsv.gz)</x:v>
      </x:c>
      <x:c r="N74" s="263" t="str">
        <x:v>raw / release-dependent</x:v>
      </x:c>
      <x:c r="O74" s="263" t="str">
        <x:v>Reported by TFM; exact dataset release/access route needs confirmation.</x:v>
      </x:c>
      <x:c r="P74" s="263" t="str">
        <x:v>Kaare Bjarke Mikkelsen et al. (2025). Ear-EEG sleep monitoring data sets. Scientific Data 12, 301</x:v>
      </x:c>
      <x:c r="Q74" s="263" t="str">
        <x:v>03_Consciousness_and_State/Sleep_Staging/EESM23_Ear-EEG_Sleep_Monitoring</x:v>
      </x:c>
      <x:c r="R74" s="263" t="str">
        <x:v>存在公开仓库、官方入口或稳定数据访问号</x:v>
      </x:c>
      <x:c r="S74" s="263"/>
      <x:c r="T74" s="263"/>
      <x:c r="U74" s="264"/>
    </x:row>
    <x:row r="75" ht="60" customHeight="1">
      <x:c r="A75" s="239" t="str">
        <x:v>EEG-0125</x:v>
      </x:c>
      <x:c r="B75" s="228" t="str">
        <x:v>03_Consciousness_and_State</x:v>
      </x:c>
      <x:c r="C75" s="228" t="str">
        <x:v>Sleep_Staging</x:v>
      </x:c>
      <x:c r="D75" s="228" t="str">
        <x:v>HMC (Haaglanden)</x:v>
      </x:c>
      <x:c r="E75" s="228"/>
      <x:c r="F75" s="228" t="str">
        <x:v>PhysioNet:hmc-sleep-staging</x:v>
      </x:c>
      <x:c r="G75" s="228" t="str">
        <x:v>DOWNLOAD_PUBLIC</x:v>
      </x:c>
      <x:c r="H75" s="228" t="str">
        <x:v>https://physionet.org/content/hmc-sleep-staging/1.1/</x:v>
      </x:c>
      <x:c r="I75" s="228" t="str">
        <x:v>Sleep staging (5-class, AASM)</x:v>
      </x:c>
      <x:c r="J75" s="228" t="str">
        <x:v>151 (85M/66F)</x:v>
      </x:c>
      <x:c r="K75" s="228" t="str">
        <x:v>4 EEG (F4/M1, C4/M1, O2/M1, C3/M2)</x:v>
      </x:c>
      <x:c r="L75" s="228" t="str">
        <x:v>256 Hz</x:v>
      </x:c>
      <x:c r="M75" s="228" t="str">
        <x:v>EDF / EDF+</x:v>
      </x:c>
      <x:c r="N75" s="228" t="str">
        <x:v>Raw</x:v>
      </x:c>
      <x:c r="O75" s="228" t="str">
        <x:v>Open, CC BY 4.0</x:v>
      </x:c>
      <x:c r="P75" s="228" t="str">
        <x:v>Inter-database validation of a deep learning approach for automatic sleep scoring (Haaglanden Medisch Centrum sleep staging database). Alvarez-Estevez &amp; Rijsman, 2021, PLoS ONE 16(8):e0256111.</x:v>
      </x:c>
      <x:c r="Q75" s="228" t="str">
        <x:v>03_Consciousness_and_State/Sleep_Staging/HMC_Haaglanden</x:v>
      </x:c>
      <x:c r="R75" s="228" t="str">
        <x:v>存在公开仓库、官方入口或稳定数据访问号</x:v>
      </x:c>
      <x:c r="S75" s="228"/>
      <x:c r="T75" s="228"/>
      <x:c r="U75" s="205"/>
    </x:row>
    <x:row r="76" ht="60" customHeight="1">
      <x:c r="A76" s="262" t="str">
        <x:v>EEG-0127</x:v>
      </x:c>
      <x:c r="B76" s="263" t="str">
        <x:v>03_Consciousness_and_State</x:v>
      </x:c>
      <x:c r="C76" s="263" t="str">
        <x:v>Sleep_Staging</x:v>
      </x:c>
      <x:c r="D76" s="263" t="str">
        <x:v>Human Sleep Project (HSP)</x:v>
      </x:c>
      <x:c r="E76" s="263"/>
      <x:c r="F76" s="263" t="str">
        <x:v>DOI:10.60508/qjbv-hg78</x:v>
      </x:c>
      <x:c r="G76" s="263" t="str">
        <x:v>DOWNLOAD_APPLICATION_REQUIRED</x:v>
      </x:c>
      <x:c r="H76" s="263" t="str">
        <x:v>[Human Sleep Project](https://bdsp.io/content/hsp/)</x:v>
      </x:c>
      <x:c r="I76" s="263" t="str">
        <x:v>Pre-training (multimodal contrastive PSG foundation model)</x:v>
      </x:c>
      <x:c r="J76" s="263" t="str">
        <x:v>18973.0</x:v>
      </x:c>
      <x:c r="K76" s="263" t="str">
        <x:v>9.0</x:v>
      </x:c>
      <x:c r="L76" s="263" t="str">
        <x:v>128.0</x:v>
      </x:c>
      <x:c r="M76" s="263" t="str">
        <x:v>EDF (PSG signals) + CSV (annotations)</x:v>
      </x:c>
      <x:c r="N76" s="263" t="str">
        <x:v>processed</x:v>
      </x:c>
      <x:c r="O76" s="263" t="str">
        <x:v>BDSP access terms; may require application/account</x:v>
      </x:c>
      <x:c r="P76" s="263" t="str">
        <x:v>Sun, H., Ganglberger, W., Nasiri, S., et al. (2023). The Human Sleep Project (version 2.0). Brain Data Science Platform. https://doi.org/10.60508/qjbv-hg78</x:v>
      </x:c>
      <x:c r="Q76" s="263" t="str">
        <x:v>03_Consciousness_and_State/Sleep_Staging/Human_Sleep_Project_HSP</x:v>
      </x:c>
      <x:c r="R76" s="263" t="str">
        <x:v>官方数据存在，但需申请、签署协议或获得权限</x:v>
      </x:c>
      <x:c r="S76" s="263"/>
      <x:c r="T76" s="263"/>
      <x:c r="U76" s="264"/>
    </x:row>
    <x:row r="77" ht="60" customHeight="1">
      <x:c r="A77" s="239" t="str">
        <x:v>EEG-0129</x:v>
      </x:c>
      <x:c r="B77" s="228" t="str">
        <x:v>03_Consciousness_and_State</x:v>
      </x:c>
      <x:c r="C77" s="228" t="str">
        <x:v>Sleep_Staging</x:v>
      </x:c>
      <x:c r="D77" s="228" t="str">
        <x:v>MAHNOB-HCI</x:v>
      </x:c>
      <x:c r="E77" s="228" t="str">
        <x:v>MAHNOB-HCI: A Multimodal Database for Affect Recognition and Implicit Tagging [EEG-0184]</x:v>
      </x:c>
      <x:c r="F77" s="228" t="str">
        <x:v>DOI:10.1109/T-AFFC.2011.2</x:v>
      </x:c>
      <x:c r="G77" s="228" t="str">
        <x:v>DOWNLOAD_PUBLIC</x:v>
      </x:c>
      <x:c r="H77" s="228" t="str">
        <x:v>[MAHNOB-HCI tagging](https://mahnob-db.eu/hci-tagging/) | https://mahnob-db.eu/</x:v>
      </x:c>
      <x:c r="I77" s="228" t="str">
        <x:v>Multimodal emotion recognition (valence and arousal binary classification; threshold of 5 on 1-9 self-report scale)；Emotion recognition / affect recognition</x:v>
      </x:c>
      <x:c r="J77" s="228" t="str">
        <x:v>30</x:v>
      </x:c>
      <x:c r="K77" s="228" t="str">
        <x:v>32 EEG + 8 peripheral channels</x:v>
      </x:c>
      <x:c r="L77" s="228" t="str">
        <x:v>1024 Hz (raw), 256 Hz (preprocessed)</x:v>
      </x:c>
      <x:c r="M77" s="228" t="str">
        <x:v>BDF / MAT</x:v>
      </x:c>
      <x:c r="N77" s="228" t="str">
        <x:v>Raw EEG + face videos + eye gaze + peripheral signals</x:v>
      </x:c>
      <x:c r="O77" s="228" t="str">
        <x:v>申请 / 登录：MAHNOB-HCI tagging (https://mahnob-db.eu/hci-tagging/)；注册后按数据使用条款下载原始 / 预处理数据。</x:v>
      </x:c>
      <x:c r="P77" s="228" t="str">
        <x:v>Soleymani et al. (2012). A Multimodal Database for Affect Recognition and Implicit Tagging. IEEE Transactions on Affective Computing.；DOI: 10.1109/T-AFFC.2011.2</x:v>
      </x:c>
      <x:c r="Q77" s="228" t="str">
        <x:v>03_Consciousness_and_State/Sleep_Staging/MAHNOB-HCI</x:v>
      </x:c>
      <x:c r="R77" s="228" t="str">
        <x:v>存在公开仓库、官方入口或稳定数据访问号；2026-08-04去重：EEG-0184并入EEG-0129（MAHNOB-HCI official database identity）</x:v>
      </x:c>
      <x:c r="S77" s="228"/>
      <x:c r="T77" s="228"/>
      <x:c r="U77" s="205"/>
    </x:row>
    <x:row r="78" ht="60" customHeight="1">
      <x:c r="A78" s="262" t="str">
        <x:v>EEG-0136</x:v>
      </x:c>
      <x:c r="B78" s="263" t="str">
        <x:v>03_Consciousness_and_State</x:v>
      </x:c>
      <x:c r="C78" s="263" t="str">
        <x:v>Sleep_Staging</x:v>
      </x:c>
      <x:c r="D78" s="263" t="str">
        <x:v>NCHSDB</x:v>
      </x:c>
      <x:c r="E78" s="263"/>
      <x:c r="F78" s="263" t="str">
        <x:v>PhysioNet:nch-sleep</x:v>
      </x:c>
      <x:c r="G78" s="263" t="str">
        <x:v>DOWNLOAD_PUBLIC</x:v>
      </x:c>
      <x:c r="H78" s="263" t="str">
        <x:v>[PhysioNet NCH Sleep](https://physionet.org/content/nch-sleep/)</x:v>
      </x:c>
      <x:c r="I78" s="263" t="str">
        <x:v>pediatric sleep staging; sleep disorder PSG with clinical EHR covariates</x:v>
      </x:c>
      <x:c r="J78" s="263" t="str">
        <x:v>3960.0</x:v>
      </x:c>
      <x:c r="K78" s="263" t="str">
        <x:v>1.0</x:v>
      </x:c>
      <x:c r="L78" s="263" t="str">
        <x:v>64.0</x:v>
      </x:c>
      <x:c r="M78" s="263" t="str">
        <x:v>EEG spectrogram, VQGAN tokens</x:v>
      </x:c>
      <x:c r="N78" s="263" t="str">
        <x:v>raw PSG + annotations + EHR tables</x:v>
      </x:c>
      <x:c r="O78" s="263" t="str">
        <x:v>PhysioNet / NSRR access; credentialed PhysioNet account may be required for download.</x:v>
      </x:c>
      <x:c r="P78" s="263" t="str">
        <x:v>Lee et al. (2022). A large collection of real-world pediatric sleep studies. Scientific Data.</x:v>
      </x:c>
      <x:c r="Q78" s="263" t="str">
        <x:v>03_Consciousness_and_State/Sleep_Staging/NCHSDB</x:v>
      </x:c>
      <x:c r="R78" s="263" t="str">
        <x:v>存在公开仓库、官方入口或稳定数据访问号</x:v>
      </x:c>
      <x:c r="S78" s="263"/>
      <x:c r="T78" s="263"/>
      <x:c r="U78" s="264"/>
    </x:row>
    <x:row r="79" ht="60" customHeight="1">
      <x:c r="A79" s="239" t="str">
        <x:v>EEG-0138</x:v>
      </x:c>
      <x:c r="B79" s="228" t="str">
        <x:v>03_Consciousness_and_State</x:v>
      </x:c>
      <x:c r="C79" s="228" t="str">
        <x:v>Sleep_Staging</x:v>
      </x:c>
      <x:c r="D79" s="228" t="str">
        <x:v>OpenNeuro ds003768 simultaneous EEG-fMRI sleep</x:v>
      </x:c>
      <x:c r="E79" s="228"/>
      <x:c r="F79" s="228" t="str">
        <x:v>OpenNeuro:ds003768 | DOI:10.1016/j.dib.2023.109059</x:v>
      </x:c>
      <x:c r="G79" s="228" t="str">
        <x:v>DOWNLOAD_PUBLIC</x:v>
      </x:c>
      <x:c r="H79" s="228" t="str">
        <x:v>https://openneuro.org/datasets/ds003768</x:v>
      </x:c>
      <x:c r="I79" s="228" t="str">
        <x:v>rest / sleep states；sleep staging；EEG-fMRI coupling</x:v>
      </x:c>
      <x:c r="J79" s="228" t="str">
        <x:v>33</x:v>
      </x:c>
      <x:c r="K79" s="228" t="str">
        <x:v>32</x:v>
      </x:c>
      <x:c r="L79" s="228" t="str">
        <x:v>5000 Hz</x:v>
      </x:c>
      <x:c r="M79" s="228" t="str">
        <x:v>BIDS-organized</x:v>
      </x:c>
      <x:c r="N79" s="228" t="str">
        <x:v>Both</x:v>
      </x:c>
      <x:c r="O79" s="228" t="str">
        <x:v>公开下载：OpenNeuro ds003768 (https://openneuro.org/datasets/ds003768)；可网页、OpenNeuro CLI 或 DataLad 获取。</x:v>
      </x:c>
      <x:c r="P79" s="228" t="str">
        <x:v>DOI: 10.1016/j.dib.2023.109059</x:v>
      </x:c>
      <x:c r="Q79" s="228" t="str">
        <x:v>03_Consciousness_and_State/Sleep_Staging/OpenNeuro_ds003768_simultaneous_EEG-fMRI_sleep</x:v>
      </x:c>
      <x:c r="R79" s="228" t="str">
        <x:v>存在公开仓库、官方入口或稳定数据访问号</x:v>
      </x:c>
      <x:c r="S79" s="228" t="str">
        <x:v>2.1</x:v>
      </x:c>
      <x:c r="T79" s="228" t="str">
        <x:v>rest ~600/run; sleep ~900/run</x:v>
      </x:c>
      <x:c r="U79" s="205" t="str">
        <x:v>~5 BOLD runs/subject (2 rest + 3 sleep)</x:v>
      </x:c>
    </x:row>
    <x:row r="80" ht="60" customHeight="1">
      <x:c r="A80" s="262" t="str">
        <x:v>EEG-0139</x:v>
      </x:c>
      <x:c r="B80" s="263" t="str">
        <x:v>03_Consciousness_and_State</x:v>
      </x:c>
      <x:c r="C80" s="263" t="str">
        <x:v>Sleep_Staging</x:v>
      </x:c>
      <x:c r="D80" s="263" t="str">
        <x:v>Optimizing the detection of wakeful and sleep-like states for future electrocorticographic brain computer interface applications</x:v>
      </x:c>
      <x:c r="E80" s="263"/>
      <x:c r="F80" s="263" t="str">
        <x:v>Zenodo:5014606 | DOI:10.1371/journal.pone.0142947</x:v>
      </x:c>
      <x:c r="G80" s="263" t="str">
        <x:v>DOWNLOAD_PUBLIC</x:v>
      </x:c>
      <x:c r="H80" s="263" t="str">
        <x:v>https://zenodo.org/records/5014606</x:v>
      </x:c>
      <x:c r="I80" s="263" t="str">
        <x:v>Wakeful vs. Sleep-like state detection</x:v>
      </x:c>
      <x:c r="J80" s="263" t="str">
        <x:v>4</x:v>
      </x:c>
      <x:c r="K80" s="263" t="str">
        <x:v>64</x:v>
      </x:c>
      <x:c r="L80" s="263" t="str">
        <x:v>256 Hz</x:v>
      </x:c>
      <x:c r="M80" s="263" t="str">
        <x:v>.mat</x:v>
      </x:c>
      <x:c r="N80" s="263" t="str">
        <x:v>Processed data</x:v>
      </x:c>
      <x:c r="O80" s="263" t="str">
        <x:v>Fully open</x:v>
      </x:c>
      <x:c r="P80" s="263" t="str">
        <x:v>DOI: 10.1371/journal.pone.0142947</x:v>
      </x:c>
      <x:c r="Q80" s="263" t="str">
        <x:v>03_Consciousness_and_State/Sleep_Staging/Optimizing_the_detection_of_wakeful_and_sleep-like_states_for_future_electrocorticographic</x:v>
      </x:c>
      <x:c r="R80" s="263" t="str">
        <x:v>存在公开仓库、官方入口或稳定数据访问号</x:v>
      </x:c>
      <x:c r="S80" s="263"/>
      <x:c r="T80" s="263"/>
      <x:c r="U80" s="264"/>
    </x:row>
    <x:row r="81" ht="60" customHeight="1">
      <x:c r="A81" s="239" t="str">
        <x:v>EEG-0140</x:v>
      </x:c>
      <x:c r="B81" s="228" t="str">
        <x:v>03_Consciousness_and_State</x:v>
      </x:c>
      <x:c r="C81" s="228" t="str">
        <x:v>Sleep_Staging</x:v>
      </x:c>
      <x:c r="D81" s="228" t="str">
        <x:v>PhysioNet Challenge 2018 Sleep Arousal Database</x:v>
      </x:c>
      <x:c r="E81" s="228"/>
      <x:c r="F81" s="228" t="str">
        <x:v>PhysioNet:challenge-2018</x:v>
      </x:c>
      <x:c r="G81" s="228" t="str">
        <x:v>DOWNLOAD_PUBLIC</x:v>
      </x:c>
      <x:c r="H81" s="228" t="str">
        <x:v>https://physionet.org/content/challenge-2018/1.0.0/</x:v>
      </x:c>
      <x:c r="I81" s="228" t="str">
        <x:v>sleep staging / arousal detection from PSG</x:v>
      </x:c>
      <x:c r="J81" s="228" t="str">
        <x:v>1983</x:v>
      </x:c>
      <x:c r="K81" s="228" t="str">
        <x:v>6 EEG channels + EOG, EMG, ECG, respiratory effort, SaO2</x:v>
      </x:c>
      <x:c r="L81" s="228" t="str">
        <x:v>200 Hz</x:v>
      </x:c>
      <x:c r="M81" s="228" t="str">
        <x:v>EDF / annotations</x:v>
      </x:c>
      <x:c r="N81" s="228" t="str">
        <x:v>Raw physiological signals + expert annotations (sleep stages, arousals, respiratory events)</x:v>
      </x:c>
      <x:c r="O81" s="228" t="str">
        <x:v>PhysioNet challenge data; credentialing/licensing should be checked before redistribution.</x:v>
      </x:c>
      <x:c r="P81" s="228" t="str">
        <x:v>DeeperBrain; Liu et al. (2026), EEG Foundation Models Tables VIII-XIV</x:v>
      </x:c>
      <x:c r="Q81" s="228" t="str">
        <x:v>03_Consciousness_and_State/Sleep_Staging/PhysioNet_Challenge_2018_Sleep_Arousal_Database</x:v>
      </x:c>
      <x:c r="R81" s="228" t="str">
        <x:v>存在公开仓库、官方入口或稳定数据访问号</x:v>
      </x:c>
      <x:c r="S81" s="228"/>
      <x:c r="T81" s="228"/>
      <x:c r="U81" s="205"/>
    </x:row>
    <x:row r="82" ht="60" customHeight="1">
      <x:c r="A82" s="262" t="str">
        <x:v>EEG-0143</x:v>
      </x:c>
      <x:c r="B82" s="263" t="str">
        <x:v>03_Consciousness_and_State</x:v>
      </x:c>
      <x:c r="C82" s="263" t="str">
        <x:v>Sleep_Staging</x:v>
      </x:c>
      <x:c r="D82" s="263" t="str">
        <x:v>Sleep-Deprivation (resting)</x:v>
      </x:c>
      <x:c r="E82" s="263"/>
      <x:c r="F82" s="263" t="str">
        <x:v>OpenNeuro:ds004902</x:v>
      </x:c>
      <x:c r="G82" s="263" t="str">
        <x:v>DOWNLOAD_PUBLIC</x:v>
      </x:c>
      <x:c r="H82" s="263" t="str">
        <x:v>https://openneuro.org/datasets/ds004902</x:v>
      </x:c>
      <x:c r="I82" s="263" t="str">
        <x:v>Resting EEG, normal sleep vs sleep deprivation</x:v>
      </x:c>
      <x:c r="J82" s="263" t="str">
        <x:v>71</x:v>
      </x:c>
      <x:c r="K82" s="263" t="str">
        <x:v>61</x:v>
      </x:c>
      <x:c r="L82" s="263" t="str">
        <x:v>500 Hz</x:v>
      </x:c>
      <x:c r="M82" s="263" t="str">
        <x:v>EEGLAB</x:v>
      </x:c>
      <x:c r="N82" s="263" t="str">
        <x:v>Raw</x:v>
      </x:c>
      <x:c r="O82" s="263" t="str">
        <x:v>Open (OpenNeuro ds004902), CC0</x:v>
      </x:c>
      <x:c r="P82" s="263" t="str">
        <x:v>A resting-state EEG dataset for sleep deprivation. Xiang et al., 2024, Scientific Data 11:427.</x:v>
      </x:c>
      <x:c r="Q82" s="263" t="str">
        <x:v>03_Consciousness_and_State/Sleep_Staging/Sleep-Deprivation_resting</x:v>
      </x:c>
      <x:c r="R82" s="263" t="str">
        <x:v>存在公开仓库、官方入口或稳定数据访问号</x:v>
      </x:c>
      <x:c r="S82" s="263"/>
      <x:c r="T82" s="263"/>
      <x:c r="U82" s="264"/>
    </x:row>
    <x:row r="83" ht="60" customHeight="1">
      <x:c r="A83" s="239" t="str">
        <x:v>EEG-0144</x:v>
      </x:c>
      <x:c r="B83" s="228" t="str">
        <x:v>03_Consciousness_and_State</x:v>
      </x:c>
      <x:c r="C83" s="228" t="str">
        <x:v>Sleep_Staging</x:v>
      </x:c>
      <x:c r="D83" s="228" t="str">
        <x:v>Sleep-EDF (Expanded)</x:v>
      </x:c>
      <x:c r="E83" s="228"/>
      <x:c r="F83" s="228" t="str">
        <x:v>PhysioNet:sleep-edfx</x:v>
      </x:c>
      <x:c r="G83" s="228" t="str">
        <x:v>DOWNLOAD_PUBLIC</x:v>
      </x:c>
      <x:c r="H83" s="228" t="str">
        <x:v>https://physionet.org/content/sleep-edfx/1.0.0/</x:v>
      </x:c>
      <x:c r="I83" s="228" t="str">
        <x:v>Sleep stage classification (W/R/1/2/3/4/M)</x:v>
      </x:c>
      <x:c r="J83" s="228" t="str">
        <x:v>78 (SC subset; full Expanded=100 subj/197 recordings)</x:v>
      </x:c>
      <x:c r="K83" s="228" t="str">
        <x:v>2 EEG (+EOG/EMG)</x:v>
      </x:c>
      <x:c r="L83" s="228" t="str">
        <x:v>100 Hz</x:v>
      </x:c>
      <x:c r="M83" s="228" t="str">
        <x:v>EDF / EDF+</x:v>
      </x:c>
      <x:c r="N83" s="228" t="str">
        <x:v>Raw</x:v>
      </x:c>
      <x:c r="O83" s="228" t="str">
        <x:v>Open, ODC Attribution v1.0</x:v>
      </x:c>
      <x:c r="P83" s="228" t="str">
        <x:v>Analysis of a sleep-dependent neuronal feedback loop: the slow-wave microcontinuity of the EEG (Sleep-EDF Expanded). Kemp et al., 2000, IEEE TBME 47(9):1185-1194.</x:v>
      </x:c>
      <x:c r="Q83" s="228" t="str">
        <x:v>03_Consciousness_and_State/Sleep_Staging/Sleep-EDF_Expanded</x:v>
      </x:c>
      <x:c r="R83" s="228" t="str">
        <x:v>存在公开仓库、官方入口或稳定数据访问号</x:v>
      </x:c>
      <x:c r="S83" s="228"/>
      <x:c r="T83" s="228"/>
      <x:c r="U83" s="205"/>
    </x:row>
    <x:row r="84" ht="60" customHeight="1">
      <x:c r="A84" s="262" t="str">
        <x:v>EEG-0146</x:v>
      </x:c>
      <x:c r="B84" s="263" t="str">
        <x:v>03_Consciousness_and_State</x:v>
      </x:c>
      <x:c r="C84" s="263" t="str">
        <x:v>Sleep_Staging</x:v>
      </x:c>
      <x:c r="D84" s="263" t="str">
        <x:v>Test-Retest / RestCog</x:v>
      </x:c>
      <x:c r="E84" s="263" t="str">
        <x:v>RestCog
RestCog (test-retest resting and cognitive state EEG)</x:v>
      </x:c>
      <x:c r="F84" s="263" t="str">
        <x:v>OpenNeuro:ds004148</x:v>
      </x:c>
      <x:c r="G84" s="263" t="str">
        <x:v>DOWNLOAD_PUBLIC</x:v>
      </x:c>
      <x:c r="H84" s="263" t="str">
        <x:v>https://openneuro.org/datasets/ds004148</x:v>
      </x:c>
      <x:c r="I84" s="263" t="str">
        <x:v>Rest + cognitive states; OmniEEG: test-retest subject-ID &amp; task-type (RestCog) classification</x:v>
      </x:c>
      <x:c r="J84" s="263" t="str">
        <x:v>60</x:v>
      </x:c>
      <x:c r="K84" s="263" t="str">
        <x:v>63/64</x:v>
      </x:c>
      <x:c r="L84" s="263" t="str">
        <x:v>500 Hz</x:v>
      </x:c>
      <x:c r="M84" s="263" t="str">
        <x:v>EEGLAB / BIDS</x:v>
      </x:c>
      <x:c r="N84" s="263" t="str">
        <x:v>Both (raw + preprocessed derivatives)</x:v>
      </x:c>
      <x:c r="O84" s="263" t="str">
        <x:v>Open (OpenNeuro ds004148), CC0</x:v>
      </x:c>
      <x:c r="P84" s="263" t="str">
        <x:v>A test-retest resting, and cognitive state EEG dataset during multiple subject-driven states. Wang et al., 2022, Scientific Data 9:566.</x:v>
      </x:c>
      <x:c r="Q84" s="263" t="str">
        <x:v>03_Consciousness_and_State/Sleep_Staging/Test-Retest_RestCog</x:v>
      </x:c>
      <x:c r="R84" s="263" t="str">
        <x:v>存在公开仓库、官方入口或稳定数据访问号</x:v>
      </x:c>
      <x:c r="S84" s="263"/>
      <x:c r="T84" s="263"/>
      <x:c r="U84" s="264"/>
    </x:row>
    <x:row r="85" ht="60" customHeight="1">
      <x:c r="A85" s="239" t="str">
        <x:v>EEG-0149</x:v>
      </x:c>
      <x:c r="B85" s="228" t="str">
        <x:v>03_Consciousness_and_State</x:v>
      </x:c>
      <x:c r="C85" s="228" t="str">
        <x:v>Consciousness_Level</x:v>
      </x:c>
      <x:c r="D85" s="228" t="str">
        <x:v>Awakening (propofol)</x:v>
      </x:c>
      <x:c r="E85" s="228"/>
      <x:c r="F85" s="228" t="str">
        <x:v>OpenNeuro:ds005620</x:v>
      </x:c>
      <x:c r="G85" s="228" t="str">
        <x:v>DOWNLOAD_PUBLIC</x:v>
      </x:c>
      <x:c r="H85" s="228" t="str">
        <x:v>https://openneuro.org/datasets/ds005620</x:v>
      </x:c>
      <x:c r="I85" s="228" t="str">
        <x:v>Awake vs sedation/dreaming (consciousness; + TMS-EEG)</x:v>
      </x:c>
      <x:c r="J85" s="228" t="str">
        <x:v>21 (20 analyzed)</x:v>
      </x:c>
      <x:c r="K85" s="228" t="str">
        <x:v>65</x:v>
      </x:c>
      <x:c r="L85" s="228" t="str">
        <x:v>5000.0</x:v>
      </x:c>
      <x:c r="M85" s="228" t="str">
        <x:v>EEGLAB / EDF / BIDS</x:v>
      </x:c>
      <x:c r="N85" s="228" t="str">
        <x:v>Raw</x:v>
      </x:c>
      <x:c r="O85" s="228" t="str">
        <x:v>Open (OpenNeuro/NEMAR ds005620)</x:v>
      </x:c>
      <x:c r="P85" s="228" t="str">
        <x:v>A repeated awakening study exploring the capacity of complexity measures to capture dreaming during propofol sedation. Bajwa et al., 2025, Scientific Reports 15:32746.</x:v>
      </x:c>
      <x:c r="Q85" s="228" t="str">
        <x:v>03_Consciousness_and_State/Consciousness_Level/Awakening_propofol</x:v>
      </x:c>
      <x:c r="R85" s="228" t="str">
        <x:v>存在公开仓库、官方入口或稳定数据访问号</x:v>
      </x:c>
      <x:c r="S85" s="228"/>
      <x:c r="T85" s="228"/>
      <x:c r="U85" s="205"/>
    </x:row>
    <x:row r="86" ht="60" customHeight="1">
      <x:c r="A86" s="262" t="str">
        <x:v>EEG-0151</x:v>
      </x:c>
      <x:c r="B86" s="263" t="str">
        <x:v>03_Consciousness_and_State</x:v>
      </x:c>
      <x:c r="C86" s="263" t="str">
        <x:v>Consciousness_Level</x:v>
      </x:c>
      <x:c r="D86" s="263" t="str">
        <x:v>Visual-Evoked Potential (VEP) Event-Related Files from the General Anesthesia and Brain Activity (GABA) Study and Infant Sibling Project (ISP)</x:v>
      </x:c>
      <x:c r="E86" s="263"/>
      <x:c r="F86" s="263" t="str">
        <x:v>Zenodo:5931539 | DOI:10.1016/j.dcn.2022.101140</x:v>
      </x:c>
      <x:c r="G86" s="263" t="str">
        <x:v>DOWNLOAD_PUBLIC</x:v>
      </x:c>
      <x:c r="H86" s="263" t="str">
        <x:v>https://zenodo.org/records/5931539</x:v>
      </x:c>
      <x:c r="I86" s="263" t="str">
        <x:v>pattern-reversal Visual-Evoked Potential</x:v>
      </x:c>
      <x:c r="J86" s="263" t="str">
        <x:v>5</x:v>
      </x:c>
      <x:c r="K86" s="263" t="str">
        <x:v>128</x:v>
      </x:c>
      <x:c r="L86" s="263" t="str">
        <x:v>1000 Hz</x:v>
      </x:c>
      <x:c r="M86" s="263" t="str">
        <x:v>.raw</x:v>
      </x:c>
      <x:c r="N86" s="263" t="str">
        <x:v>Both</x:v>
      </x:c>
      <x:c r="O86" s="263" t="str">
        <x:v>Fully open</x:v>
      </x:c>
      <x:c r="P86" s="263" t="str">
        <x:v>DOI: 10.1016/j.dcn.2022.101140</x:v>
      </x:c>
      <x:c r="Q86" s="263" t="str">
        <x:v>03_Consciousness_and_State/Consciousness_Level/Visual-Evoked_Potential_VEP_Event-Related_Files_from_the_General_Anesthesia_and_Brain_Acti</x:v>
      </x:c>
      <x:c r="R86" s="263" t="str">
        <x:v>存在公开仓库、官方入口或稳定数据访问号</x:v>
      </x:c>
      <x:c r="S86" s="263"/>
      <x:c r="T86" s="263"/>
      <x:c r="U86" s="264"/>
    </x:row>
    <x:row r="87" ht="60" customHeight="1">
      <x:c r="A87" s="239" t="str">
        <x:v>EEG-0152</x:v>
      </x:c>
      <x:c r="B87" s="228" t="str">
        <x:v>04_Cognition_and_Emotion</x:v>
      </x:c>
      <x:c r="C87" s="228" t="str">
        <x:v>Vigilance_Detection</x:v>
      </x:c>
      <x:c r="D87" s="228" t="str">
        <x:v>Athletes-Alertness (EEG-ET)</x:v>
      </x:c>
      <x:c r="E87" s="228"/>
      <x:c r="F87" s="228" t="str">
        <x:v>DOI:10.6084/m9.figshare.c.5740424</x:v>
      </x:c>
      <x:c r="G87" s="228" t="str">
        <x:v>DOWNLOAD_PUBLIC</x:v>
      </x:c>
      <x:c r="H87" s="228" t="str">
        <x:v>https://doi.org/10.6084/m9.figshare.c.5740424</x:v>
      </x:c>
      <x:c r="I87" s="228" t="str">
        <x:v>Alertness/concentration (elite athletes; EEG + eye-tracking)</x:v>
      </x:c>
      <x:c r="J87" s="228" t="str">
        <x:v>74 (31 athletes + 43 controls)</x:v>
      </x:c>
      <x:c r="K87" s="228" t="str">
        <x:v>64</x:v>
      </x:c>
      <x:c r="L87" s="228" t="str">
        <x:v>1000 Hz</x:v>
      </x:c>
      <x:c r="M87" s="228" t="str">
        <x:v>Curry (.cdt)</x:v>
      </x:c>
      <x:c r="N87" s="228" t="str">
        <x:v>Raw (EEG .cdt + ET, BIDS-organized)</x:v>
      </x:c>
      <x:c r="O87" s="228" t="str">
        <x:v>Open (figshare c.5740424), CC BY 4.0</x:v>
      </x:c>
      <x:c r="P87" s="228" t="str">
        <x:v>A simultaneous electroencephalography and eye-tracking dataset in elite athletes during alertness and concentration tasks. Pei et al., 2022, Scientific Data 9:465.</x:v>
      </x:c>
      <x:c r="Q87" s="228" t="str">
        <x:v>04_Cognition_and_Emotion/Vigilance_Detection/Athletes-Alertness_EEG-ET</x:v>
      </x:c>
      <x:c r="R87" s="228" t="str">
        <x:v>存在公开仓库、官方入口或稳定数据访问号</x:v>
      </x:c>
      <x:c r="S87" s="228"/>
      <x:c r="T87" s="228"/>
      <x:c r="U87" s="205"/>
    </x:row>
    <x:row r="88" ht="60" customHeight="1">
      <x:c r="A88" s="262" t="str">
        <x:v>EEG-0153</x:v>
      </x:c>
      <x:c r="B88" s="263" t="str">
        <x:v>04_Cognition_and_Emotion</x:v>
      </x:c>
      <x:c r="C88" s="263" t="str">
        <x:v>Vigilance_Detection</x:v>
      </x:c>
      <x:c r="D88" s="263" t="str">
        <x:v>BCIT Driving</x:v>
      </x:c>
      <x:c r="E88" s="263"/>
      <x:c r="F88" s="263" t="str">
        <x:v>OpenNeuro:ds004118,ds004120,ds004121,ds004122</x:v>
      </x:c>
      <x:c r="G88" s="263" t="str">
        <x:v>DOWNLOAD_PUBLIC</x:v>
      </x:c>
      <x:c r="H88" s="263" t="str">
        <x:v>[Calibration ds004118](https://openneuro.org/datasets/ds004118) / [Baseline ds004120](https://openneuro.org/datasets/ds004120) / [Mind Wandering ds004121](https://openneuro.org/datasets/ds004121) / [Speed Control ds004122](https://openneuro.org/datasets/ds004122)</x:v>
      </x:c>
      <x:c r="I88" s="263" t="str">
        <x:v>driving calibration, baseline driving, mind wandering, speed control</x:v>
      </x:c>
      <x:c r="J88" s="263" t="str">
        <x:v>156</x:v>
      </x:c>
      <x:c r="K88" s="263" t="str">
        <x:v>256</x:v>
      </x:c>
      <x:c r="L88" s="263" t="str">
        <x:v>1024Hz</x:v>
      </x:c>
      <x:c r="M88" s="263" t="str">
        <x:v>BIDS</x:v>
      </x:c>
      <x:c r="N88" s="263" t="str">
        <x:v>raw BIDS</x:v>
      </x:c>
      <x:c r="O88" s="263" t="str">
        <x:v>公开下载：OpenNeuro BCIT datasets；CC0，可网页、OpenNeuro CLI 或 DataLad 获取。</x:v>
      </x:c>
      <x:c r="P88" s="263" t="str">
        <x:v>Jonathan Touryan; Greg Apker; Brent Lance; Scott Kerick; Anthony Ries; Kaleb McDowell; Kay Robbins</x:v>
      </x:c>
      <x:c r="Q88" s="263" t="str">
        <x:v>04_Cognition_and_Emotion/Vigilance_Detection/BCIT_Driving</x:v>
      </x:c>
      <x:c r="R88" s="263" t="str">
        <x:v>存在公开仓库、官方入口或稳定数据访问号</x:v>
      </x:c>
      <x:c r="S88" s="263"/>
      <x:c r="T88" s="263"/>
      <x:c r="U88" s="264"/>
    </x:row>
    <x:row r="89" ht="60" customHeight="1">
      <x:c r="A89" s="239" t="str">
        <x:v>EEG-0154</x:v>
      </x:c>
      <x:c r="B89" s="228" t="str">
        <x:v>04_Cognition_and_Emotion</x:v>
      </x:c>
      <x:c r="C89" s="228" t="str">
        <x:v>Vigilance_Detection</x:v>
      </x:c>
      <x:c r="D89" s="228" t="str">
        <x:v>BNCI 002-2016 (Emergency braking during simulated driving)</x:v>
      </x:c>
      <x:c r="E89" s="228" t="str">
        <x:v>BNCI2016_002 (Emergency Braking driving) [EEG-0155]</x:v>
      </x:c>
      <x:c r="F89" s="228" t="str">
        <x:v>BNCI:BNCI 002-2016</x:v>
      </x:c>
      <x:c r="G89" s="228" t="str">
        <x:v>DOWNLOAD_PUBLIC</x:v>
      </x:c>
      <x:c r="H89" s="228" t="str">
        <x:v>http://bnci-horizon-2020.eu/database/data-sets | https://moabb.neurotechx.com/docs/generated/moabb.datasets.BNCI2016_002.html</x:v>
      </x:c>
      <x:c r="I89" s="228" t="str">
        <x:v>Predicting emergency braking from EEG in driving simulator；ERP / Driving Cognitive State</x:v>
      </x:c>
      <x:c r="J89" s="228" t="str">
        <x:v>18</x:v>
      </x:c>
      <x:c r="K89" s="228" t="str">
        <x:v>59 EEG + 2 EOG + 2 EMG channels</x:v>
      </x:c>
      <x:c r="L89" s="228" t="str">
        <x:v>200 Hz</x:v>
      </x:c>
      <x:c r="M89" s="228" t="str">
        <x:v>MAT</x:v>
      </x:c>
      <x:c r="N89" s="228" t="str">
        <x:v>Raw EEG + EMG</x:v>
      </x:c>
      <x:c r="O89" s="228" t="str">
        <x:v>Open Access</x:v>
      </x:c>
      <x:c r="P89" s="228" t="str">
        <x:v>Haufe et al. 2011；Benjamin Blankertz, TU Berlin</x:v>
      </x:c>
      <x:c r="Q89" s="228" t="str">
        <x:v>04_Cognition_and_Emotion/Vigilance_Detection/BNCI_002-2016_Emergency_braking_during_simulated_driving</x:v>
      </x:c>
      <x:c r="R89" s="228" t="str">
        <x:v>存在公开仓库、官方入口或稳定数据访问号；2026-08-04去重：EEG-0155并入EEG-0154（BNCI 002-2016 / BNCI2016_002）</x:v>
      </x:c>
      <x:c r="S89" s="228"/>
      <x:c r="T89" s="228"/>
      <x:c r="U89" s="205"/>
    </x:row>
    <x:row r="90" ht="60" customHeight="1">
      <x:c r="A90" s="262" t="str">
        <x:v>EEG-0156</x:v>
      </x:c>
      <x:c r="B90" s="263" t="str">
        <x:v>04_Cognition_and_Emotion</x:v>
      </x:c>
      <x:c r="C90" s="263" t="str">
        <x:v>Vigilance_Detection</x:v>
      </x:c>
      <x:c r="D90" s="263" t="str">
        <x:v>Cao (2019)</x:v>
      </x:c>
      <x:c r="E90" s="263" t="str">
        <x:v>Cao (2024)
Sustained-Attention Driving</x:v>
      </x:c>
      <x:c r="F90" s="263" t="str">
        <x:v>Figshare:6427334,Figshare:7666055 | DOI:10.6084/m9.figshare.6427334,10.6084/m9.figshare.6427334.v5,10.6084/m9.figshare.7666055.v3</x:v>
      </x:c>
      <x:c r="G90" s="263" t="str">
        <x:v>DOWNLOAD_APPLICATION_REQUIRED</x:v>
      </x:c>
      <x:c r="H90" s="263" t="str">
        <x:v>https://doi.org/10.6084/m9.figshare.6427334.v5</x:v>
      </x:c>
      <x:c r="I90" s="263" t="str">
        <x:v>Cognitive: Sustained-attention driving</x:v>
      </x:c>
      <x:c r="J90" s="263" t="str">
        <x:v>27</x:v>
      </x:c>
      <x:c r="K90" s="263" t="str">
        <x:v>32</x:v>
      </x:c>
      <x:c r="L90" s="263" t="str">
        <x:v>500</x:v>
      </x:c>
      <x:c r="M90" s="263" t="str">
        <x:v>EEGLAB</x:v>
      </x:c>
      <x:c r="N90" s="263" t="str">
        <x:v>Both</x:v>
      </x:c>
      <x:c r="O90" s="263" t="str">
        <x:v>CC-BY 4.0</x:v>
      </x:c>
      <x:c r="P90" s="263" t="str">
        <x:v>Z. Cao et al., “Multi-channel EEG recordings during a sustained- attention driving task,” Sci. Data, vol. 6, no. 1, p. 19, 2019.</x:v>
      </x:c>
      <x:c r="Q90" s="263" t="str">
        <x:v>04_Cognition_and_Emotion/Vigilance_Detection/Cao_2019</x:v>
      </x:c>
      <x:c r="R90" s="263" t="str">
        <x:v>官方数据存在，但需申请、签署协议或获得权限</x:v>
      </x:c>
      <x:c r="S90" s="263"/>
      <x:c r="T90" s="263"/>
      <x:c r="U90" s="264"/>
    </x:row>
    <x:row r="91" ht="60" customHeight="1">
      <x:c r="A91" s="239" t="str">
        <x:v>EEG-0157</x:v>
      </x:c>
      <x:c r="B91" s="228" t="str">
        <x:v>04_Cognition_and_Emotion</x:v>
      </x:c>
      <x:c r="C91" s="228" t="str">
        <x:v>Vigilance_Detection</x:v>
      </x:c>
      <x:c r="D91" s="228" t="str">
        <x:v>COG-BCI</x:v>
      </x:c>
      <x:c r="E91" s="228"/>
      <x:c r="F91" s="228" t="str">
        <x:v>Zenodo:6874129</x:v>
      </x:c>
      <x:c r="G91" s="228" t="str">
        <x:v>DOWNLOAD_PUBLIC</x:v>
      </x:c>
      <x:c r="H91" s="228" t="str">
        <x:v>https://zenodo.org/records/6874129</x:v>
      </x:c>
      <x:c r="I91" s="228" t="str">
        <x:v>Cognitive: vigilance/workload (MATB, N-back, PVT, Flanker)</x:v>
      </x:c>
      <x:c r="J91" s="228" t="str">
        <x:v>29</x:v>
      </x:c>
      <x:c r="K91" s="228" t="str">
        <x:v>64 (+ECG)</x:v>
      </x:c>
      <x:c r="L91" s="228" t="str">
        <x:v>500 Hz</x:v>
      </x:c>
      <x:c r="M91" s="228" t="str">
        <x:v>EEGLAB / BIDS</x:v>
      </x:c>
      <x:c r="N91" s="228" t="str">
        <x:v>Raw (BIDS; EEG + ECG)</x:v>
      </x:c>
      <x:c r="O91" s="228" t="str">
        <x:v>Open (Zenodo 6874129), CC-BY 4.0</x:v>
      </x:c>
      <x:c r="P91" s="228" t="str">
        <x:v>Open multi-session and multi-task EEG cognitive dataset for passive brain-computer interface applications. Hinss et al., 2023, Scientific Data 10:85.</x:v>
      </x:c>
      <x:c r="Q91" s="228" t="str">
        <x:v>04_Cognition_and_Emotion/Vigilance_Detection/COG-BCI</x:v>
      </x:c>
      <x:c r="R91" s="228" t="str">
        <x:v>存在公开仓库、官方入口或稳定数据访问号</x:v>
      </x:c>
      <x:c r="S91" s="228"/>
      <x:c r="T91" s="228"/>
      <x:c r="U91" s="205"/>
    </x:row>
    <x:row r="92" ht="60" customHeight="1">
      <x:c r="A92" s="262" t="str">
        <x:v>EEG-0159</x:v>
      </x:c>
      <x:c r="B92" s="263" t="str">
        <x:v>04_Cognition_and_Emotion</x:v>
      </x:c>
      <x:c r="C92" s="263" t="str">
        <x:v>Vigilance_Detection</x:v>
      </x:c>
      <x:c r="D92" s="263" t="str">
        <x:v>Gebodh (2022)</x:v>
      </x:c>
      <x:c r="E92" s="263"/>
      <x:c r="F92" s="263" t="str">
        <x:v>Zenodo:3840615,Zenodo:3840617 | DOI:10.5281/zenodo.3840615,10.5281/zenodo.3840617</x:v>
      </x:c>
      <x:c r="G92" s="263" t="str">
        <x:v>DOWNLOAD_APPLICATION_REQUIRED</x:v>
      </x:c>
      <x:c r="H92" s="263" t="str">
        <x:v>Zenodo (GX Dataset): Exp1 DOI:10.5281/zenodo.3840615, Exp2 DOI:10.5281/zenodo.3840617; supporting figures also on Figshare</x:v>
      </x:c>
      <x:c r="I92" s="263" t="str">
        <x:v>Cognitive: Vigilance</x:v>
      </x:c>
      <x:c r="J92" s="263" t="str">
        <x:v>26</x:v>
      </x:c>
      <x:c r="K92" s="263" t="str">
        <x:v>32</x:v>
      </x:c>
      <x:c r="L92" s="263" t="str">
        <x:v>1000</x:v>
      </x:c>
      <x:c r="M92" s="263" t="str">
        <x:v>EEGLAB</x:v>
      </x:c>
      <x:c r="N92" s="263" t="str">
        <x:v>Raw + downsampled (1kHz, .mat) versions provided; code at github.com/ngebodh/GX_tES_EEG_Physio_Behavior</x:v>
      </x:c>
      <x:c r="O92" s="263" t="str">
        <x:v>Open access on Zenodo, no application needed</x:v>
      </x:c>
      <x:c r="P92" s="263" t="str">
        <x:v>Gebodh N, Esmaeilpour Z, Datta A, Bikson M. Sci Data 2021;8:274 (GX dataset)</x:v>
      </x:c>
      <x:c r="Q92" s="263" t="str">
        <x:v>04_Cognition_and_Emotion/Vigilance_Detection/Gebodh_2022</x:v>
      </x:c>
      <x:c r="R92" s="263" t="str">
        <x:v>官方数据存在，但需申请、签署协议或获得权限</x:v>
      </x:c>
      <x:c r="S92" s="263"/>
      <x:c r="T92" s="263"/>
      <x:c r="U92" s="264"/>
    </x:row>
    <x:row r="93" ht="60" customHeight="1">
      <x:c r="A93" s="239" t="str">
        <x:v>EEG-0160</x:v>
      </x:c>
      <x:c r="B93" s="228" t="str">
        <x:v>04_Cognition_and_Emotion</x:v>
      </x:c>
      <x:c r="C93" s="228" t="str">
        <x:v>Vigilance_Detection</x:v>
      </x:c>
      <x:c r="D93" s="228" t="str">
        <x:v>GX (EEG-ECG tES)</x:v>
      </x:c>
      <x:c r="E93" s="228"/>
      <x:c r="F93" s="228" t="str">
        <x:v>OpenNeuro:ds003670</x:v>
      </x:c>
      <x:c r="G93" s="228" t="str">
        <x:v>DOWNLOAD_PUBLIC</x:v>
      </x:c>
      <x:c r="H93" s="228" t="str">
        <x:v>https://openneuro.org/datasets/ds003670</x:v>
      </x:c>
      <x:c r="I93" s="228" t="str">
        <x:v>Concurrent EEG-ECG with transcranial electrical stimulation (vigilance)</x:v>
      </x:c>
      <x:c r="J93" s="228" t="str">
        <x:v>26 (20 in core)</x:v>
      </x:c>
      <x:c r="K93" s="228" t="str">
        <x:v>32</x:v>
      </x:c>
      <x:c r="L93" s="228" t="str">
        <x:v>1000 Hz (rec 2000)</x:v>
      </x:c>
      <x:c r="M93" s="228" t="str">
        <x:v>EEGLAB / BIDS</x:v>
      </x:c>
      <x:c r="N93" s="228" t="str">
        <x:v>Both (raw .cnt + downsampled .mat/BIDS)</x:v>
      </x:c>
      <x:c r="O93" s="228" t="str">
        <x:v>Open (OpenNeuro ds003670), CC-BY 4.0</x:v>
      </x:c>
      <x:c r="P93" s="228" t="str">
        <x:v>Dataset of concurrent EEG, ECG, and behavior with multiple doses of transcranial electrical stimulation. Gebodh et al., 2021, Scientific Data 8:274.</x:v>
      </x:c>
      <x:c r="Q93" s="228" t="str">
        <x:v>04_Cognition_and_Emotion/Vigilance_Detection/GX_EEG-ECG_tES</x:v>
      </x:c>
      <x:c r="R93" s="228" t="str">
        <x:v>存在公开仓库、官方入口或稳定数据访问号</x:v>
      </x:c>
      <x:c r="S93" s="228"/>
      <x:c r="T93" s="228"/>
      <x:c r="U93" s="205"/>
    </x:row>
    <x:row r="94" ht="60" customHeight="1">
      <x:c r="A94" s="262" t="str">
        <x:v>EEG-0162</x:v>
      </x:c>
      <x:c r="B94" s="263" t="str">
        <x:v>04_Cognition_and_Emotion</x:v>
      </x:c>
      <x:c r="C94" s="263" t="str">
        <x:v>Vigilance_Detection</x:v>
      </x:c>
      <x:c r="D94" s="263" t="str">
        <x:v>MPDB (driving)</x:v>
      </x:c>
      <x:c r="E94" s="263" t="str">
        <x:v>Tao (2024) [EEG-0168]</x:v>
      </x:c>
      <x:c r="F94" s="263" t="str">
        <x:v>DOI:10.1038/s41597-024-03222-2 | Figshare:22193119 | DOI:10.6084/m9.figshare.22193119.v3</x:v>
      </x:c>
      <x:c r="G94" s="263" t="str">
        <x:v>DOWNLOAD_PUBLIC</x:v>
      </x:c>
      <x:c r="H94" s="263" t="str">
        <x:v>https://doi.org/10.1038/s41597-024-03222-2 | https://doi.org/10.6084/m9.figshare.22193119.v3</x:v>
      </x:c>
      <x:c r="I94" s="263" t="str">
        <x:v>Driving behaviour analysis (multimodal)；Driving Task</x:v>
      </x:c>
      <x:c r="J94" s="263" t="str">
        <x:v>35</x:v>
      </x:c>
      <x:c r="K94" s="263" t="str">
        <x:v>59</x:v>
      </x:c>
      <x:c r="L94" s="263" t="str">
        <x:v>1000 Hz</x:v>
      </x:c>
      <x:c r="M94" s="263" t="str">
        <x:v>Biosemi</x:v>
      </x:c>
      <x:c r="N94" s="263" t="str">
        <x:v>Both (raw + preprocessed/segmented + eye-tracking)</x:v>
      </x:c>
      <x:c r="O94" s="263" t="str">
        <x:v>Open (figshare via article), CC-BY</x:v>
      </x:c>
      <x:c r="P94" s="263" t="str">
        <x:v>A multimodal physiological dataset for driving behaviour analysis. Tao et al., 2024, Scientific Data 11:378.；X. Tao et al., “A multimodal physiological dataset for driving behaviour analysis,” Sci. Data, vol. 11, no. 1, p. 378, 2024.</x:v>
      </x:c>
      <x:c r="Q94" s="263" t="str">
        <x:v>04_Cognition_and_Emotion/Vigilance_Detection/MPDB_driving</x:v>
      </x:c>
      <x:c r="R94" s="263" t="str">
        <x:v>存在公开仓库、官方入口或稳定数据访问号；2026-08-04去重：EEG-0168并入EEG-0162（MPDB paper DOI 10.1038/s41597-024-03222-2 and Figshare 22193119）</x:v>
      </x:c>
      <x:c r="S94" s="263"/>
      <x:c r="T94" s="263"/>
      <x:c r="U94" s="264"/>
    </x:row>
    <x:row r="95" ht="60" customHeight="1">
      <x:c r="A95" s="239" t="str">
        <x:v>EEG-0163</x:v>
      </x:c>
      <x:c r="B95" s="228" t="str">
        <x:v>04_Cognition_and_Emotion</x:v>
      </x:c>
      <x:c r="C95" s="228" t="str">
        <x:v>Vigilance_Detection</x:v>
      </x:c>
      <x:c r="D95" s="228" t="str">
        <x:v>Pei (2022)</x:v>
      </x:c>
      <x:c r="E95" s="228"/>
      <x:c r="F95" s="228" t="str">
        <x:v>DOI:10.6084/m9.figshare.c.5740424.v1</x:v>
      </x:c>
      <x:c r="G95" s="228" t="str">
        <x:v>DOWNLOAD_APPLICATION_REQUIRED</x:v>
      </x:c>
      <x:c r="H95" s="228" t="str">
        <x:v>https://doi.org/10.6084/m9.figshare.c.5740424.v1</x:v>
      </x:c>
      <x:c r="I95" s="228" t="str">
        <x:v>Cognitive: Alertness</x:v>
      </x:c>
      <x:c r="J95" s="228" t="str">
        <x:v>74</x:v>
      </x:c>
      <x:c r="K95" s="228" t="str">
        <x:v>64</x:v>
      </x:c>
      <x:c r="L95" s="228" t="str">
        <x:v>1000</x:v>
      </x:c>
      <x:c r="M95" s="228" t="str">
        <x:v>CDT（Neuroscan Curry）</x:v>
      </x:c>
      <x:c r="N95" s="228" t="str">
        <x:v>Raw EEG (.cdt) + eye-tracking (.edf) files, exportable via MATLAB/EEGLAB</x:v>
      </x:c>
      <x:c r="O95" s="228" t="str">
        <x:v>Open access on Figshare, no application needed</x:v>
      </x:c>
      <x:c r="P95" s="228" t="str">
        <x:v>X. Pei et al., “A simultaneous electroencephalography and eye-tracking dataset in elite athletes during alertness and concentration tasks,” Sci. Data, vol. 9, no. 1, p. 465, 2022.</x:v>
      </x:c>
      <x:c r="Q95" s="228" t="str">
        <x:v>04_Cognition_and_Emotion/Vigilance_Detection/Pei_2022</x:v>
      </x:c>
      <x:c r="R95" s="228" t="str">
        <x:v>官方数据存在，但需申请、签署协议或获得权限</x:v>
      </x:c>
      <x:c r="S95" s="228"/>
      <x:c r="T95" s="228"/>
      <x:c r="U95" s="205"/>
    </x:row>
    <x:row r="96" ht="60" customHeight="1">
      <x:c r="A96" s="262" t="str">
        <x:v>EEG-0165</x:v>
      </x:c>
      <x:c r="B96" s="263" t="str">
        <x:v>04_Cognition_and_Emotion</x:v>
      </x:c>
      <x:c r="C96" s="263" t="str">
        <x:v>Vigilance_Detection</x:v>
      </x:c>
      <x:c r="D96" s="263" t="str">
        <x:v>SEED-VLA</x:v>
      </x:c>
      <x:c r="E96" s="263"/>
      <x:c r="F96" s="263" t="str">
        <x:v>DOI:10.1088/1741-2552/ad546d</x:v>
      </x:c>
      <x:c r="G96" s="263" t="str">
        <x:v>DOWNLOAD_APPLICATION_REQUIRED</x:v>
      </x:c>
      <x:c r="H96" s="263" t="str">
        <x:v>https://bcmi.sjtu.edu.cn/home/seed/seed-VLA.html</x:v>
      </x:c>
      <x:c r="I96" s="263" t="str">
        <x:v>Driving fatigue / vigilance detection in laboratory simulated driving</x:v>
      </x:c>
      <x:c r="J96" s="263" t="str">
        <x:v>20 lab + 14 real-world</x:v>
      </x:c>
      <x:c r="K96" s="263" t="str">
        <x:v>18 EEG</x:v>
      </x:c>
      <x:c r="L96" s="263" t="str">
        <x:v>300 Hz</x:v>
      </x:c>
      <x:c r="M96" s="263" t="str">
        <x:v>EDF preprocessed raw EEG; PERCLOS labels</x:v>
      </x:c>
      <x:c r="N96" s="263" t="str">
        <x:v>Preprocessed raw EEG and continuous vigilance labels</x:v>
      </x:c>
      <x:c r="O96" s="263" t="str">
        <x:v>Apply/download via SJTU BCMI; EEG with PERCLOS labels</x:v>
      </x:c>
      <x:c r="P96" s="263" t="str">
        <x:v>DOI 10.1088/1741-2552/ad546d</x:v>
      </x:c>
      <x:c r="Q96" s="263" t="str">
        <x:v>04_Cognition_and_Emotion/Vigilance_Detection/SEED-VLA</x:v>
      </x:c>
      <x:c r="R96" s="263" t="str">
        <x:v>官方数据存在，但需申请、签署协议或获得权限</x:v>
      </x:c>
      <x:c r="S96" s="263"/>
      <x:c r="T96" s="263"/>
      <x:c r="U96" s="264"/>
    </x:row>
    <x:row r="97" ht="60" customHeight="1">
      <x:c r="A97" s="239" t="str">
        <x:v>EEG-0166</x:v>
      </x:c>
      <x:c r="B97" s="228" t="str">
        <x:v>04_Cognition_and_Emotion</x:v>
      </x:c>
      <x:c r="C97" s="228" t="str">
        <x:v>Vigilance_Detection</x:v>
      </x:c>
      <x:c r="D97" s="228" t="str">
        <x:v>SEED-VRW</x:v>
      </x:c>
      <x:c r="E97" s="228"/>
      <x:c r="F97" s="228" t="str">
        <x:v>DOI:10.1088/1741-2552/ad546d</x:v>
      </x:c>
      <x:c r="G97" s="228" t="str">
        <x:v>DOWNLOAD_APPLICATION_REQUIRED</x:v>
      </x:c>
      <x:c r="H97" s="228" t="str">
        <x:v>https://bcmi.sjtu.edu.cn/home/seed/index.html</x:v>
      </x:c>
      <x:c r="I97" s="228" t="str">
        <x:v>Fatigued driving detection / real-world vigilance</x:v>
      </x:c>
      <x:c r="J97" s="228" t="str">
        <x:v>14</x:v>
      </x:c>
      <x:c r="K97" s="228" t="str">
        <x:v>18</x:v>
      </x:c>
      <x:c r="L97" s="228" t="str">
        <x:v>300 Hz</x:v>
      </x:c>
      <x:c r="M97" s="228" t="str">
        <x:v>.edf</x:v>
      </x:c>
      <x:c r="N97" s="228" t="str">
        <x:v>Preprocessed raw EEG</x:v>
      </x:c>
      <x:c r="O97" s="228" t="str">
        <x:v>Apply/download via SJTU BCMI; EEG with PERCLOS labels</x:v>
      </x:c>
      <x:c r="P97" s="228" t="str">
        <x:v>DOI 10.1088/1741-2552/ad546d</x:v>
      </x:c>
      <x:c r="Q97" s="228" t="str">
        <x:v>04_Cognition_and_Emotion/Vigilance_Detection/SEED-VRW</x:v>
      </x:c>
      <x:c r="R97" s="228" t="str">
        <x:v>官方数据存在，但需申请、签署协议或获得权限</x:v>
      </x:c>
      <x:c r="S97" s="228"/>
      <x:c r="T97" s="228"/>
      <x:c r="U97" s="205"/>
    </x:row>
    <x:row r="98" ht="60" customHeight="1">
      <x:c r="A98" s="262" t="str">
        <x:v>EEG-0169</x:v>
      </x:c>
      <x:c r="B98" s="263" t="str">
        <x:v>04_Cognition_and_Emotion</x:v>
      </x:c>
      <x:c r="C98" s="263" t="str">
        <x:v>Emotion_Recognition</x:v>
      </x:c>
      <x:c r="D98" s="263" t="str">
        <x:v>A dataset recorded during development of an affective brain-computer music interface: calibration session</x:v>
      </x:c>
      <x:c r="E98" s="263"/>
      <x:c r="F98" s="263" t="str">
        <x:v>OpenNeuro:ds002722 | BNCI:020-0507 | DOI:10.1038/s41597-020-0507-6</x:v>
      </x:c>
      <x:c r="G98" s="263" t="str">
        <x:v>DOWNLOAD_PUBLIC</x:v>
      </x:c>
      <x:c r="H98" s="263" t="str">
        <x:v>https://openneuro.org/datasets/ds002722</x:v>
      </x:c>
      <x:c r="I98" s="263" t="str">
        <x:v>Affective Brain-Computer Music Interface</x:v>
      </x:c>
      <x:c r="J98" s="263" t="str">
        <x:v>19</x:v>
      </x:c>
      <x:c r="K98" s="263" t="str">
        <x:v>32</x:v>
      </x:c>
      <x:c r="L98" s="263" t="str">
        <x:v>1000 Hz</x:v>
      </x:c>
      <x:c r="M98" s="263" t="str">
        <x:v>BIDS</x:v>
      </x:c>
      <x:c r="N98" s="263" t="str">
        <x:v>RAW</x:v>
      </x:c>
      <x:c r="O98" s="263" t="str">
        <x:v>Fully open</x:v>
      </x:c>
      <x:c r="P98" s="263" t="str">
        <x:v>DOI: 10.1038/s41597-020-0507-6</x:v>
      </x:c>
      <x:c r="Q98" s="263" t="str">
        <x:v>04_Cognition_and_Emotion/Emotion_Recognition/A_dataset_recorded_during_development_of_an_affective_brain-computer_music_interface_calib</x:v>
      </x:c>
      <x:c r="R98" s="263" t="str">
        <x:v>存在公开仓库、官方入口或稳定数据访问号</x:v>
      </x:c>
      <x:c r="S98" s="263"/>
      <x:c r="T98" s="263"/>
      <x:c r="U98" s="264"/>
    </x:row>
    <x:row r="99" ht="60" customHeight="1">
      <x:c r="A99" s="239" t="str">
        <x:v>EEG-0170</x:v>
      </x:c>
      <x:c r="B99" s="228" t="str">
        <x:v>04_Cognition_and_Emotion</x:v>
      </x:c>
      <x:c r="C99" s="228" t="str">
        <x:v>Emotion_Recognition</x:v>
      </x:c>
      <x:c r="D99" s="228" t="str">
        <x:v>A dataset recorded during development of an affective brain-computer music interface: testing session</x:v>
      </x:c>
      <x:c r="E99" s="228"/>
      <x:c r="F99" s="228" t="str">
        <x:v>OpenNeuro:ds002723 | BNCI:020-0507 | DOI:10.1038/s41597-020-0507-6</x:v>
      </x:c>
      <x:c r="G99" s="228" t="str">
        <x:v>DOWNLOAD_PUBLIC</x:v>
      </x:c>
      <x:c r="H99" s="228" t="str">
        <x:v>https://openneuro.org/datasets/ds002723</x:v>
      </x:c>
      <x:c r="I99" s="228" t="str">
        <x:v>Affective Brain-Computer Music Interface</x:v>
      </x:c>
      <x:c r="J99" s="228" t="str">
        <x:v>8</x:v>
      </x:c>
      <x:c r="K99" s="228" t="str">
        <x:v>32</x:v>
      </x:c>
      <x:c r="L99" s="228" t="str">
        <x:v>1000 Hz</x:v>
      </x:c>
      <x:c r="M99" s="228" t="str">
        <x:v>BIDS</x:v>
      </x:c>
      <x:c r="N99" s="228" t="str">
        <x:v>RAW</x:v>
      </x:c>
      <x:c r="O99" s="228" t="str">
        <x:v>Fully open</x:v>
      </x:c>
      <x:c r="P99" s="228" t="str">
        <x:v>DOI: 10.1038/s41597-020-0507-6</x:v>
      </x:c>
      <x:c r="Q99" s="228" t="str">
        <x:v>04_Cognition_and_Emotion/Emotion_Recognition/A_dataset_recorded_during_development_of_an_affective_brain-computer_music_interface_testi</x:v>
      </x:c>
      <x:c r="R99" s="228" t="str">
        <x:v>存在公开仓库、官方入口或稳定数据访问号</x:v>
      </x:c>
      <x:c r="S99" s="228"/>
      <x:c r="T99" s="228"/>
      <x:c r="U99" s="205"/>
    </x:row>
    <x:row r="100" ht="60" customHeight="1">
      <x:c r="A100" s="262" t="str">
        <x:v>EEG-0171</x:v>
      </x:c>
      <x:c r="B100" s="263" t="str">
        <x:v>04_Cognition_and_Emotion</x:v>
      </x:c>
      <x:c r="C100" s="263" t="str">
        <x:v>Emotion_Recognition</x:v>
      </x:c>
      <x:c r="D100" s="263" t="str">
        <x:v>A dataset recorded during development of an affective brain-computer music interface: training sessions</x:v>
      </x:c>
      <x:c r="E100" s="263"/>
      <x:c r="F100" s="263" t="str">
        <x:v>OpenNeuro:ds002724 | BNCI:020-0507 | DOI:10.1038/s41597-020-0507-6</x:v>
      </x:c>
      <x:c r="G100" s="263" t="str">
        <x:v>DOWNLOAD_PUBLIC</x:v>
      </x:c>
      <x:c r="H100" s="263" t="str">
        <x:v>https://openneuro.org/datasets/ds002724</x:v>
      </x:c>
      <x:c r="I100" s="263" t="str">
        <x:v>Affective Brain-Computer Music Interface</x:v>
      </x:c>
      <x:c r="J100" s="263" t="str">
        <x:v>10</x:v>
      </x:c>
      <x:c r="K100" s="263" t="str">
        <x:v>32</x:v>
      </x:c>
      <x:c r="L100" s="263" t="str">
        <x:v>1000 Hz</x:v>
      </x:c>
      <x:c r="M100" s="263" t="str">
        <x:v>BIDS</x:v>
      </x:c>
      <x:c r="N100" s="263" t="str">
        <x:v>RAW</x:v>
      </x:c>
      <x:c r="O100" s="263" t="str">
        <x:v>Fully open</x:v>
      </x:c>
      <x:c r="P100" s="263" t="str">
        <x:v>DOI: 10.1038/s41597-020-0507-6</x:v>
      </x:c>
      <x:c r="Q100" s="263" t="str">
        <x:v>04_Cognition_and_Emotion/Emotion_Recognition/A_dataset_recorded_during_development_of_an_affective_brain-computer_music_interface_train</x:v>
      </x:c>
      <x:c r="R100" s="263" t="str">
        <x:v>存在公开仓库、官方入口或稳定数据访问号</x:v>
      </x:c>
      <x:c r="S100" s="263"/>
      <x:c r="T100" s="263"/>
      <x:c r="U100" s="264"/>
    </x:row>
    <x:row r="101" ht="60" customHeight="1">
      <x:c r="A101" s="239" t="str">
        <x:v>EEG-0172</x:v>
      </x:c>
      <x:c r="B101" s="228" t="str">
        <x:v>04_Cognition_and_Emotion</x:v>
      </x:c>
      <x:c r="C101" s="228" t="str">
        <x:v>Emotion_Recognition</x:v>
      </x:c>
      <x:c r="D101" s="228" t="str">
        <x:v>Affective Music Listening EEG-fMRI Dataset</x:v>
      </x:c>
      <x:c r="E101" s="228"/>
      <x:c r="F101" s="228" t="str">
        <x:v>OpenNeuro:ds002725</x:v>
      </x:c>
      <x:c r="G101" s="228" t="str">
        <x:v>DOWNLOAD_PUBLIC</x:v>
      </x:c>
      <x:c r="H101" s="228" t="str">
        <x:v>[OpenNeuro ds002725](https://openneuro.org/datasets/ds002725/versions/1.0.0)</x:v>
      </x:c>
      <x:c r="I101" s="228" t="str">
        <x:v>affective music listening；emotion / music cognition；joint EEG-fMRI</x:v>
      </x:c>
      <x:c r="J101" s="228" t="str">
        <x:v>21</x:v>
      </x:c>
      <x:c r="K101" s="228" t="str">
        <x:v>30</x:v>
      </x:c>
      <x:c r="L101" s="228" t="str">
        <x:v>1000Hz</x:v>
      </x:c>
      <x:c r="M101" s="228" t="str">
        <x:v>BIDS</x:v>
      </x:c>
      <x:c r="N101" s="228" t="str">
        <x:v>raw BIDS</x:v>
      </x:c>
      <x:c r="O101" s="228" t="str">
        <x:v>公开下载：OpenNeuro ds002725 v1.0.0；CC0，可网页、OpenNeuro CLI 或 DataLad 获取。</x:v>
      </x:c>
      <x:c r="P101" s="228" t="str">
        <x:v>Ian Daly; Nicoletta Nicolaou; Duncan Williams; Faustina Hwang; Alexis Kirke; Eduardo Miranda; Slawomir J. Nasuto</x:v>
      </x:c>
      <x:c r="Q101" s="228" t="str">
        <x:v>04_Cognition_and_Emotion/Emotion_Recognition/Affective_Music_Listening_EEG-fMRI_Dataset</x:v>
      </x:c>
      <x:c r="R101" s="228" t="str">
        <x:v>存在公开仓库、官方入口或稳定数据访问号</x:v>
      </x:c>
      <x:c r="S101" s="228" t="str">
        <x:v>2</x:v>
      </x:c>
      <x:c r="T101" s="228" t="str">
        <x:v>not reported</x:v>
      </x:c>
      <x:c r="U101" s="205" t="str">
        <x:v>5 runs/subject</x:v>
      </x:c>
    </x:row>
    <x:row r="102" ht="60" customHeight="1">
      <x:c r="A102" s="262" t="str">
        <x:v>EEG-0173</x:v>
      </x:c>
      <x:c r="B102" s="263" t="str">
        <x:v>04_Cognition_and_Emotion</x:v>
      </x:c>
      <x:c r="C102" s="263" t="str">
        <x:v>Emotion_Recognition</x:v>
      </x:c>
      <x:c r="D102" s="263" t="str">
        <x:v>CIRE</x:v>
      </x:c>
      <x:c r="E102" s="263"/>
      <x:c r="F102" s="263" t="str">
        <x:v>DOI:10.57760/sciencedb.23372</x:v>
      </x:c>
      <x:c r="G102" s="263" t="str">
        <x:v>DOWNLOAD_PUBLIC</x:v>
      </x:c>
      <x:c r="H102" s="263" t="str">
        <x:v>https://doi.org/10.57760/sciencedb.23372</x:v>
      </x:c>
      <x:c r="I102" s="263" t="str">
        <x:v>Speech intention (literal vs non-literal) x prosodic emotion (Chinese auditory)</x:v>
      </x:c>
      <x:c r="J102" s="263" t="str">
        <x:v>38 (20F/18M)</x:v>
      </x:c>
      <x:c r="K102" s="263" t="str">
        <x:v>128</x:v>
      </x:c>
      <x:c r="L102" s="263" t="str">
        <x:v>1000 Hz (preproc 256)</x:v>
      </x:c>
      <x:c r="M102" s="263" t="str">
        <x:v>EDF (BIDS) / .set</x:v>
      </x:c>
      <x:c r="N102" s="263" t="str">
        <x:v>Both (raw + preprocessed)</x:v>
      </x:c>
      <x:c r="O102" s="263" t="str">
        <x:v>Public on ScienceDB (BIDS); Tianjin Univ. ethics</x:v>
      </x:c>
      <x:c r="P102" s="263" t="str">
        <x:v>CIRE: a Chinese EEG dataset for decoding speech intention modulated by prosodic emotion. He et al., 2025, Scientific Data 12:1664.</x:v>
      </x:c>
      <x:c r="Q102" s="263" t="str">
        <x:v>04_Cognition_and_Emotion/Emotion_Recognition/CIRE</x:v>
      </x:c>
      <x:c r="R102" s="263" t="str">
        <x:v>存在公开仓库、官方入口或稳定数据访问号</x:v>
      </x:c>
      <x:c r="S102" s="263"/>
      <x:c r="T102" s="263"/>
      <x:c r="U102" s="264"/>
    </x:row>
    <x:row r="103" ht="60" customHeight="1">
      <x:c r="A103" s="239" t="str">
        <x:v>EEG-0178</x:v>
      </x:c>
      <x:c r="B103" s="228" t="str">
        <x:v>04_Cognition_and_Emotion</x:v>
      </x:c>
      <x:c r="C103" s="228" t="str">
        <x:v>Emotion_Recognition</x:v>
      </x:c>
      <x:c r="D103" s="228" t="str">
        <x:v>EmoEEG-MC</x:v>
      </x:c>
      <x:c r="E103" s="228"/>
      <x:c r="F103" s="228" t="str">
        <x:v>OpenNeuro:ds005540</x:v>
      </x:c>
      <x:c r="G103" s="228" t="str">
        <x:v>DOWNLOAD_PUBLIC</x:v>
      </x:c>
      <x:c r="H103" s="228" t="str">
        <x:v>https://openneuro.org/datasets/ds005540</x:v>
      </x:c>
      <x:c r="I103" s="228" t="str">
        <x:v>Multi-context emotion (video- &amp; imagery-induced, 7 emotions)</x:v>
      </x:c>
      <x:c r="J103" s="228" t="str">
        <x:v>60 (63 recruited)</x:v>
      </x:c>
      <x:c r="K103" s="228" t="str">
        <x:v>64 EEG (+GSR/PPG)</x:v>
      </x:c>
      <x:c r="L103" s="228" t="str">
        <x:v>600 Hz (1200 first 9; preproc 200)</x:v>
      </x:c>
      <x:c r="M103" s="228" t="str">
        <x:v>EDF / BIDS; derivatives .npy/.csv/.mat</x:v>
      </x:c>
      <x:c r="N103" s="228" t="str">
        <x:v>Both</x:v>
      </x:c>
      <x:c r="O103" s="228" t="str">
        <x:v>Open (OpenNeuro ds005540 / ScienceDB), CC0</x:v>
      </x:c>
      <x:c r="P103" s="228" t="str">
        <x:v>EmoEEG-MC: a multi-context emotional EEG dataset for cross-context emotion decoding. Xu et al., 2025, Scientific Data 12:1142.</x:v>
      </x:c>
      <x:c r="Q103" s="228" t="str">
        <x:v>04_Cognition_and_Emotion/Emotion_Recognition/EmoEEG-MC</x:v>
      </x:c>
      <x:c r="R103" s="228" t="str">
        <x:v>存在公开仓库、官方入口或稳定数据访问号</x:v>
      </x:c>
      <x:c r="S103" s="228"/>
      <x:c r="T103" s="228"/>
      <x:c r="U103" s="205"/>
    </x:row>
    <x:row r="104" ht="60" customHeight="1">
      <x:c r="A104" s="262" t="str">
        <x:v>EEG-0179</x:v>
      </x:c>
      <x:c r="B104" s="263" t="str">
        <x:v>04_Cognition_and_Emotion</x:v>
      </x:c>
      <x:c r="C104" s="263" t="str">
        <x:v>Emotion_Recognition</x:v>
      </x:c>
      <x:c r="D104" s="263" t="str">
        <x:v>Emotion (Voice-UI)</x:v>
      </x:c>
      <x:c r="E104" s="263" t="str">
        <x:v>Voice-User Interaction Emotion EEG Dataset [EEG-0198]</x:v>
      </x:c>
      <x:c r="F104" s="263" t="str">
        <x:v>DOI:10.6084/m9.figshare.c.7207839 | Figshare:7207839</x:v>
      </x:c>
      <x:c r="G104" s="263" t="str">
        <x:v>DOWNLOAD_PUBLIC</x:v>
      </x:c>
      <x:c r="H104" s="263" t="str">
        <x:v>https://doi.org/10.6084/m9.figshare.c.7207839 | [Springer Nature Figshare VUI Emotion EEG](https://springernature.figshare.com/collections/EEG_Dataset_for_the_Recognition_of_Different_Emotions_Naturally_Induced_in_Voice-User_Interaction/7207839)</x:v>
      </x:c>
      <x:c r="I104" s="263" t="str">
        <x:v>Emotion recognition in voice-user interaction；emotion recognition during natural voice-user interaction</x:v>
      </x:c>
      <x:c r="J104" s="263" t="str">
        <x:v>50 enrolled (44 retained in the reported analysis)</x:v>
      </x:c>
      <x:c r="K104" s="263" t="str">
        <x:v>63</x:v>
      </x:c>
      <x:c r="L104" s="263" t="str">
        <x:v>1000 Hz</x:v>
      </x:c>
      <x:c r="M104" s="263" t="str">
        <x:v>MAT</x:v>
      </x:c>
      <x:c r="N104" s="263" t="str">
        <x:v>Both (raw + EEGLAB-preprocessed + scripts)</x:v>
      </x:c>
      <x:c r="O104" s="263" t="str">
        <x:v>Open (figshare c.7207839), CC BY 4.0</x:v>
      </x:c>
      <x:c r="P104" s="263" t="str">
        <x:v>EEG dataset for the recognition of different emotions induced in voice-user interaction. Choi et al., 2024, Scientific Data 11:1084.；VUI emotion dataset authors, Scientific Data 2024</x:v>
      </x:c>
      <x:c r="Q104" s="263" t="str">
        <x:v>04_Cognition_and_Emotion/Emotion_Recognition/Emotion_Voice-UI</x:v>
      </x:c>
      <x:c r="R104" s="263" t="str">
        <x:v>存在公开仓库、官方入口或稳定数据访问号；2026-08-04去重：EEG-0198并入EEG-0179（Figshare collection 7207839; Voice-User Interaction Emotion EEG）</x:v>
      </x:c>
      <x:c r="S104" s="263"/>
      <x:c r="T104" s="263"/>
      <x:c r="U104" s="264"/>
    </x:row>
    <x:row r="105" ht="60" customHeight="1">
      <x:c r="A105" s="239" t="str">
        <x:v>EEG-0181</x:v>
      </x:c>
      <x:c r="B105" s="228" t="str">
        <x:v>04_Cognition_and_Emotion</x:v>
      </x:c>
      <x:c r="C105" s="228" t="str">
        <x:v>Emotion_Recognition</x:v>
      </x:c>
      <x:c r="D105" s="228" t="str">
        <x:v>FACED</x:v>
      </x:c>
      <x:c r="E105" s="228"/>
      <x:c r="F105" s="228" t="str">
        <x:v>DOI:10.7303/syn50614194</x:v>
      </x:c>
      <x:c r="G105" s="228" t="str">
        <x:v>DOWNLOAD_PUBLIC</x:v>
      </x:c>
      <x:c r="H105" s="228" t="str">
        <x:v>https://doi.org/10.7303/syn50614194</x:v>
      </x:c>
      <x:c r="I105" s="228" t="str">
        <x:v>Fine-grained emotion recognition (9 classes)</x:v>
      </x:c>
      <x:c r="J105" s="228" t="str">
        <x:v>123</x:v>
      </x:c>
      <x:c r="K105" s="228" t="str">
        <x:v>32</x:v>
      </x:c>
      <x:c r="L105" s="228" t="str">
        <x:v>250 Hz</x:v>
      </x:c>
      <x:c r="M105" s="228" t="str">
        <x:v>Biosemi (.bdf)</x:v>
      </x:c>
      <x:c r="N105" s="228" t="str">
        <x:v>Both (raw .bdf + preprocessed .pkl + DE/PSD)</x:v>
      </x:c>
      <x:c r="O105" s="228" t="str">
        <x:v>On Synapse (syn50614194); requires account registration</x:v>
      </x:c>
      <x:c r="P105" s="228" t="str">
        <x:v>A large finer-grained affective computing EEG dataset. Chen et al., 2023, Scientific Data 10:740.</x:v>
      </x:c>
      <x:c r="Q105" s="228" t="str">
        <x:v>04_Cognition_and_Emotion/Emotion_Recognition/FACED</x:v>
      </x:c>
      <x:c r="R105" s="228" t="str">
        <x:v>存在公开仓库、官方入口或稳定数据访问号</x:v>
      </x:c>
      <x:c r="S105" s="228"/>
      <x:c r="T105" s="228"/>
      <x:c r="U105" s="205"/>
    </x:row>
    <x:row r="106" ht="60" customHeight="1">
      <x:c r="A106" s="262" t="str">
        <x:v>EEG-0182</x:v>
      </x:c>
      <x:c r="B106" s="263" t="str">
        <x:v>04_Cognition_and_Emotion</x:v>
      </x:c>
      <x:c r="C106" s="263" t="str">
        <x:v>Emotion_Recognition</x:v>
      </x:c>
      <x:c r="D106" s="263" t="str">
        <x:v>Imagined Emotion Study</x:v>
      </x:c>
      <x:c r="E106" s="263"/>
      <x:c r="F106" s="263" t="str">
        <x:v>OpenNeuro:ds003004 | DOI:10.18112/openneuro.ds003004.v1.1.1</x:v>
      </x:c>
      <x:c r="G106" s="263" t="str">
        <x:v>DOWNLOAD_PUBLIC</x:v>
      </x:c>
      <x:c r="H106" s="263" t="str">
        <x:v>[OpenNeuro ds003004](https://openneuro.org/datasets/ds003004/versions/1.1.1)</x:v>
      </x:c>
      <x:c r="I106" s="263" t="str">
        <x:v>ImaginedEmotion</x:v>
      </x:c>
      <x:c r="J106" s="263" t="str">
        <x:v>34</x:v>
      </x:c>
      <x:c r="K106" s="263" t="str">
        <x:v>208</x:v>
      </x:c>
      <x:c r="L106" s="263" t="str">
        <x:v>256Hz</x:v>
      </x:c>
      <x:c r="M106" s="263" t="str">
        <x:v>BIDS</x:v>
      </x:c>
      <x:c r="N106" s="263" t="str">
        <x:v>raw BIDS</x:v>
      </x:c>
      <x:c r="O106" s="263" t="str">
        <x:v>OpenNeuro public download; ds003004 v1.1.1; license CC0; use web / OpenNeuro CLI / DataLad.</x:v>
      </x:c>
      <x:c r="P106" s="263" t="str">
        <x:v>Julie Onton; Scott Makeig; doi:10.18112/openneuro.ds003004.v1.1.1</x:v>
      </x:c>
      <x:c r="Q106" s="263" t="str">
        <x:v>04_Cognition_and_Emotion/Emotion_Recognition/Imagined_Emotion_Study</x:v>
      </x:c>
      <x:c r="R106" s="263" t="str">
        <x:v>存在公开仓库、官方入口或稳定数据访问号</x:v>
      </x:c>
      <x:c r="S106" s="263"/>
      <x:c r="T106" s="263"/>
      <x:c r="U106" s="264"/>
    </x:row>
    <x:row r="107" ht="60" customHeight="1">
      <x:c r="A107" s="239" t="str">
        <x:v>EEG-0185</x:v>
      </x:c>
      <x:c r="B107" s="228" t="str">
        <x:v>04_Cognition_and_Emotion</x:v>
      </x:c>
      <x:c r="C107" s="228" t="str">
        <x:v>Emotion_Recognition</x:v>
      </x:c>
      <x:c r="D107" s="228" t="str">
        <x:v>Mood Manipulation and PST, Experiment 1</x:v>
      </x:c>
      <x:c r="E107" s="228"/>
      <x:c r="F107" s="228" t="str">
        <x:v>OpenNeuro:ds004315 | DOI:10.18112/openneuro.ds004315.v1.0.0</x:v>
      </x:c>
      <x:c r="G107" s="228" t="str">
        <x:v>DOWNLOAD_PUBLIC</x:v>
      </x:c>
      <x:c r="H107" s="228" t="str">
        <x:v>[OpenNeuro ds004315](https://openneuro.org/datasets/ds004315/versions/1.0.0)</x:v>
      </x:c>
      <x:c r="I107" s="228" t="str">
        <x:v>PST</x:v>
      </x:c>
      <x:c r="J107" s="228" t="str">
        <x:v>50</x:v>
      </x:c>
      <x:c r="K107" s="228" t="str">
        <x:v>60</x:v>
      </x:c>
      <x:c r="L107" s="228" t="str">
        <x:v>500Hz</x:v>
      </x:c>
      <x:c r="M107" s="228" t="str">
        <x:v>BIDS</x:v>
      </x:c>
      <x:c r="N107" s="228" t="str">
        <x:v>raw BIDS</x:v>
      </x:c>
      <x:c r="O107" s="228" t="str">
        <x:v>OpenNeuro public download; ds004315 v1.0.0; license CC0; use web / OpenNeuro CLI / DataLad.</x:v>
      </x:c>
      <x:c r="P107" s="228" t="str">
        <x:v>James F Cavanagh; Trevor C J Jackson; doi:10.18112/openneuro.ds004315.v1.0.0</x:v>
      </x:c>
      <x:c r="Q107" s="228" t="str">
        <x:v>04_Cognition_and_Emotion/Emotion_Recognition/Mood_Manipulation_and_PST_Experiment_1</x:v>
      </x:c>
      <x:c r="R107" s="228" t="str">
        <x:v>存在公开仓库、官方入口或稳定数据访问号</x:v>
      </x:c>
      <x:c r="S107" s="228"/>
      <x:c r="T107" s="228"/>
      <x:c r="U107" s="205"/>
    </x:row>
    <x:row r="108" ht="60" customHeight="1">
      <x:c r="A108" s="262" t="str">
        <x:v>EEG-0187</x:v>
      </x:c>
      <x:c r="B108" s="263" t="str">
        <x:v>04_Cognition_and_Emotion</x:v>
      </x:c>
      <x:c r="C108" s="263" t="str">
        <x:v>Emotion_Recognition</x:v>
      </x:c>
      <x:c r="D108" s="263" t="str">
        <x:v>MusicEEG</x:v>
      </x:c>
      <x:c r="E108" s="263"/>
      <x:c r="F108" s="263" t="str">
        <x:v>OpenNeuro:ds002721 | DOI:10.18112/openneuro.ds002721.v1.0.1</x:v>
      </x:c>
      <x:c r="G108" s="263" t="str">
        <x:v>DOWNLOAD_PUBLIC</x:v>
      </x:c>
      <x:c r="H108" s="263" t="str">
        <x:v>https://doi.org/10.18112/openneuro.ds002721.v1.0.1</x:v>
      </x:c>
      <x:c r="I108" s="263" t="str">
        <x:v>Music-evoked emotion (film-music clips)</x:v>
      </x:c>
      <x:c r="J108" s="263" t="str">
        <x:v>31 (18F/13M)</x:v>
      </x:c>
      <x:c r="K108" s="263" t="str">
        <x:v>19</x:v>
      </x:c>
      <x:c r="L108" s="263" t="str">
        <x:v>1000 Hz</x:v>
      </x:c>
      <x:c r="M108" s="263" t="str">
        <x:v>BrainVision / BIDS</x:v>
      </x:c>
      <x:c r="N108" s="263" t="str">
        <x:v>Raw</x:v>
      </x:c>
      <x:c r="O108" s="263" t="str">
        <x:v>Open (OpenNeuro ds002721), CC0</x:v>
      </x:c>
      <x:c r="P108" s="263" t="str">
        <x:v>Neural and physiological data from participants listening to affective music (MusicEEG). Daly et al., 2020, Scientific Data 7:177.</x:v>
      </x:c>
      <x:c r="Q108" s="263" t="str">
        <x:v>04_Cognition_and_Emotion/Emotion_Recognition/MusicEEG</x:v>
      </x:c>
      <x:c r="R108" s="263" t="str">
        <x:v>存在公开仓库、官方入口或稳定数据访问号</x:v>
      </x:c>
      <x:c r="S108" s="263"/>
      <x:c r="T108" s="263"/>
      <x:c r="U108" s="264"/>
    </x:row>
    <x:row r="109" ht="60" customHeight="1">
      <x:c r="A109" s="239" t="str">
        <x:v>EEG-0188</x:v>
      </x:c>
      <x:c r="B109" s="228" t="str">
        <x:v>04_Cognition_and_Emotion</x:v>
      </x:c>
      <x:c r="C109" s="228" t="str">
        <x:v>Emotion_Recognition</x:v>
      </x:c>
      <x:c r="D109" s="228" t="str">
        <x:v>Poetry Assessment EEG Dataset 1</x:v>
      </x:c>
      <x:c r="E109" s="228"/>
      <x:c r="F109" s="228" t="str">
        <x:v>OpenNeuro:ds006648</x:v>
      </x:c>
      <x:c r="G109" s="228" t="str">
        <x:v>DOWNLOAD_PUBLIC</x:v>
      </x:c>
      <x:c r="H109" s="228" t="str">
        <x:v>[OpenNeuro ds006648](https://openneuro.org/datasets/ds006648/versions/1.0.0)</x:v>
      </x:c>
      <x:c r="I109" s="228" t="str">
        <x:v>poetry reading / aesthetic assessment；language-emotion EEG</x:v>
      </x:c>
      <x:c r="J109" s="228" t="str">
        <x:v>47</x:v>
      </x:c>
      <x:c r="K109" s="228" t="str">
        <x:v>64</x:v>
      </x:c>
      <x:c r="L109" s="228" t="str">
        <x:v>512Hz</x:v>
      </x:c>
      <x:c r="M109" s="228" t="str">
        <x:v>BIDS</x:v>
      </x:c>
      <x:c r="N109" s="228" t="str">
        <x:v>raw BIDS</x:v>
      </x:c>
      <x:c r="O109" s="228" t="str">
        <x:v>公开下载：OpenNeuro ds006648 v1.0.0；可网页、OpenNeuro CLI 或 DataLad 获取。</x:v>
      </x:c>
      <x:c r="P109" s="228" t="str">
        <x:v>Soma Chaudhuri; Joydeep Bhattacharya</x:v>
      </x:c>
      <x:c r="Q109" s="228" t="str">
        <x:v>04_Cognition_and_Emotion/Emotion_Recognition/Poetry_Assessment_EEG_Dataset_1</x:v>
      </x:c>
      <x:c r="R109" s="228" t="str">
        <x:v>存在公开仓库、官方入口或稳定数据访问号</x:v>
      </x:c>
      <x:c r="S109" s="228"/>
      <x:c r="T109" s="228"/>
      <x:c r="U109" s="205"/>
    </x:row>
    <x:row r="110" ht="60" customHeight="1">
      <x:c r="A110" s="262" t="str">
        <x:v>EEG-0189</x:v>
      </x:c>
      <x:c r="B110" s="263" t="str">
        <x:v>04_Cognition_and_Emotion</x:v>
      </x:c>
      <x:c r="C110" s="263" t="str">
        <x:v>Emotion_Recognition</x:v>
      </x:c>
      <x:c r="D110" s="263" t="str">
        <x:v>SAM 40</x:v>
      </x:c>
      <x:c r="E110" s="263" t="str">
        <x:v>Ghosh (2019) [EEG-0233]</x:v>
      </x:c>
      <x:c r="F110" s="263" t="str">
        <x:v>Figshare:14562090 | DOI:10.6084/m9.figshare.14562090</x:v>
      </x:c>
      <x:c r="G110" s="263" t="str">
        <x:v>DOWNLOAD_PUBLIC</x:v>
      </x:c>
      <x:c r="H110" s="263" t="str">
        <x:v>https://figshare.com/articles/dataset/SAM_40_Dataset.../14562090 | Figshare, DOI:10.6084/m9.figshare.14562090</x:v>
      </x:c>
      <x:c r="I110" s="263" t="str">
        <x:v>Induced stress (Stroop / arithmetic / mirror image)；Cognitive: Stroop</x:v>
      </x:c>
      <x:c r="J110" s="263" t="str">
        <x:v>40</x:v>
      </x:c>
      <x:c r="K110" s="263" t="str">
        <x:v>32</x:v>
      </x:c>
      <x:c r="L110" s="263" t="str">
        <x:v>128 Hz</x:v>
      </x:c>
      <x:c r="M110" s="263" t="str">
        <x:v>MAT</x:v>
      </x:c>
      <x:c r="N110" s="263" t="str">
        <x:v>Both (raw + filtered/cleaned)</x:v>
      </x:c>
      <x:c r="O110" s="263" t="str">
        <x:v>Open (figshare 14562090), CC BY 4.0</x:v>
      </x:c>
      <x:c r="P110" s="263"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10" s="263" t="str">
        <x:v>04_Cognition_and_Emotion/Emotion_Recognition/SAM_40</x:v>
      </x:c>
      <x:c r="R110" s="263" t="str">
        <x:v>存在公开仓库、官方入口或稳定数据访问号；2026-08-04去重：EEG-0233并入EEG-0189（Figshare article 14562090）</x:v>
      </x:c>
      <x:c r="S110" s="263"/>
      <x:c r="T110" s="263"/>
      <x:c r="U110" s="264"/>
    </x:row>
    <x:row r="111" ht="60" customHeight="1">
      <x:c r="A111" s="239" t="str">
        <x:v>EEG-0195</x:v>
      </x:c>
      <x:c r="B111" s="228" t="str">
        <x:v>04_Cognition_and_Emotion</x:v>
      </x:c>
      <x:c r="C111" s="228" t="str">
        <x:v>Emotion_Recognition</x:v>
      </x:c>
      <x:c r="D111" s="228" t="str">
        <x:v>SEED-MYA</x:v>
      </x:c>
      <x:c r="E111" s="228"/>
      <x:c r="F111" s="228" t="str">
        <x:v>DOI:10.1109/TAFFC.2025.3586444</x:v>
      </x:c>
      <x:c r="G111" s="228" t="str">
        <x:v>DOWNLOAD_APPLICATION_REQUIRED</x:v>
      </x:c>
      <x:c r="H111" s="228" t="str">
        <x:v>https://bcmi.sjtu.edu.cn/home/seed/seed-MYA.html</x:v>
      </x:c>
      <x:c r="I111" s="228" t="str">
        <x:v>3-class emotion recognition with Burmese stimuli</x:v>
      </x:c>
      <x:c r="J111" s="228" t="str">
        <x:v>20</x:v>
      </x:c>
      <x:c r="K111" s="228" t="str">
        <x:v>62 EEG</x:v>
      </x:c>
      <x:c r="L111" s="228" t="str">
        <x:v>Raw CNT 1000 Hz</x:v>
      </x:c>
      <x:c r="M111" s="228" t="str">
        <x:v>CNT raw; DE features; eye-tracking Excel/features</x:v>
      </x:c>
      <x:c r="N111" s="228" t="str">
        <x:v>Raw EEG, EEG DE features, eye movement raw/features</x:v>
      </x:c>
      <x:c r="O111" s="228" t="str">
        <x:v>Apply/download via SJTU BCMI; multimodal with eye tracking</x:v>
      </x:c>
      <x:c r="P111" s="228" t="str">
        <x:v>DOI: 10.1109/TAFFC.2025.3586444</x:v>
      </x:c>
      <x:c r="Q111" s="228" t="str">
        <x:v>04_Cognition_and_Emotion/Emotion_Recognition/SEED-MYA</x:v>
      </x:c>
      <x:c r="R111" s="228" t="str">
        <x:v>官方数据存在，但需申请、签署协议或获得权限</x:v>
      </x:c>
      <x:c r="S111" s="228"/>
      <x:c r="T111" s="228"/>
      <x:c r="U111" s="205"/>
    </x:row>
    <x:row r="112" ht="60" customHeight="1">
      <x:c r="A112" s="262" t="str">
        <x:v>EEG-0199</x:v>
      </x:c>
      <x:c r="B112" s="263" t="str">
        <x:v>04_Cognition_and_Emotion</x:v>
      </x:c>
      <x:c r="C112" s="263" t="str">
        <x:v>Mental_State_Recognition</x:v>
      </x:c>
      <x:c r="D112" s="263" t="str">
        <x:v>EEG meditation study</x:v>
      </x:c>
      <x:c r="E112" s="263"/>
      <x:c r="F112" s="263" t="str">
        <x:v>OpenNeuro:ds001787</x:v>
      </x:c>
      <x:c r="G112" s="263" t="str">
        <x:v>DOWNLOAD_PUBLIC</x:v>
      </x:c>
      <x:c r="H112" s="263" t="str">
        <x:v>https://openneuro.org/datasets/ds001787</x:v>
      </x:c>
      <x:c r="I112" s="263" t="str">
        <x:v>meditation vs control/experience group；long continuous EEG</x:v>
      </x:c>
      <x:c r="J112" s="263" t="str">
        <x:v>24</x:v>
      </x:c>
      <x:c r="K112" s="263" t="str">
        <x:v>64</x:v>
      </x:c>
      <x:c r="L112" s="263" t="str">
        <x:v>256 Hz</x:v>
      </x:c>
      <x:c r="M112" s="263" t="str">
        <x:v>BIDS</x:v>
      </x:c>
      <x:c r="N112" s="263" t="str">
        <x:v>raw BIDS</x:v>
      </x:c>
      <x:c r="O112" s="263" t="str">
        <x:v>公开下载：OpenNeuro ds001787 v1.1.1；CC0，可网页、OpenNeuro CLI 或 DataLad 获取。</x:v>
      </x:c>
      <x:c r="P112" s="263" t="str">
        <x:v>Arnaud Delorme; Tracy Brandmeyer</x:v>
      </x:c>
      <x:c r="Q112" s="263" t="str">
        <x:v>04_Cognition_and_Emotion/Mental_State_Recognition/EEG_meditation_study</x:v>
      </x:c>
      <x:c r="R112" s="263" t="str">
        <x:v>存在公开仓库、官方入口或稳定数据访问号</x:v>
      </x:c>
      <x:c r="S112" s="263"/>
      <x:c r="T112" s="263"/>
      <x:c r="U112" s="264"/>
    </x:row>
    <x:row r="113" ht="60" customHeight="1">
      <x:c r="A113" s="239" t="str">
        <x:v>EEG-0200</x:v>
      </x:c>
      <x:c r="B113" s="228" t="str">
        <x:v>04_Cognition_and_Emotion</x:v>
      </x:c>
      <x:c r="C113" s="228" t="str">
        <x:v>Mental_State_Recognition</x:v>
      </x:c>
      <x:c r="D113" s="228" t="str">
        <x:v>Meditation vs thinking task</x:v>
      </x:c>
      <x:c r="E113" s="228"/>
      <x:c r="F113" s="228" t="str">
        <x:v>OpenNeuro:ds003969 | DOI:10.1371/journal.pone.0170647</x:v>
      </x:c>
      <x:c r="G113" s="228" t="str">
        <x:v>DOWNLOAD_PUBLIC</x:v>
      </x:c>
      <x:c r="H113" s="228" t="str">
        <x:v>[OpenNeuro ds003969](https://openneuro.org/datasets/ds003969/versions/1.0.0)</x:v>
      </x:c>
      <x:c r="I113" s="228" t="str">
        <x:v>mixed</x:v>
      </x:c>
      <x:c r="J113" s="228" t="str">
        <x:v>98</x:v>
      </x:c>
      <x:c r="K113" s="228" t="str">
        <x:v>64</x:v>
      </x:c>
      <x:c r="L113" s="228" t="str">
        <x:v>1024Hz</x:v>
      </x:c>
      <x:c r="M113" s="228" t="str">
        <x:v>BIDS</x:v>
      </x:c>
      <x:c r="N113" s="228" t="str">
        <x:v>raw BIDS</x:v>
      </x:c>
      <x:c r="O113" s="228" t="str">
        <x:v>OpenNeuro public download; ds003969 v1.0.0; license CC0; use web / OpenNeuro CLI / DataLad.</x:v>
      </x:c>
      <x:c r="P113" s="228" t="str">
        <x:v>Arnaud Delorme; Claire Braboszcz; 10.1371/journal.pone.0170647</x:v>
      </x:c>
      <x:c r="Q113" s="228" t="str">
        <x:v>04_Cognition_and_Emotion/Mental_State_Recognition/Meditation_vs_thinking_task</x:v>
      </x:c>
      <x:c r="R113" s="228" t="str">
        <x:v>存在公开仓库、官方入口或稳定数据访问号</x:v>
      </x:c>
      <x:c r="S113" s="228"/>
      <x:c r="T113" s="228"/>
      <x:c r="U113" s="205"/>
    </x:row>
    <x:row r="114" ht="60" customHeight="1">
      <x:c r="A114" s="262" t="str">
        <x:v>EEG-0201</x:v>
      </x:c>
      <x:c r="B114" s="263" t="str">
        <x:v>04_Cognition_and_Emotion</x:v>
      </x:c>
      <x:c r="C114" s="263" t="str">
        <x:v>Mental_State_Recognition</x:v>
      </x:c>
      <x:c r="D114" s="263" t="str">
        <x:v>PsiConnect</x:v>
      </x:c>
      <x:c r="E114" s="263"/>
      <x:c r="F114" s="263" t="str">
        <x:v>OpenNeuro:ds006110</x:v>
      </x:c>
      <x:c r="G114" s="263" t="str">
        <x:v>DOWNLOAD_PUBLIC</x:v>
      </x:c>
      <x:c r="H114" s="263" t="str">
        <x:v>[OpenNeuro ds006110](https://openneuro.org/datasets/ds006110/versions/1.2.0)</x:v>
      </x:c>
      <x:c r="I114" s="263" t="str">
        <x:v>rest；movie；series；meditation；music；simultaneous multimodal protocol</x:v>
      </x:c>
      <x:c r="J114" s="263" t="str">
        <x:v>65</x:v>
      </x:c>
      <x:c r="K114" s="263" t="str">
        <x:v>64</x:v>
      </x:c>
      <x:c r="L114" s="263" t="str">
        <x:v>500Hz</x:v>
      </x:c>
      <x:c r="M114" s="263" t="str">
        <x:v>BIDS</x:v>
      </x:c>
      <x:c r="N114" s="263" t="str">
        <x:v>raw BIDS</x:v>
      </x:c>
      <x:c r="O114" s="263" t="str">
        <x:v>公开下载：OpenNeuro ds006110 v1.2.0；CC0，可网页、OpenNeuro CLI 或 DataLad 获取。</x:v>
      </x:c>
      <x:c r="P114" s="263" t="str">
        <x:v>Adeel Razi</x:v>
      </x:c>
      <x:c r="Q114" s="263" t="str">
        <x:v>04_Cognition_and_Emotion/Mental_State_Recognition/PsiConnect</x:v>
      </x:c>
      <x:c r="R114" s="263" t="str">
        <x:v>存在公开仓库、官方入口或稳定数据访问号</x:v>
      </x:c>
      <x:c r="S114" s="263"/>
      <x:c r="T114" s="263"/>
      <x:c r="U114" s="264"/>
    </x:row>
    <x:row r="115" ht="60" customHeight="1">
      <x:c r="A115" s="239" t="str">
        <x:v>EEG-0202</x:v>
      </x:c>
      <x:c r="B115" s="228" t="str">
        <x:v>04_Cognition_and_Emotion</x:v>
      </x:c>
      <x:c r="C115" s="228" t="str">
        <x:v>Cognitive_Task_Recognition</x:v>
      </x:c>
      <x:c r="D115" s="228" t="str">
        <x:v>64-channel human scalp EEG from 14 unilateral PFC patients and 20 healthy controls</x:v>
      </x:c>
      <x:c r="E115" s="228"/>
      <x:c r="F115" s="228" t="str">
        <x:v>DOI:10.1016/j.cub.2017.05.046</x:v>
      </x:c>
      <x:c r="G115" s="228" t="str">
        <x:v>DOWNLOAD_PUBLIC</x:v>
      </x:c>
      <x:c r="H115" s="228" t="str">
        <x:v>https://crcns.org/data-sets/pfc/pfc-5/about-pfc-5</x:v>
      </x:c>
      <x:c r="I115" s="228" t="str">
        <x:v>lateralized visuospatial working memory task</x:v>
      </x:c>
      <x:c r="J115" s="228" t="str">
        <x:v>34</x:v>
      </x:c>
      <x:c r="K115" s="228" t="str">
        <x:v>64</x:v>
      </x:c>
      <x:c r="L115" s="228" t="str">
        <x:v>256 Hz</x:v>
      </x:c>
      <x:c r="M115" s="228" t="str">
        <x:v>.mat</x:v>
      </x:c>
      <x:c r="N115" s="228" t="str">
        <x:v>both</x:v>
      </x:c>
      <x:c r="O115" s="228" t="str">
        <x:v>Fully open</x:v>
      </x:c>
      <x:c r="P115" s="228" t="str">
        <x:v>DOI: 10.1016/j.cub.2017.05.046</x:v>
      </x:c>
      <x:c r="Q115" s="228" t="str">
        <x:v>04_Cognition_and_Emotion/Cognitive_Task_Recognition/64-channel_human_scalp_EEG_from_14_unilateral_PFC_patients_and_20_healthy_controls</x:v>
      </x:c>
      <x:c r="R115" s="228" t="str">
        <x:v>存在公开仓库、官方入口或稳定数据访问号</x:v>
      </x:c>
      <x:c r="S115" s="228"/>
      <x:c r="T115" s="228"/>
      <x:c r="U115" s="205"/>
    </x:row>
    <x:row r="116" ht="60" customHeight="1">
      <x:c r="A116" s="262" t="str">
        <x:v>EEG-0203</x:v>
      </x:c>
      <x:c r="B116" s="263" t="str">
        <x:v>04_Cognition_and_Emotion</x:v>
      </x:c>
      <x:c r="C116" s="263" t="str">
        <x:v>Cognitive_Task_Recognition</x:v>
      </x:c>
      <x:c r="D116" s="263" t="str">
        <x:v>Alphabetic Decision Task (Arial Light Font)</x:v>
      </x:c>
      <x:c r="E116" s="263"/>
      <x:c r="F116" s="263" t="str">
        <x:v>OpenNeuro:ds005594 | DOI:10.1101/2024.11.11.622929</x:v>
      </x:c>
      <x:c r="G116" s="263" t="str">
        <x:v>DOWNLOAD_PUBLIC</x:v>
      </x:c>
      <x:c r="H116" s="263" t="str">
        <x:v>[OpenNeuro ds005594](https://openneuro.org/datasets/ds005594/versions/1.0.3)</x:v>
      </x:c>
      <x:c r="I116" s="263" t="str">
        <x:v>Alphabetic Decision</x:v>
      </x:c>
      <x:c r="J116" s="263" t="str">
        <x:v>16</x:v>
      </x:c>
      <x:c r="K116" s="263" t="str">
        <x:v>64</x:v>
      </x:c>
      <x:c r="L116" s="263" t="str">
        <x:v>1000Hz</x:v>
      </x:c>
      <x:c r="M116" s="263" t="str">
        <x:v>BIDS</x:v>
      </x:c>
      <x:c r="N116" s="263" t="str">
        <x:v>raw BIDS</x:v>
      </x:c>
      <x:c r="O116" s="263" t="str">
        <x:v>OpenNeuro public download; ds005594 v1.0.3; license CC0; use web / OpenNeuro CLI / DataLad.</x:v>
      </x:c>
      <x:c r="P116" s="263" t="str">
        <x:v>Jack E. Taylor; Rasmus Sinn; Cosimo Iaia; Christian J. Fiebach; 10.1101/2024.11.11.622929</x:v>
      </x:c>
      <x:c r="Q116" s="263" t="str">
        <x:v>04_Cognition_and_Emotion/Cognitive_Task_Recognition/Alphabetic_Decision_Task_Arial_Light_Font</x:v>
      </x:c>
      <x:c r="R116" s="263" t="str">
        <x:v>存在公开仓库、官方入口或稳定数据访问号</x:v>
      </x:c>
      <x:c r="S116" s="263"/>
      <x:c r="T116" s="263"/>
      <x:c r="U116" s="264"/>
    </x:row>
    <x:row r="117" ht="60" customHeight="1">
      <x:c r="A117" s="239" t="str">
        <x:v>EEG-0204</x:v>
      </x:c>
      <x:c r="B117" s="228" t="str">
        <x:v>04_Cognition_and_Emotion</x:v>
      </x:c>
      <x:c r="C117" s="228" t="str">
        <x:v>Cognitive_Task_Recognition</x:v>
      </x:c>
      <x:c r="D117" s="228" t="str">
        <x:v>Audiovisual, Gaze-controlled Auditory Attention Decoding Dataset KU Leuven (AV-GC-AAD)</x:v>
      </x:c>
      <x:c r="E117" s="228"/>
      <x:c r="F117" s="228" t="str">
        <x:v>Zenodo:11058711 | DOI:10.1088/1741-2552/ad2214</x:v>
      </x:c>
      <x:c r="G117" s="228" t="str">
        <x:v>DOWNLOAD_PUBLIC</x:v>
      </x:c>
      <x:c r="H117" s="228" t="str">
        <x:v>https://zenodo.org/records/11058711</x:v>
      </x:c>
      <x:c r="I117" s="228" t="str">
        <x:v>Spatial Auditory Attention Decoding</x:v>
      </x:c>
      <x:c r="J117" s="228" t="str">
        <x:v>16</x:v>
      </x:c>
      <x:c r="K117" s="228" t="str">
        <x:v>64</x:v>
      </x:c>
      <x:c r="L117" s="228" t="str">
        <x:v>8192 Hz</x:v>
      </x:c>
      <x:c r="M117" s="228" t="str">
        <x:v>.mat</x:v>
      </x:c>
      <x:c r="N117" s="228" t="str">
        <x:v>Processed data</x:v>
      </x:c>
      <x:c r="O117" s="228" t="str">
        <x:v>Fully open</x:v>
      </x:c>
      <x:c r="P117" s="228" t="str">
        <x:v>DOI: 10.1088/1741-2552/ad2214</x:v>
      </x:c>
      <x:c r="Q117" s="228" t="str">
        <x:v>04_Cognition_and_Emotion/Cognitive_Task_Recognition/Audiovisual_Gaze-controlled_Auditory_Attention_Decoding_Dataset_KU_Leuven_AV-GC-AAD</x:v>
      </x:c>
      <x:c r="R117" s="228" t="str">
        <x:v>存在公开仓库、官方入口或稳定数据访问号</x:v>
      </x:c>
      <x:c r="S117" s="228"/>
      <x:c r="T117" s="228"/>
      <x:c r="U117" s="205"/>
    </x:row>
    <x:row r="118" ht="60" customHeight="1">
      <x:c r="A118" s="262" t="str">
        <x:v>EEG-0205</x:v>
      </x:c>
      <x:c r="B118" s="263" t="str">
        <x:v>04_Cognition_and_Emotion</x:v>
      </x:c>
      <x:c r="C118" s="263" t="str">
        <x:v>Cognitive_Task_Recognition</x:v>
      </x:c>
      <x:c r="D118" s="263" t="str">
        <x:v>BNCI 002-2020 (Spatial attention to colored items)</x:v>
      </x:c>
      <x:c r="E118" s="263"/>
      <x:c r="F118" s="263" t="str">
        <x:v>BNCI:BNCI 002-2020</x:v>
      </x:c>
      <x:c r="G118" s="263" t="str">
        <x:v>DOWNLOAD_APPLICATION_REQUIRED</x:v>
      </x:c>
      <x:c r="H118" s="263" t="str">
        <x:v>http://bnci-horizon-2020.eu/database/data-sets</x:v>
      </x:c>
      <x:c r="I118" s="263" t="str">
        <x:v>Covert spatial attention shifts to centrally presented cross targets</x:v>
      </x:c>
      <x:c r="J118" s="263" t="str">
        <x:v>18</x:v>
      </x:c>
      <x:c r="K118" s="263" t="str">
        <x:v>30 EEG + EOG channels</x:v>
      </x:c>
      <x:c r="L118" s="263" t="str">
        <x:v>250 Hz</x:v>
      </x:c>
      <x:c r="M118" s="263" t="str">
        <x:v>MAT</x:v>
      </x:c>
      <x:c r="N118" s="263" t="str">
        <x:v>Raw EEG</x:v>
      </x:c>
      <x:c r="O118" s="263" t="str">
        <x:v>Open, CC BY 4.0, no application</x:v>
      </x:c>
      <x:c r="P118" s="263" t="str">
        <x:v>Leibniz Inst. Neurobiology Magdeburg</x:v>
      </x:c>
      <x:c r="Q118" s="263" t="str">
        <x:v>04_Cognition_and_Emotion/Cognitive_Task_Recognition/BNCI_002-2020_Spatial_attention_to_colored_items</x:v>
      </x:c>
      <x:c r="R118" s="263" t="str">
        <x:v>官方数据存在，但需申请、签署协议或获得权限</x:v>
      </x:c>
      <x:c r="S118" s="263"/>
      <x:c r="T118" s="263"/>
      <x:c r="U118" s="264"/>
    </x:row>
    <x:row r="119" ht="60" customHeight="1">
      <x:c r="A119" s="239" t="str">
        <x:v>EEG-0206</x:v>
      </x:c>
      <x:c r="B119" s="228" t="str">
        <x:v>04_Cognition_and_Emotion</x:v>
      </x:c>
      <x:c r="C119" s="228" t="str">
        <x:v>Workload_Detection</x:v>
      </x:c>
      <x:c r="D119" s="228" t="str">
        <x:v>BNCI 003-2014 (Mental arithmetic)</x:v>
      </x:c>
      <x:c r="E119" s="228"/>
      <x:c r="F119" s="228" t="str">
        <x:v>BNCI:BNCI 003-2014</x:v>
      </x:c>
      <x:c r="G119" s="228" t="str">
        <x:v>DOWNLOAD_PUBLIC</x:v>
      </x:c>
      <x:c r="H119" s="228" t="str">
        <x:v>http://bnci-horizon-2020.eu/database/data-sets</x:v>
      </x:c>
      <x:c r="I119" s="228" t="str">
        <x:v>Mental subtraction vs rest</x:v>
      </x:c>
      <x:c r="J119" s="228" t="str">
        <x:v>8</x:v>
      </x:c>
      <x:c r="K119" s="228" t="str">
        <x:v>52 fNIRS channels</x:v>
      </x:c>
      <x:c r="L119" s="228" t="str">
        <x:v>10 Hz</x:v>
      </x:c>
      <x:c r="M119" s="228" t="str">
        <x:v>MAT</x:v>
      </x:c>
      <x:c r="N119" s="228" t="str">
        <x:v>Raw fNIRS</x:v>
      </x:c>
      <x:c r="O119" s="228" t="str">
        <x:v>Open Access</x:v>
      </x:c>
      <x:c r="P119" s="228" t="str">
        <x:v>Bauernfeind et al. 2011</x:v>
      </x:c>
      <x:c r="Q119" s="228" t="str">
        <x:v>04_Cognition_and_Emotion/Workload_Detection/BNCI_003-2014_Mental_arithmetic</x:v>
      </x:c>
      <x:c r="R119" s="228" t="str">
        <x:v>存在公开仓库、官方入口或稳定数据访问号</x:v>
      </x:c>
      <x:c r="S119" s="228"/>
      <x:c r="T119" s="228"/>
      <x:c r="U119" s="205"/>
    </x:row>
    <x:row r="120" ht="60" customHeight="1">
      <x:c r="A120" s="262" t="str">
        <x:v>EEG-0207</x:v>
      </x:c>
      <x:c r="B120" s="263" t="str">
        <x:v>04_Cognition_and_Emotion</x:v>
      </x:c>
      <x:c r="C120" s="263" t="str">
        <x:v>Cognitive_Task_Recognition</x:v>
      </x:c>
      <x:c r="D120" s="263" t="str">
        <x:v>BNCI 005-2015 (Covert shifts of attention)</x:v>
      </x:c>
      <x:c r="E120" s="263"/>
      <x:c r="F120" s="263" t="str">
        <x:v>BNCI:BNCI 005-2015</x:v>
      </x:c>
      <x:c r="G120" s="263" t="str">
        <x:v>DOWNLOAD_APPLICATION_REQUIRED</x:v>
      </x:c>
      <x:c r="H120" s="263" t="str">
        <x:v>http://bnci-horizon-2020.eu/database/data-sets</x:v>
      </x:c>
      <x:c r="I120" s="263" t="str">
        <x:v>Covert spatial shifts of attention tracking</x:v>
      </x:c>
      <x:c r="J120" s="263" t="str">
        <x:v>8</x:v>
      </x:c>
      <x:c r="K120" s="263" t="str">
        <x:v>37 EEG + EOG channels</x:v>
      </x:c>
      <x:c r="L120" s="263" t="str">
        <x:v>1000 Hz</x:v>
      </x:c>
      <x:c r="M120" s="263" t="str">
        <x:v>MAT</x:v>
      </x:c>
      <x:c r="N120" s="263" t="str">
        <x:v>Raw EEG + triggers</x:v>
      </x:c>
      <x:c r="O120" s="263" t="str">
        <x:v>Open, CC BY-NC-ND 4.0, no application</x:v>
      </x:c>
      <x:c r="P120" s="263" t="str">
        <x:v>Treder/Blankertz, TU Berlin</x:v>
      </x:c>
      <x:c r="Q120" s="263" t="str">
        <x:v>04_Cognition_and_Emotion/Cognitive_Task_Recognition/BNCI_005-2015_Covert_shifts_of_attention</x:v>
      </x:c>
      <x:c r="R120" s="263" t="str">
        <x:v>官方数据存在，但需申请、签署协议或获得权限</x:v>
      </x:c>
      <x:c r="S120" s="263"/>
      <x:c r="T120" s="263"/>
      <x:c r="U120" s="264"/>
    </x:row>
    <x:row r="121" ht="60" customHeight="1">
      <x:c r="A121" s="239" t="str">
        <x:v>EEG-0208</x:v>
      </x:c>
      <x:c r="B121" s="228" t="str">
        <x:v>06_Motor_and_Interaction</x:v>
      </x:c>
      <x:c r="C121" s="228" t="str">
        <x:v>Motor_Imagery_and_Execution</x:v>
      </x:c>
      <x:c r="D121" s="228" t="str">
        <x:v>BNCI 004-2015 (Individual imagery)</x:v>
      </x:c>
      <x:c r="E121" s="228" t="str">
        <x:v>BNCI 004-2015 (Individual imagery) [EEG-0365]</x:v>
      </x:c>
      <x:c r="F121" s="228" t="str">
        <x:v>BNCI:BNCI 004-2015</x:v>
      </x:c>
      <x:c r="G121" s="228" t="str">
        <x:v>DOWNLOAD_PUBLIC</x:v>
      </x:c>
      <x:c r="H121" s="228" t="str">
        <x:v>https://moabb.neurotechx.com/docs/generated/moabb.datasets.BNCI2015_004.html | http://bnci-horizon-2020.eu/database/data-sets</x:v>
      </x:c>
      <x:c r="I121" s="228" t="str">
        <x:v>mental tasks: multiplication, letter composing, rotation, counting, baseline；Mental multiplication vs word association vs hand motor imagery</x:v>
      </x:c>
      <x:c r="J121" s="228" t="str">
        <x:v>9</x:v>
      </x:c>
      <x:c r="K121" s="228" t="str">
        <x:v>30</x:v>
      </x:c>
      <x:c r="L121" s="228" t="str">
        <x:v>256 Hz</x:v>
      </x:c>
      <x:c r="M121" s="228" t="str">
        <x:v>MOABB-supported / original BNCI</x:v>
      </x:c>
      <x:c r="N121" s="228" t="str">
        <x:v>raw / MOABB-prepared</x:v>
      </x:c>
      <x:c r="O121" s="228" t="str">
        <x:v>MOABB auto-download; REVE Appendix B MOABB source; original license CC BY-NC-ND 4.0.</x:v>
      </x:c>
      <x:c r="P121" s="228" t="str">
        <x:v>Scherer et al. (2015); REVE Appendix B；Scherer et al., TU Graz</x:v>
      </x:c>
      <x:c r="Q121" s="228" t="str">
        <x:v>06_Motor_and_Interaction/Motor_Imagery_and_Execution/BNCI_004-2015_Individual_Imagery</x:v>
      </x:c>
      <x:c r="R121" s="228" t="str">
        <x:v>存在公开仓库、官方入口或稳定数据访问号；2026-08-04去重：EEG-0365并入EEG-0208（BNCI 004-2015 / BNCI2015_004）</x:v>
      </x:c>
      <x:c r="S121" s="228"/>
      <x:c r="T121" s="228"/>
      <x:c r="U121" s="205"/>
    </x:row>
    <x:row r="122" ht="60" customHeight="1">
      <x:c r="A122" s="262" t="str">
        <x:v>EEG-0209</x:v>
      </x:c>
      <x:c r="B122" s="263" t="str">
        <x:v>04_Cognition_and_Emotion</x:v>
      </x:c>
      <x:c r="C122" s="263" t="str">
        <x:v>Cognitive_Task_Recognition</x:v>
      </x:c>
      <x:c r="D122" s="263" t="str">
        <x:v>Broderick (Cocktail party)</x:v>
      </x:c>
      <x:c r="E122" s="263" t="str">
        <x:v>Broderick (Reverse/Natural speech) [EEG-0294]</x:v>
      </x:c>
      <x:c r="F122" s="263" t="str">
        <x:v>DOI:10.5061/dryad.070jc</x:v>
      </x:c>
      <x:c r="G122" s="263" t="str">
        <x:v>DOWNLOAD_PUBLIC</x:v>
      </x:c>
      <x:c r="H122" s="263" t="str">
        <x:v>https://doi.org/10.5061/dryad.070jc</x:v>
      </x:c>
      <x:c r="I122" s="263" t="str">
        <x:v>Selective auditory attention (two competing speakers)；Natural vs time-reversed speech discrimination</x:v>
      </x:c>
      <x:c r="J122" s="263" t="str">
        <x:v>33</x:v>
      </x:c>
      <x:c r="K122" s="263" t="str">
        <x:v>128 (BioSemi ActiveTwo, +2 mastoids)</x:v>
      </x:c>
      <x:c r="L122" s="263" t="str">
        <x:v>512 Hz</x:v>
      </x:c>
      <x:c r="M122" s="263" t="str">
        <x:v>MAT (preprocessed)</x:v>
      </x:c>
      <x:c r="N122" s="263" t="str">
        <x:v>Processed</x:v>
      </x:c>
      <x:c r="O122" s="263" t="str">
        <x:v>Open, Dryad CC0 1.0 ('Cocktail Party.zip')</x:v>
      </x:c>
      <x:c r="P122" s="263"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22" s="263" t="str">
        <x:v>04_Cognition_and_Emotion/Cognitive_Task_Recognition/Broderick_Cocktail_party</x:v>
      </x:c>
      <x:c r="R122" s="263" t="str">
        <x:v>存在公开仓库、官方入口或稳定数据访问号；2026-08-04去重：EEG-0294并入EEG-0209（Dryad DOI 10.5061/dryad.070jc）</x:v>
      </x:c>
      <x:c r="S122" s="263"/>
      <x:c r="T122" s="263"/>
      <x:c r="U122" s="264"/>
    </x:row>
    <x:row r="123" ht="60" customHeight="1">
      <x:c r="A123" s="239" t="str">
        <x:v>EEG-0212</x:v>
      </x:c>
      <x:c r="B123" s="228" t="str">
        <x:v>04_Cognition_and_Emotion</x:v>
      </x:c>
      <x:c r="C123" s="228" t="str">
        <x:v>Cognitive_Task_Recognition</x:v>
      </x:c>
      <x:c r="D123" s="228" t="str">
        <x:v>Chen (2024)</x:v>
      </x:c>
      <x:c r="E123" s="228" t="str">
        <x:v>Deception-Game [EEG-0218]</x:v>
      </x:c>
      <x:c r="F123" s="228" t="str">
        <x:v>Figshare:24760827 | DOI:10.6084/m9.figshare.24760827.v3</x:v>
      </x:c>
      <x:c r="G123" s="228" t="str">
        <x:v>DOWNLOAD_PUBLIC</x:v>
      </x:c>
      <x:c r="H123" s="228" t="str">
        <x:v>https://doi.org/10.6084/m9.figshare.24760827.v3 | https://figshare.com/articles/dataset/An_EEG_Dataset_of_Neural_Signatures.../24760827</x:v>
      </x:c>
      <x:c r="I123" s="228" t="str">
        <x:v>Cognitive: Deception (competitive two-player card game)；Two-player game encouraging deception</x:v>
      </x:c>
      <x:c r="J123" s="228" t="str">
        <x:v>24</x:v>
      </x:c>
      <x:c r="K123" s="228" t="str">
        <x:v>30</x:v>
      </x:c>
      <x:c r="L123" s="228" t="str">
        <x:v>500</x:v>
      </x:c>
      <x:c r="M123" s="228" t="str">
        <x:v>Raw: BrainVision (.eeg/.vhdr/.vmrk); preprocessed &amp; CNN-ready: .mat; behavioral/timestamps: .txt</x:v>
      </x:c>
      <x:c r="N123" s="228" t="str">
        <x:v>Both raw and fully preprocessed/synchronized/labeled data, plus 1D-CNN-ready formatted data</x:v>
      </x:c>
      <x:c r="O123" s="228" t="str">
        <x:v>Open access on Figshare, no application needed</x:v>
      </x:c>
      <x:c r="P123" s="228"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23" s="228" t="str">
        <x:v>04_Cognition_and_Emotion/Cognitive_Task_Recognition/Chen_2024</x:v>
      </x:c>
      <x:c r="R123" s="228" t="str">
        <x:v>官方数据存在，但需申请、签署协议或获得权限；2026-08-04去重：EEG-0218并入EEG-0212（Figshare article 24760827）</x:v>
      </x:c>
      <x:c r="S123" s="228"/>
      <x:c r="T123" s="228"/>
      <x:c r="U123" s="205"/>
    </x:row>
    <x:row r="124" ht="60" customHeight="1">
      <x:c r="A124" s="262" t="str">
        <x:v>EEG-0213</x:v>
      </x:c>
      <x:c r="B124" s="263" t="str">
        <x:v>04_Cognition_and_Emotion</x:v>
      </x:c>
      <x:c r="C124" s="263" t="str">
        <x:v>Cognitive_Task_Recognition</x:v>
      </x:c>
      <x:c r="D124" s="263" t="str">
        <x:v>CMx7-MM Experiment</x:v>
      </x:c>
      <x:c r="E124" s="263"/>
      <x:c r="F124" s="263" t="str">
        <x:v>OpenNeuro:ds007554</x:v>
      </x:c>
      <x:c r="G124" s="263" t="str">
        <x:v>DOWNLOAD_PUBLIC</x:v>
      </x:c>
      <x:c r="H124" s="263" t="str">
        <x:v>[OpenNeuro ds007554](https://openneuro.org/datasets/ds007554/versions/1.0.0)</x:v>
      </x:c>
      <x:c r="I124" s="263" t="str">
        <x:v>active motor / multimodal cognitive-motor experiment</x:v>
      </x:c>
      <x:c r="J124" s="263" t="str">
        <x:v>30</x:v>
      </x:c>
      <x:c r="K124" s="263" t="str">
        <x:v>32</x:v>
      </x:c>
      <x:c r="L124" s="263" t="str">
        <x:v>250Hz</x:v>
      </x:c>
      <x:c r="M124" s="263" t="str">
        <x:v>BIDS</x:v>
      </x:c>
      <x:c r="N124" s="263" t="str">
        <x:v>raw BIDS</x:v>
      </x:c>
      <x:c r="O124" s="263" t="str">
        <x:v>公开下载：OpenNeuro ds007554 v1.0.0；可网页、OpenNeuro CLI 或 DataLad 获取。</x:v>
      </x:c>
      <x:c r="P124" s="263" t="str">
        <x:v>Zaineb Ajra; Grégoire Vergotte; Stéphane Perrey; Lilian Evra; Simon Pla; Gérard Dray</x:v>
      </x:c>
      <x:c r="Q124" s="263" t="str">
        <x:v>04_Cognition_and_Emotion/Cognitive_Task_Recognition/CMx7-MM_Experiment</x:v>
      </x:c>
      <x:c r="R124" s="263" t="str">
        <x:v>存在公开仓库、官方入口或稳定数据访问号</x:v>
      </x:c>
      <x:c r="S124" s="263"/>
      <x:c r="T124" s="263"/>
      <x:c r="U124" s="264"/>
    </x:row>
    <x:row r="125" ht="60" customHeight="1">
      <x:c r="A125" s="239" t="str">
        <x:v>EEG-0214</x:v>
      </x:c>
      <x:c r="B125" s="228" t="str">
        <x:v>04_Cognition_and_Emotion</x:v>
      </x:c>
      <x:c r="C125" s="228" t="str">
        <x:v>Cognitive_Task_Recognition</x:v>
      </x:c>
      <x:c r="D125" s="228" t="str">
        <x:v>COCOHA auditory attention decoding dataset</x:v>
      </x:c>
      <x:c r="E125" s="228"/>
      <x:c r="F125" s="228" t="str">
        <x:v>Zenodo:1199011 | DOI:10.3389/fnins.2018.00531</x:v>
      </x:c>
      <x:c r="G125" s="228" t="str">
        <x:v>DOWNLOAD_PUBLIC</x:v>
      </x:c>
      <x:c r="H125" s="228" t="str">
        <x:v>https://zenodo.org/records/1199011</x:v>
      </x:c>
      <x:c r="I125" s="228" t="str">
        <x:v>Auditory Attention Decoding / attended-speaker decoding</x:v>
      </x:c>
      <x:c r="J125" s="228" t="str">
        <x:v>18</x:v>
      </x:c>
      <x:c r="K125" s="228" t="str">
        <x:v>64</x:v>
      </x:c>
      <x:c r="L125" s="228" t="str">
        <x:v>512 Hz</x:v>
      </x:c>
      <x:c r="M125" s="228" t="str">
        <x:v>.mat</x:v>
      </x:c>
      <x:c r="N125" s="228" t="str">
        <x:v>Both</x:v>
      </x:c>
      <x:c r="O125" s="228" t="str">
        <x:v>Fully open</x:v>
      </x:c>
      <x:c r="P125" s="228" t="str">
        <x:v>DOI: 10.3389/fnins.2018.00531</x:v>
      </x:c>
      <x:c r="Q125" s="228" t="str">
        <x:v>04_Cognition_and_Emotion/Cognitive_Task_Recognition/COCOHA_auditory_attention_decoding_dataset</x:v>
      </x:c>
      <x:c r="R125" s="228" t="str">
        <x:v>存在公开仓库、官方入口或稳定数据访问号</x:v>
      </x:c>
      <x:c r="S125" s="228"/>
      <x:c r="T125" s="228"/>
      <x:c r="U125" s="205"/>
    </x:row>
    <x:row r="126" ht="60" customHeight="1">
      <x:c r="A126" s="262" t="str">
        <x:v>EEG-0215</x:v>
      </x:c>
      <x:c r="B126" s="263" t="str">
        <x:v>04_Cognition_and_Emotion</x:v>
      </x:c>
      <x:c r="C126" s="263" t="str">
        <x:v>Cognitive_Task_Recognition</x:v>
      </x:c>
      <x:c r="D126" s="263" t="str">
        <x:v>Cognitive Electrophysiology in Socioeconomic Context in Adulthood</x:v>
      </x:c>
      <x:c r="E126" s="263"/>
      <x:c r="F126" s="263" t="str">
        <x:v>OpenNeuro:ds006018</x:v>
      </x:c>
      <x:c r="G126" s="263" t="str">
        <x:v>DOWNLOAD_PUBLIC</x:v>
      </x:c>
      <x:c r="H126" s="263" t="str">
        <x:v>[OpenNeuro ds006018](https://openneuro.org/datasets/ds006018/versions/1.2.2)</x:v>
      </x:c>
      <x:c r="I126" s="263" t="str">
        <x:v>passive auditory oddball；visual oddball；socioeconomic context and adult cognition</x:v>
      </x:c>
      <x:c r="J126" s="263" t="str">
        <x:v>127</x:v>
      </x:c>
      <x:c r="K126" s="263" t="str">
        <x:v>27</x:v>
      </x:c>
      <x:c r="L126" s="263" t="str">
        <x:v>500Hz</x:v>
      </x:c>
      <x:c r="M126" s="263" t="str">
        <x:v>BIDS</x:v>
      </x:c>
      <x:c r="N126" s="263" t="str">
        <x:v>raw BIDS</x:v>
      </x:c>
      <x:c r="O126" s="263" t="str">
        <x:v>公开下载：OpenNeuro ds006018 v1.2.2；CC0，可网页、OpenNeuro CLI 或 DataLad 获取。</x:v>
      </x:c>
      <x:c r="P126" s="263" t="str">
        <x:v>Elif Isbell; Amanda N. Peters; Dylan M. Richardson; Nancy E. R. De León</x:v>
      </x:c>
      <x:c r="Q126" s="263" t="str">
        <x:v>04_Cognition_and_Emotion/Cognitive_Task_Recognition/Cognitive_Electrophysiology_in_Socioeconomic_Context_in_Adulthood</x:v>
      </x:c>
      <x:c r="R126" s="263" t="str">
        <x:v>存在公开仓库、官方入口或稳定数据访问号</x:v>
      </x:c>
      <x:c r="S126" s="263"/>
      <x:c r="T126" s="263"/>
      <x:c r="U126" s="264"/>
    </x:row>
    <x:row r="127" ht="60" customHeight="1">
      <x:c r="A127" s="239" t="str">
        <x:v>EEG-0216</x:v>
      </x:c>
      <x:c r="B127" s="228" t="str">
        <x:v>04_Cognition_and_Emotion</x:v>
      </x:c>
      <x:c r="C127" s="228" t="str">
        <x:v>Cognitive_Task_Recognition</x:v>
      </x:c>
      <x:c r="D127" s="228" t="str">
        <x:v>Cross-species Behavioral Dimensions EEG</x:v>
      </x:c>
      <x:c r="E127" s="228"/>
      <x:c r="F127" s="228" t="str">
        <x:v>OpenNeuro:ds003638</x:v>
      </x:c>
      <x:c r="G127" s="228" t="str">
        <x:v>DOWNLOAD_PUBLIC</x:v>
      </x:c>
      <x:c r="H127" s="228" t="str">
        <x:v>[OpenNeuro ds003638](https://openneuro.org/datasets/ds003638/versions/1.0.0)</x:v>
      </x:c>
      <x:c r="I127" s="228" t="str">
        <x:v>5-choice CPT / probabilistic selection / PRBP；behavioral dimensions and biomarkers</x:v>
      </x:c>
      <x:c r="J127" s="228" t="str">
        <x:v>57</x:v>
      </x:c>
      <x:c r="K127" s="228" t="str">
        <x:v>64</x:v>
      </x:c>
      <x:c r="L127" s="228" t="str">
        <x:v>512Hz</x:v>
      </x:c>
      <x:c r="M127" s="228" t="str">
        <x:v>BIDS</x:v>
      </x:c>
      <x:c r="N127" s="228" t="str">
        <x:v>raw BIDS</x:v>
      </x:c>
      <x:c r="O127" s="228" t="str">
        <x:v>公开下载：OpenNeuro ds003638 v1.0.0；CC0，可网页、OpenNeuro CLI 或 DataLad 获取。</x:v>
      </x:c>
      <x:c r="P127" s="228" t="str">
        <x:v>James F. Cavanagh; Greg Light; Neal Swerdlow; Jonathan Brigman; Jared Young</x:v>
      </x:c>
      <x:c r="Q127" s="228" t="str">
        <x:v>04_Cognition_and_Emotion/Cognitive_Task_Recognition/Cross-species_Behavioral_Dimensions_EEG</x:v>
      </x:c>
      <x:c r="R127" s="228" t="str">
        <x:v>存在公开仓库、官方入口或稳定数据访问号</x:v>
      </x:c>
      <x:c r="S127" s="228"/>
      <x:c r="T127" s="228"/>
      <x:c r="U127" s="205"/>
    </x:row>
    <x:row r="128" ht="60" customHeight="1">
      <x:c r="A128" s="262" t="str">
        <x:v>EEG-0219</x:v>
      </x:c>
      <x:c r="B128" s="263" t="str">
        <x:v>04_Cognition_and_Emotion</x:v>
      </x:c>
      <x:c r="C128" s="263" t="str">
        <x:v>Cognitive_Task_Recognition</x:v>
      </x:c>
      <x:c r="D128" s="263" t="str">
        <x:v>Decision and response monitoring during working memory are sequentially represented in the human insula</x:v>
      </x:c>
      <x:c r="E128" s="263"/>
      <x:c r="F128" s="263" t="str">
        <x:v>Zenodo:7995632 | DOI:10.1016/j.isci.2024.110173</x:v>
      </x:c>
      <x:c r="G128" s="263" t="str">
        <x:v>DOWNLOAD_PUBLIC</x:v>
      </x:c>
      <x:c r="H128" s="263" t="str">
        <x:v>https://zenodo.org/records/7995632</x:v>
      </x:c>
      <x:c r="I128" s="263" t="str">
        <x:v>Verbal working memory / Recent-Probes task</x:v>
      </x:c>
      <x:c r="J128" s="263" t="str">
        <x:v>12</x:v>
      </x:c>
      <x:c r="K128" s="263" t="str">
        <x:v>128</x:v>
      </x:c>
      <x:c r="L128" s="263" t="str">
        <x:v>500 Hz</x:v>
      </x:c>
      <x:c r="M128" s="263" t="str">
        <x:v>.mat</x:v>
      </x:c>
      <x:c r="N128" s="263" t="str">
        <x:v>preprocessed data</x:v>
      </x:c>
      <x:c r="O128" s="263" t="str">
        <x:v>Fully open</x:v>
      </x:c>
      <x:c r="P128" s="263" t="str">
        <x:v>DOI: 10.1016/j.isci.2024.110173</x:v>
      </x:c>
      <x:c r="Q128" s="263" t="str">
        <x:v>04_Cognition_and_Emotion/Cognitive_Task_Recognition/Decision_and_response_monitoring_during_working_memory_are_sequentially_represented_in_the</x:v>
      </x:c>
      <x:c r="R128" s="263" t="str">
        <x:v>存在公开仓库、官方入口或稳定数据访问号</x:v>
      </x:c>
      <x:c r="S128" s="263"/>
      <x:c r="T128" s="263"/>
      <x:c r="U128" s="264"/>
    </x:row>
    <x:row r="129" ht="60" customHeight="1">
      <x:c r="A129" s="239" t="str">
        <x:v>EEG-0220</x:v>
      </x:c>
      <x:c r="B129" s="228" t="str">
        <x:v>04_Cognition_and_Emotion</x:v>
      </x:c>
      <x:c r="C129" s="228" t="str">
        <x:v>Cognitive_Task_Recognition</x:v>
      </x:c>
      <x:c r="D129" s="228" t="str">
        <x:v>Digit-Span (pupillometry)</x:v>
      </x:c>
      <x:c r="E129" s="228" t="str">
        <x:v>Digit Span EEG + Pupillometry Dataset</x:v>
      </x:c>
      <x:c r="F129" s="228" t="str">
        <x:v>OpenNeuro:ds003838 | DOI:10.12751/g-node.1ecsf4</x:v>
      </x:c>
      <x:c r="G129" s="228" t="str">
        <x:v>DOWNLOAD_PUBLIC</x:v>
      </x:c>
      <x:c r="H129" s="228" t="str">
        <x:v>https://doi.org/10.12751/g-node.1ecsf4</x:v>
      </x:c>
      <x:c r="I129" s="228" t="str">
        <x:v>Memory: digit span + pupillometry (EEG)</x:v>
      </x:c>
      <x:c r="J129" s="228" t="str">
        <x:v>65 (86 in full set)</x:v>
      </x:c>
      <x:c r="K129" s="228" t="str">
        <x:v>64</x:v>
      </x:c>
      <x:c r="L129" s="228" t="str">
        <x:v>1000 Hz</x:v>
      </x:c>
      <x:c r="M129" s="228" t="str">
        <x:v>BrainVision / EEGLAB</x:v>
      </x:c>
      <x:c r="N129" s="228" t="str">
        <x:v>Raw (BIDS, no online filters)</x:v>
      </x:c>
      <x:c r="O129" s="228" t="str">
        <x:v>Open (GIN g-node 1ecsf4 / OpenNeuro ds003838), CC0</x:v>
      </x:c>
      <x:c r="P129" s="228" t="str">
        <x:v>Pupillometry and electroencephalography in the digit span task. Pavlov et al., 2022, Scientific Data 9:325.</x:v>
      </x:c>
      <x:c r="Q129" s="228" t="str">
        <x:v>04_Cognition_and_Emotion/Cognitive_Task_Recognition/Digit-Span_pupillometry</x:v>
      </x:c>
      <x:c r="R129" s="228" t="str">
        <x:v>存在公开仓库、官方入口或稳定数据访问号</x:v>
      </x:c>
      <x:c r="S129" s="228"/>
      <x:c r="T129" s="228"/>
      <x:c r="U129" s="205"/>
    </x:row>
    <x:row r="130" ht="60" customHeight="1">
      <x:c r="A130" s="262" t="str">
        <x:v>EEG-0221</x:v>
      </x:c>
      <x:c r="B130" s="263" t="str">
        <x:v>04_Cognition_and_Emotion</x:v>
      </x:c>
      <x:c r="C130" s="263" t="str">
        <x:v>Cognitive_Task_Recognition</x:v>
      </x:c>
      <x:c r="D130" s="263" t="str">
        <x:v>Dortmund Vital (resting)</x:v>
      </x:c>
      <x:c r="E130" s="263"/>
      <x:c r="F130" s="263" t="str">
        <x:v>OpenNeuro:ds005385</x:v>
      </x:c>
      <x:c r="G130" s="263" t="str">
        <x:v>DOWNLOAD_PUBLIC</x:v>
      </x:c>
      <x:c r="H130" s="263" t="str">
        <x:v>https://openneuro.org/datasets/ds005385</x:v>
      </x:c>
      <x:c r="I130" s="263" t="str">
        <x:v>Resting-state before/after cognitive block (lifespan)</x:v>
      </x:c>
      <x:c r="J130" s="263" t="str">
        <x:v>608</x:v>
      </x:c>
      <x:c r="K130" s="263" t="str">
        <x:v>64.0</x:v>
      </x:c>
      <x:c r="L130" s="263" t="str">
        <x:v>1000 Hz</x:v>
      </x:c>
      <x:c r="M130" s="263" t="str">
        <x:v>BrainVision / BIDS</x:v>
      </x:c>
      <x:c r="N130" s="263" t="str">
        <x:v>Raw (BIDS)</x:v>
      </x:c>
      <x:c r="O130" s="263" t="str">
        <x:v>Open (OpenNeuro ds005385), CC0</x:v>
      </x:c>
      <x:c r="P130" s="263" t="str">
        <x:v>Resting-state EEG data before and after cognitive activity across the adult lifespan and a 5-year follow-up. Getzmann et al., 2024, Scientific Data 11:988.</x:v>
      </x:c>
      <x:c r="Q130" s="263" t="str">
        <x:v>04_Cognition_and_Emotion/Cognitive_Task_Recognition/Dortmund_Vital_resting</x:v>
      </x:c>
      <x:c r="R130" s="263" t="str">
        <x:v>存在公开仓库、官方入口或稳定数据访问号</x:v>
      </x:c>
      <x:c r="S130" s="263"/>
      <x:c r="T130" s="263"/>
      <x:c r="U130" s="264"/>
    </x:row>
    <x:row r="131" ht="60" customHeight="1">
      <x:c r="A131" s="239" t="str">
        <x:v>EEG-0222</x:v>
      </x:c>
      <x:c r="B131" s="228" t="str">
        <x:v>04_Cognition_and_Emotion</x:v>
      </x:c>
      <x:c r="C131" s="228" t="str">
        <x:v>Cognitive_Task_Recognition</x:v>
      </x:c>
      <x:c r="D131" s="228" t="str">
        <x:v>Dynamic-Binary-Choice</x:v>
      </x:c>
      <x:c r="E131" s="228"/>
      <x:c r="F131" s="228" t="str">
        <x:v>OpenNeuro:ds003766</x:v>
      </x:c>
      <x:c r="G131" s="228" t="str">
        <x:v>DOWNLOAD_PUBLIC</x:v>
      </x:c>
      <x:c r="H131" s="228" t="str">
        <x:v>https://openneuro.org/datasets/ds003766</x:v>
      </x:c>
      <x:c r="I131" s="228" t="str">
        <x:v>Binary choice (food/image/word) + rest; EEG + mouse-tracking</x:v>
      </x:c>
      <x:c r="J131" s="228" t="str">
        <x:v>31</x:v>
      </x:c>
      <x:c r="K131" s="228" t="str">
        <x:v>128</x:v>
      </x:c>
      <x:c r="L131" s="228" t="str">
        <x:v>1000 Hz</x:v>
      </x:c>
      <x:c r="M131" s="228" t="str">
        <x:v>EEGLAB / BIDS</x:v>
      </x:c>
      <x:c r="N131" s="228" t="str">
        <x:v>Both (raw .set + derivatives)</x:v>
      </x:c>
      <x:c r="O131" s="228" t="str">
        <x:v>Open (OpenNeuro ds003766), CC0</x:v>
      </x:c>
      <x:c r="P131" s="228" t="str">
        <x:v>A resource for assessing dynamic binary choices in the adult brain using EEG and mouse-tracking. Chen et al., 2022, Scientific Data 9:416.</x:v>
      </x:c>
      <x:c r="Q131" s="228" t="str">
        <x:v>04_Cognition_and_Emotion/Cognitive_Task_Recognition/Dynamic-Binary-Choice</x:v>
      </x:c>
      <x:c r="R131" s="228" t="str">
        <x:v>存在公开仓库、官方入口或稳定数据访问号</x:v>
      </x:c>
      <x:c r="S131" s="228"/>
      <x:c r="T131" s="228"/>
      <x:c r="U131" s="205"/>
    </x:row>
    <x:row r="132" ht="60" customHeight="1">
      <x:c r="A132" s="262" t="str">
        <x:v>EEG-0224</x:v>
      </x:c>
      <x:c r="B132" s="263" t="str">
        <x:v>04_Cognition_and_Emotion</x:v>
      </x:c>
      <x:c r="C132" s="263" t="str">
        <x:v>Cognitive_Task_Recognition</x:v>
      </x:c>
      <x:c r="D132" s="263" t="str">
        <x:v>EEG-attention-rsvp-exp1</x:v>
      </x:c>
      <x:c r="E132" s="263"/>
      <x:c r="F132" s="263" t="str">
        <x:v>OpenNeuro:ds004816 | DOI:10.51628/001c.21174</x:v>
      </x:c>
      <x:c r="G132" s="263" t="str">
        <x:v>DOWNLOAD_PUBLIC</x:v>
      </x:c>
      <x:c r="H132" s="263" t="str">
        <x:v>[OpenNeuro ds004816](https://openneuro.org/datasets/ds004816/versions/1.0.1)</x:v>
      </x:c>
      <x:c r="I132" s="263" t="str">
        <x:v>rsvp</x:v>
      </x:c>
      <x:c r="J132" s="263" t="str">
        <x:v>20</x:v>
      </x:c>
      <x:c r="K132" s="263" t="str">
        <x:v>63</x:v>
      </x:c>
      <x:c r="L132" s="263" t="str">
        <x:v>1000Hz</x:v>
      </x:c>
      <x:c r="M132" s="263" t="str">
        <x:v>BIDS</x:v>
      </x:c>
      <x:c r="N132" s="263" t="str">
        <x:v>raw BIDS</x:v>
      </x:c>
      <x:c r="O132" s="263" t="str">
        <x:v>OpenNeuro public download; ds004816 v1.0.1; license CC0; use web / OpenNeuro CLI / DataLad.</x:v>
      </x:c>
      <x:c r="P132" s="263" t="str">
        <x:v>Grootswagers, Tijl; Robinson, Amanda; Shatek, Sofia; Carlson, Thomas; https://doi.org/10.51628/001c.21174</x:v>
      </x:c>
      <x:c r="Q132" s="263" t="str">
        <x:v>04_Cognition_and_Emotion/Cognitive_Task_Recognition/EEG-attention-rsvp-exp1</x:v>
      </x:c>
      <x:c r="R132" s="263" t="str">
        <x:v>存在公开仓库、官方入口或稳定数据访问号</x:v>
      </x:c>
      <x:c r="S132" s="263"/>
      <x:c r="T132" s="263"/>
      <x:c r="U132" s="264"/>
    </x:row>
    <x:row r="133" ht="60" customHeight="1">
      <x:c r="A133" s="239" t="str">
        <x:v>EEG-0225</x:v>
      </x:c>
      <x:c r="B133" s="228" t="str">
        <x:v>04_Cognition_and_Emotion</x:v>
      </x:c>
      <x:c r="C133" s="228" t="str">
        <x:v>Cognitive_Task_Recognition</x:v>
      </x:c>
      <x:c r="D133" s="228" t="str">
        <x:v>EEG-attention-rsvp-exp2</x:v>
      </x:c>
      <x:c r="E133" s="228"/>
      <x:c r="F133" s="228" t="str">
        <x:v>OpenNeuro:ds004817 | DOI:10.51628/001c.21174</x:v>
      </x:c>
      <x:c r="G133" s="228" t="str">
        <x:v>DOWNLOAD_PUBLIC</x:v>
      </x:c>
      <x:c r="H133" s="228" t="str">
        <x:v>[OpenNeuro ds004817](https://openneuro.org/datasets/ds004817/versions/1.0.1)</x:v>
      </x:c>
      <x:c r="I133" s="228" t="str">
        <x:v>rsvp</x:v>
      </x:c>
      <x:c r="J133" s="228" t="str">
        <x:v>20</x:v>
      </x:c>
      <x:c r="K133" s="228" t="str">
        <x:v>63</x:v>
      </x:c>
      <x:c r="L133" s="228" t="str">
        <x:v>1000Hz</x:v>
      </x:c>
      <x:c r="M133" s="228" t="str">
        <x:v>BIDS</x:v>
      </x:c>
      <x:c r="N133" s="228" t="str">
        <x:v>raw BIDS</x:v>
      </x:c>
      <x:c r="O133" s="228" t="str">
        <x:v>OpenNeuro public download; ds004817 v1.0.1; license CC0; use web / OpenNeuro CLI / DataLad.</x:v>
      </x:c>
      <x:c r="P133" s="228" t="str">
        <x:v>Grootswagers, Tijl; Robinson, Amanda; Shatek, Sofia; Carlson, Thomas; https://doi.org/10.51628/001c.21174</x:v>
      </x:c>
      <x:c r="Q133" s="228" t="str">
        <x:v>04_Cognition_and_Emotion/Cognitive_Task_Recognition/EEG-attention-rsvp-exp2</x:v>
      </x:c>
      <x:c r="R133" s="228" t="str">
        <x:v>存在公开仓库、官方入口或稳定数据访问号</x:v>
      </x:c>
      <x:c r="S133" s="228"/>
      <x:c r="T133" s="228"/>
      <x:c r="U133" s="205"/>
    </x:row>
    <x:row r="134" ht="60" customHeight="1">
      <x:c r="A134" s="262" t="str">
        <x:v>EEG-0226</x:v>
      </x:c>
      <x:c r="B134" s="263" t="str">
        <x:v>04_Cognition_and_Emotion</x:v>
      </x:c>
      <x:c r="C134" s="263" t="str">
        <x:v>Cognitive_Task_Recognition</x:v>
      </x:c>
      <x:c r="D134" s="263" t="str">
        <x:v>EEG-fNIRS Stroop</x:v>
      </x:c>
      <x:c r="E134" s="263"/>
      <x:c r="F134" s="263" t="str">
        <x:v>Figshare:6623431</x:v>
      </x:c>
      <x:c r="G134" s="263" t="str">
        <x:v>DOWNLOAD_PUBLIC</x:v>
      </x:c>
      <x:c r="H134" s="263" t="str">
        <x:v>https://springernature.figshare.com/collections/Open_access_dataset_integrating_EEG_and_fNIRS_during_Stroop_tasks/6623431</x:v>
      </x:c>
      <x:c r="I134" s="263" t="str">
        <x:v>Color-word Stroop (hybrid EEG-fNIRS)</x:v>
      </x:c>
      <x:c r="J134" s="263" t="str">
        <x:v>21</x:v>
      </x:c>
      <x:c r="K134" s="263" t="str">
        <x:v>34</x:v>
      </x:c>
      <x:c r="L134" s="263" t="str">
        <x:v>1000 Hz</x:v>
      </x:c>
      <x:c r="M134" s="263" t="str">
        <x:v>Neuroscan (.cnt) / .set</x:v>
      </x:c>
      <x:c r="N134" s="263" t="str">
        <x:v>Both (raw + preprocessed .set + behavior)</x:v>
      </x:c>
      <x:c r="O134" s="263" t="str">
        <x:v>Open (figshare c.6623431), CC-BY</x:v>
      </x:c>
      <x:c r="P134" s="263" t="str">
        <x:v>Open access dataset integrating EEG and fNIRS during Stroop tasks. Chen et al., 2023, Scientific Data 10:618.</x:v>
      </x:c>
      <x:c r="Q134" s="263" t="str">
        <x:v>04_Cognition_and_Emotion/Cognitive_Task_Recognition/EEG-fNIRS_Stroop</x:v>
      </x:c>
      <x:c r="R134" s="263" t="str">
        <x:v>存在公开仓库、官方入口或稳定数据访问号</x:v>
      </x:c>
      <x:c r="S134" s="263"/>
      <x:c r="T134" s="263"/>
      <x:c r="U134" s="264"/>
    </x:row>
    <x:row r="135" ht="60" customHeight="1">
      <x:c r="A135" s="239" t="str">
        <x:v>EEG-0228</x:v>
      </x:c>
      <x:c r="B135" s="228" t="str">
        <x:v>04_Cognition_and_Emotion</x:v>
      </x:c>
      <x:c r="C135" s="228" t="str">
        <x:v>Workload_Detection</x:v>
      </x:c>
      <x:c r="D135" s="228" t="str">
        <x:v>EEGMAT</x:v>
      </x:c>
      <x:c r="E135" s="228"/>
      <x:c r="F135" s="228" t="str">
        <x:v>PhysioNet:eegmat</x:v>
      </x:c>
      <x:c r="G135" s="228" t="str">
        <x:v>DOWNLOAD_PUBLIC</x:v>
      </x:c>
      <x:c r="H135" s="228" t="str">
        <x:v>https://physionet.org/content/eegmat/1.0.0/</x:v>
      </x:c>
      <x:c r="I135" s="228" t="str">
        <x:v>Mental arithmetic (serial subtraction) vs rest</x:v>
      </x:c>
      <x:c r="J135" s="228" t="str">
        <x:v>36</x:v>
      </x:c>
      <x:c r="K135" s="228" t="str">
        <x:v>23 (~19-21 usable)</x:v>
      </x:c>
      <x:c r="L135" s="228" t="str">
        <x:v>500 Hz</x:v>
      </x:c>
      <x:c r="M135" s="228" t="str">
        <x:v>EDF+</x:v>
      </x:c>
      <x:c r="N135" s="228" t="str">
        <x:v>Raw</x:v>
      </x:c>
      <x:c r="O135" s="228" t="str">
        <x:v>Open, PhysioNet ODC-By</x:v>
      </x:c>
      <x:c r="P135" s="228" t="str">
        <x:v>Electroencephalograms during mental arithmetic task performance (EEGMAT). Zyma et al., 2019, Data 4(1):14.</x:v>
      </x:c>
      <x:c r="Q135" s="228" t="str">
        <x:v>04_Cognition_and_Emotion/Workload_Detection/EEGMAT</x:v>
      </x:c>
      <x:c r="R135" s="228" t="str">
        <x:v>存在公开仓库、官方入口或稳定数据访问号</x:v>
      </x:c>
      <x:c r="S135" s="228"/>
      <x:c r="T135" s="228"/>
      <x:c r="U135" s="205"/>
    </x:row>
    <x:row r="136" ht="60" customHeight="1">
      <x:c r="A136" s="262" t="str">
        <x:v>EEG-0230</x:v>
      </x:c>
      <x:c r="B136" s="263" t="str">
        <x:v>04_Cognition_and_Emotion</x:v>
      </x:c>
      <x:c r="C136" s="263" t="str">
        <x:v>Cognitive_Task_Recognition</x:v>
      </x:c>
      <x:c r="D136" s="263" t="str">
        <x:v>ERN</x:v>
      </x:c>
      <x:c r="E136" s="263"/>
      <x:c r="F136" s="263" t="str">
        <x:v>OpenNeuro:ds004602,ds004883</x:v>
      </x:c>
      <x:c r="G136" s="263" t="str">
        <x:v>DOWNLOAD_PUBLIC</x:v>
      </x:c>
      <x:c r="H136" s="263" t="str">
        <x:v>[OpenNeuro ds004602](https://openneuro.org/datasets/ds004602/versions/1.0.3) / [ds004883](https://openneuro.org/datasets/ds004883/versions/1.0.1)</x:v>
      </x:c>
      <x:c r="I136" s="263" t="str">
        <x:v>ERN/Pe psychometrics；go/no-go, flanker, Stroop；flanker variants</x:v>
      </x:c>
      <x:c r="J136" s="263" t="str">
        <x:v>182 + 172</x:v>
      </x:c>
      <x:c r="K136" s="263" t="str">
        <x:v>129</x:v>
      </x:c>
      <x:c r="L136" s="263" t="str">
        <x:v>500Hz</x:v>
      </x:c>
      <x:c r="M136" s="263" t="str">
        <x:v>BIDS</x:v>
      </x:c>
      <x:c r="N136" s="263" t="str">
        <x:v>raw BIDS</x:v>
      </x:c>
      <x:c r="O136" s="263" t="str">
        <x:v>公开下载：OpenNeuro ds004602 与 ds004883；CC0，可网页、OpenNeuro CLI 或 DataLad 获取。</x:v>
      </x:c>
      <x:c r="P136" s="263" t="str">
        <x:v>Peter E. Clayson; Michael J. Larson</x:v>
      </x:c>
      <x:c r="Q136" s="263" t="str">
        <x:v>04_Cognition_and_Emotion/Cognitive_Task_Recognition/ERN</x:v>
      </x:c>
      <x:c r="R136" s="263" t="str">
        <x:v>存在公开仓库、官方入口或稳定数据访问号</x:v>
      </x:c>
      <x:c r="S136" s="263"/>
      <x:c r="T136" s="263"/>
      <x:c r="U136" s="264"/>
    </x:row>
    <x:row r="137" ht="60" customHeight="1">
      <x:c r="A137" s="239" t="str">
        <x:v>EEG-0231</x:v>
      </x:c>
      <x:c r="B137" s="228" t="str">
        <x:v>04_Cognition_and_Emotion</x:v>
      </x:c>
      <x:c r="C137" s="228" t="str">
        <x:v>Workload_Detection</x:v>
      </x:c>
      <x:c r="D137" s="228" t="str">
        <x:v>Executive Functioning Data</x:v>
      </x:c>
      <x:c r="E137" s="228"/>
      <x:c r="F137" s="228" t="str">
        <x:v>OpenNeuro:ds004350</x:v>
      </x:c>
      <x:c r="G137" s="228" t="str">
        <x:v>DOWNLOAD_PUBLIC</x:v>
      </x:c>
      <x:c r="H137" s="228" t="str">
        <x:v>[OpenNeuro ds004350](https://openneuro.org/datasets/ds004350/versions/2.0.0)</x:v>
      </x:c>
      <x:c r="I137" s="228" t="str">
        <x:v>executive-function tasks；n-back / learning / cognitive control EEG</x:v>
      </x:c>
      <x:c r="J137" s="228" t="str">
        <x:v>24</x:v>
      </x:c>
      <x:c r="K137" s="228" t="str">
        <x:v>64</x:v>
      </x:c>
      <x:c r="L137" s="228" t="str">
        <x:v>256Hz</x:v>
      </x:c>
      <x:c r="M137" s="228" t="str">
        <x:v>BIDS</x:v>
      </x:c>
      <x:c r="N137" s="228" t="str">
        <x:v>raw BIDS</x:v>
      </x:c>
      <x:c r="O137" s="228" t="str">
        <x:v>公开下载：OpenNeuro ds004350 v2.0.0；CC0，可网页、OpenNeuro CLI 或 DataLad 获取。</x:v>
      </x:c>
      <x:c r="P137" s="228" t="str">
        <x:v>Arnaud Delorme; Tracy Brandmeyer</x:v>
      </x:c>
      <x:c r="Q137" s="228" t="str">
        <x:v>04_Cognition_and_Emotion/Workload_Detection/Executive_Functioning_Data</x:v>
      </x:c>
      <x:c r="R137" s="228" t="str">
        <x:v>存在公开仓库、官方入口或稳定数据访问号</x:v>
      </x:c>
      <x:c r="S137" s="228"/>
      <x:c r="T137" s="228"/>
      <x:c r="U137" s="205"/>
    </x:row>
    <x:row r="138" ht="60" customHeight="1">
      <x:c r="A138" s="262" t="str">
        <x:v>EEG-0232</x:v>
      </x:c>
      <x:c r="B138" s="263" t="str">
        <x:v>04_Cognition_and_Emotion</x:v>
      </x:c>
      <x:c r="C138" s="263" t="str">
        <x:v>Cognitive_Task_Recognition</x:v>
      </x:c>
      <x:c r="D138" s="263" t="str">
        <x:v>FOODEEG</x:v>
      </x:c>
      <x:c r="E138" s="263"/>
      <x:c r="F138" s="263" t="str">
        <x:v>OpenNeuro:ds007012</x:v>
      </x:c>
      <x:c r="G138" s="263" t="str">
        <x:v>DOWNLOAD_PUBLIC</x:v>
      </x:c>
      <x:c r="H138" s="263" t="str">
        <x:v>[OpenNeuro ds007012](https://openneuro.org/datasets/ds007012/versions/1.1.0)</x:v>
      </x:c>
      <x:c r="I138" s="263" t="str">
        <x:v>food image categorisation；visual decision and behavioural response EEG</x:v>
      </x:c>
      <x:c r="J138" s="263" t="str">
        <x:v>117</x:v>
      </x:c>
      <x:c r="K138" s="263" t="str">
        <x:v>64</x:v>
      </x:c>
      <x:c r="L138" s="263" t="str">
        <x:v>512Hz</x:v>
      </x:c>
      <x:c r="M138" s="263" t="str">
        <x:v>BIDS</x:v>
      </x:c>
      <x:c r="N138" s="263" t="str">
        <x:v>raw BIDS</x:v>
      </x:c>
      <x:c r="O138" s="263" t="str">
        <x:v>公开下载：OpenNeuro ds007012 v1.1.0；CC0，可网页、OpenNeuro CLI 或 DataLad 获取。</x:v>
      </x:c>
      <x:c r="P138" s="263" t="str">
        <x:v>Violet Chae; Tijl Grootswagers; Stefan Bode; Daniel Feuerriegel</x:v>
      </x:c>
      <x:c r="Q138" s="263" t="str">
        <x:v>04_Cognition_and_Emotion/Cognitive_Task_Recognition/FOODEEG</x:v>
      </x:c>
      <x:c r="R138" s="263" t="str">
        <x:v>存在公开仓库、官方入口或稳定数据访问号</x:v>
      </x:c>
      <x:c r="S138" s="263"/>
      <x:c r="T138" s="263"/>
      <x:c r="U138" s="264"/>
    </x:row>
    <x:row r="139" ht="60" customHeight="1">
      <x:c r="A139" s="239" t="str">
        <x:v>EEG-0234</x:v>
      </x:c>
      <x:c r="B139" s="228" t="str">
        <x:v>04_Cognition_and_Emotion</x:v>
      </x:c>
      <x:c r="C139" s="228" t="str">
        <x:v>Workload_Detection</x:v>
      </x:c>
      <x:c r="D139" s="228" t="str">
        <x:v>Hinss (2023)</x:v>
      </x:c>
      <x:c r="E139" s="228"/>
      <x:c r="F139" s="228" t="str">
        <x:v>Zenodo:7413650</x:v>
      </x:c>
      <x:c r="G139" s="228" t="str">
        <x:v>DOWNLOAD_APPLICATION_REQUIRED</x:v>
      </x:c>
      <x:c r="H139" s="228" t="str">
        <x:v>https://zenodo.org/records/7413650</x:v>
      </x:c>
      <x:c r="I139" s="228" t="str">
        <x:v>N-back, MATB-II, PVT, Flanker task</x:v>
      </x:c>
      <x:c r="J139" s="228" t="str">
        <x:v>29</x:v>
      </x:c>
      <x:c r="K139" s="228" t="str">
        <x:v>64</x:v>
      </x:c>
      <x:c r="L139" s="228" t="str">
        <x:v>500</x:v>
      </x:c>
      <x:c r="M139" s="228" t="str">
        <x:v>EEGLAB</x:v>
      </x:c>
      <x:c r="N139" s="228" t="str">
        <x:v>Raw EEG, &gt;100 hours total</x:v>
      </x:c>
      <x:c r="O139" s="228" t="str">
        <x:v>Open access on Zenodo, no application needed</x:v>
      </x:c>
      <x:c r="P139" s="228" t="str">
        <x:v>M. F. Hinss et al., “Open multi-session and multi-task EEG cognitive dataset for passive brain-computer interface applications,” Sci. Data, vol. 10, no. 1, p. 85, 2023.</x:v>
      </x:c>
      <x:c r="Q139" s="228" t="str">
        <x:v>04_Cognition_and_Emotion/Workload_Detection/Hinss_2023</x:v>
      </x:c>
      <x:c r="R139" s="228" t="str">
        <x:v>官方数据存在，但需申请、签署协议或获得权限</x:v>
      </x:c>
      <x:c r="S139" s="228"/>
      <x:c r="T139" s="228"/>
      <x:c r="U139" s="205"/>
    </x:row>
    <x:row r="140" ht="60" customHeight="1">
      <x:c r="A140" s="262" t="str">
        <x:v>EEG-0235</x:v>
      </x:c>
      <x:c r="B140" s="263" t="str">
        <x:v>04_Cognition_and_Emotion</x:v>
      </x:c>
      <x:c r="C140" s="263" t="str">
        <x:v>Cognitive_Task_Recognition</x:v>
      </x:c>
      <x:c r="D140" s="263" t="str">
        <x:v>KU Leuven Auditory Attention Decoding (AAD) EEG Dataset</x:v>
      </x:c>
      <x:c r="E140" s="263" t="str">
        <x:v>KUL (KU Leuven auditory attention detection dataset)</x:v>
      </x:c>
      <x:c r="F140" s="263" t="str">
        <x:v>Zenodo:4004271</x:v>
      </x:c>
      <x:c r="G140" s="263" t="str">
        <x:v>DOWNLOAD_PUBLIC</x:v>
      </x:c>
      <x:c r="H140" s="263" t="str">
        <x:v>https://zenodo.org/records/4004271</x:v>
      </x:c>
      <x:c r="I140" s="263" t="str">
        <x:v>Auditory Attention Decoding: 2 competing speech streams (cocktail party), detect attended speaker</x:v>
      </x:c>
      <x:c r="J140" s="263" t="str">
        <x:v>16 (normal-hearing)</x:v>
      </x:c>
      <x:c r="K140" s="263" t="str">
        <x:v>64</x:v>
      </x:c>
      <x:c r="L140" s="263" t="str">
        <x:v>8192 Hz (raw recording)</x:v>
      </x:c>
      <x:c r="M140" s="263" t="str">
        <x:v>MAT (EEG+envelopes) + WAV (audio stimuli)</x:v>
      </x:c>
      <x:c r="N140" s="263" t="str">
        <x:v>Raw (preprocessed version available)</x:v>
      </x:c>
      <x:c r="O140" s="263" t="str">
        <x:v>Free (Zenodo 4004271, no registration)</x:v>
      </x:c>
      <x:c r="P140" s="263" t="str">
        <x:v>Biesmans et al. 2017, IEEE Trans. Neural Syst. Rehabil. Eng.; KU Leuven ExpORL lab</x:v>
      </x:c>
      <x:c r="Q140" s="263" t="str">
        <x:v>04_Cognition_and_Emotion/Cognitive_Task_Recognition/KU_Leuven_Auditory_Attention_Decoding_AAD_EEG_Dataset</x:v>
      </x:c>
      <x:c r="R140" s="263" t="str">
        <x:v>存在公开仓库、官方入口或稳定数据访问号</x:v>
      </x:c>
      <x:c r="S140" s="263"/>
      <x:c r="T140" s="263"/>
      <x:c r="U140" s="264"/>
    </x:row>
    <x:row r="141" ht="60" customHeight="1">
      <x:c r="A141" s="239" t="str">
        <x:v>EEG-0236</x:v>
      </x:c>
      <x:c r="B141" s="228" t="str">
        <x:v>04_Cognition_and_Emotion</x:v>
      </x:c>
      <x:c r="C141" s="228" t="str">
        <x:v>Cognitive_Task_Recognition</x:v>
      </x:c>
      <x:c r="D141" s="228" t="str">
        <x:v>Mheich (2021)</x:v>
      </x:c>
      <x:c r="E141" s="228"/>
      <x:c r="F141" s="228" t="str">
        <x:v>Figshare:13560311 | DOI:10.6084/m9.figshare.13560311</x:v>
      </x:c>
      <x:c r="G141" s="228" t="str">
        <x:v>DOWNLOAD_APPLICATION_REQUIRED</x:v>
      </x:c>
      <x:c r="H141" s="228" t="str">
        <x:v>OpenNeuro (2 datasets: HD-EEGtask Dataset 1 and Dataset 2); metadata also on Figshare DOI:10.6084/m9.figshare.13560311</x:v>
      </x:c>
      <x:c r="I141" s="228" t="str">
        <x:v>Cognitive</x:v>
      </x:c>
      <x:c r="J141" s="228" t="str">
        <x:v>43</x:v>
      </x:c>
      <x:c r="K141" s="228" t="str">
        <x:v>256</x:v>
      </x:c>
      <x:c r="L141" s="228" t="str">
        <x:v>1000</x:v>
      </x:c>
      <x:c r="M141" s="228" t="str">
        <x:v>BrainVision</x:v>
      </x:c>
      <x:c r="N141" s="228" t="str">
        <x:v>Raw, BIDS-EEG format</x:v>
      </x:c>
      <x:c r="O141" s="228" t="str">
        <x:v>Open access on OpenNeuro, no application needed</x:v>
      </x:c>
      <x:c r="P141" s="228" t="str">
        <x:v>Mheich A, Dufor O, Yassine S, Kabbara A, Biraben A, Wendling F, Hassan M. Sci Data 2021;8:32</x:v>
      </x:c>
      <x:c r="Q141" s="228" t="str">
        <x:v>04_Cognition_and_Emotion/Cognitive_Task_Recognition/Mheich_2021</x:v>
      </x:c>
      <x:c r="R141" s="228" t="str">
        <x:v>官方数据存在，但需申请、签署协议或获得权限</x:v>
      </x:c>
      <x:c r="S141" s="228"/>
      <x:c r="T141" s="228"/>
      <x:c r="U141" s="205"/>
    </x:row>
    <x:row r="142" ht="60" customHeight="1">
      <x:c r="A142" s="262" t="str">
        <x:v>EEG-0237</x:v>
      </x:c>
      <x:c r="B142" s="263" t="str">
        <x:v>04_Cognition_and_Emotion</x:v>
      </x:c>
      <x:c r="C142" s="263" t="str">
        <x:v>Cognitive_Task_Recognition</x:v>
      </x:c>
      <x:c r="D142" s="263" t="str">
        <x:v>OpenNeuro ds006367</x:v>
      </x:c>
      <x:c r="E142" s="263"/>
      <x:c r="F142" s="263" t="str">
        <x:v>OpenNeuro:ds006367</x:v>
      </x:c>
      <x:c r="G142" s="263" t="str">
        <x:v>DOWNLOAD_PUBLIC</x:v>
      </x:c>
      <x:c r="H142" s="263" t="str">
        <x:v>[OpenNeuro ds006367](https://openneuro.org/datasets/ds006367/versions/1.0.1)</x:v>
      </x:c>
      <x:c r="I142" s="263" t="str">
        <x:v>visual memory / memory reactivation EEG</x:v>
      </x:c>
      <x:c r="J142" s="263" t="str">
        <x:v>52</x:v>
      </x:c>
      <x:c r="K142" s="263" t="str">
        <x:v>30</x:v>
      </x:c>
      <x:c r="L142" s="263" t="str">
        <x:v>1000Hz</x:v>
      </x:c>
      <x:c r="M142" s="263" t="str">
        <x:v>BIDS</x:v>
      </x:c>
      <x:c r="N142" s="263" t="str">
        <x:v>raw BIDS</x:v>
      </x:c>
      <x:c r="O142" s="263" t="str">
        <x:v>OpenNeuro public download; CC0; use web / OpenNeuro CLI / DataLad.</x:v>
      </x:c>
      <x:c r="P142" s="263" t="str">
        <x:v>OpenNeuro ds006367; DeeperBrain; Liu et al. (2026), EEG Foundation Models Tables VIII-XIV</x:v>
      </x:c>
      <x:c r="Q142" s="263" t="str">
        <x:v>04_Cognition_and_Emotion/Cognitive_Task_Recognition/OpenNeuro_ds006367</x:v>
      </x:c>
      <x:c r="R142" s="263" t="str">
        <x:v>存在公开仓库、官方入口或稳定数据访问号</x:v>
      </x:c>
      <x:c r="S142" s="263"/>
      <x:c r="T142" s="263"/>
      <x:c r="U142" s="264"/>
    </x:row>
    <x:row r="143" ht="60" customHeight="1">
      <x:c r="A143" s="239" t="str">
        <x:v>EEG-0238</x:v>
      </x:c>
      <x:c r="B143" s="228" t="str">
        <x:v>04_Cognition_and_Emotion</x:v>
      </x:c>
      <x:c r="C143" s="228" t="str">
        <x:v>Cognitive_Task_Recognition</x:v>
      </x:c>
      <x:c r="D143" s="228" t="str">
        <x:v>PEARL-Neuro</x:v>
      </x:c>
      <x:c r="E143" s="228"/>
      <x:c r="F143" s="228" t="str">
        <x:v>OpenNeuro:ds004796</x:v>
      </x:c>
      <x:c r="G143" s="228" t="str">
        <x:v>DOWNLOAD_PUBLIC</x:v>
      </x:c>
      <x:c r="H143" s="228" t="str">
        <x:v>https://openneuro.org/datasets/ds004796</x:v>
      </x:c>
      <x:c r="I143" s="228" t="str">
        <x:v>Memory (Sternberg/MSIT) + rest; OmniEEG: task discrimination</x:v>
      </x:c>
      <x:c r="J143" s="228" t="str">
        <x:v>79 (with EEG)</x:v>
      </x:c>
      <x:c r="K143" s="228" t="str">
        <x:v>128</x:v>
      </x:c>
      <x:c r="L143" s="228" t="str">
        <x:v>1000 Hz</x:v>
      </x:c>
      <x:c r="M143" s="228" t="str">
        <x:v>BrainVision / BIDS</x:v>
      </x:c>
      <x:c r="N143" s="228" t="str">
        <x:v>Raw (BIDS)</x:v>
      </x:c>
      <x:c r="O143" s="228" t="str">
        <x:v>Open (OpenNeuro ds004796), CC0</x:v>
      </x:c>
      <x:c r="P143" s="228" t="str">
        <x:v>PEARL-Neuro database: EEG, fMRI, health and lifestyle data of middle-aged people at risk of dementia. Dzianok &amp; Kublik, 2024, Scientific Data 11:276.</x:v>
      </x:c>
      <x:c r="Q143" s="228" t="str">
        <x:v>04_Cognition_and_Emotion/Cognitive_Task_Recognition/PEARL-Neuro</x:v>
      </x:c>
      <x:c r="R143" s="228" t="str">
        <x:v>存在公开仓库、官方入口或稳定数据访问号</x:v>
      </x:c>
      <x:c r="S143" s="228"/>
      <x:c r="T143" s="228"/>
      <x:c r="U143" s="205"/>
    </x:row>
    <x:row r="144" ht="60" customHeight="1">
      <x:c r="A144" s="262" t="str">
        <x:v>EEG-0239</x:v>
      </x:c>
      <x:c r="B144" s="263" t="str">
        <x:v>04_Cognition_and_Emotion</x:v>
      </x:c>
      <x:c r="C144" s="263" t="str">
        <x:v>Cognitive_Task_Recognition</x:v>
      </x:c>
      <x:c r="D144" s="263" t="str">
        <x:v>PEERS</x:v>
      </x:c>
      <x:c r="E144" s="263"/>
      <x:c r="F144" s="263" t="str">
        <x:v>OpenNeuro:ds004395 | BNCI:500-1000</x:v>
      </x:c>
      <x:c r="G144" s="263" t="str">
        <x:v>DOWNLOAD_PUBLIC</x:v>
      </x:c>
      <x:c r="H144" s="263" t="str">
        <x:v>https://memory.psych.upenn.edu/DataArchive</x:v>
      </x:c>
      <x:c r="I144" s="263" t="str">
        <x:v>Memory Encoding and Retrieval (free recall; ERP analysis of encoding vs retrieval)</x:v>
      </x:c>
      <x:c r="J144" s="263" t="str">
        <x:v>&gt;300 subjects (experiments 1-5; 7000+ memory sessions)</x:v>
      </x:c>
      <x:c r="K144" s="263" t="str">
        <x:v>129 (EGI GSN-200) or 128 (BioSemi) — mixed across subjects</x:v>
      </x:c>
      <x:c r="L144" s="263" t="str">
        <x:v>500-1000 Hz</x:v>
      </x:c>
      <x:c r="M144" s="263" t="str">
        <x:v>EEG (BioSemi BDF)</x:v>
      </x:c>
      <x:c r="N144" s="263" t="str">
        <x:v>raw BIDS</x:v>
      </x:c>
      <x:c r="O144" s="263" t="str">
        <x:v>Free (OpenNeuro ds004395 — no registration; also memory.psych.upenn.edu/data — DUA affirmation only, no formal account)</x:v>
      </x:c>
      <x:c r="P144" s="263" t="str">
        <x:v>Michael J. Kahana; Joseph H. Rudoler; Lynn J. Lohnas; Karl Healey; Ada Aka</x:v>
      </x:c>
      <x:c r="Q144" s="263" t="str">
        <x:v>04_Cognition_and_Emotion/Cognitive_Task_Recognition/PEERS</x:v>
      </x:c>
      <x:c r="R144" s="263" t="str">
        <x:v>存在公开仓库、官方入口或稳定数据访问号</x:v>
      </x:c>
      <x:c r="S144" s="263"/>
      <x:c r="T144" s="263"/>
      <x:c r="U144" s="264"/>
    </x:row>
    <x:row r="145" ht="60" customHeight="1">
      <x:c r="A145" s="239" t="str">
        <x:v>EEG-0240</x:v>
      </x:c>
      <x:c r="B145" s="228" t="str">
        <x:v>04_Cognition_and_Emotion</x:v>
      </x:c>
      <x:c r="C145" s="228" t="str">
        <x:v>Cognitive_Task_Recognition</x:v>
      </x:c>
      <x:c r="D145" s="228" t="str">
        <x:v>Proactive selective attention across competition contexts</x:v>
      </x:c>
      <x:c r="E145" s="228"/>
      <x:c r="F145" s="228" t="str">
        <x:v>OpenNeuro:ds005089 | DOI:10.1016/j.neuroimage.2023.119960</x:v>
      </x:c>
      <x:c r="G145" s="228" t="str">
        <x:v>DOWNLOAD_PUBLIC</x:v>
      </x:c>
      <x:c r="H145" s="228" t="str">
        <x:v>[OpenNeuro ds005089](https://openneuro.org/datasets/ds005089/versions/1.0.1)</x:v>
      </x:c>
      <x:c r="I145" s="228" t="str">
        <x:v>Competition</x:v>
      </x:c>
      <x:c r="J145" s="228" t="str">
        <x:v>36</x:v>
      </x:c>
      <x:c r="K145" s="228" t="str">
        <x:v>63</x:v>
      </x:c>
      <x:c r="L145" s="228" t="str">
        <x:v>1000Hz</x:v>
      </x:c>
      <x:c r="M145" s="228" t="str">
        <x:v>BIDS</x:v>
      </x:c>
      <x:c r="N145" s="228" t="str">
        <x:v>raw BIDS</x:v>
      </x:c>
      <x:c r="O145" s="228" t="str">
        <x:v>OpenNeuro public download; ds005089 v1.0.1; license CC0; use web / OpenNeuro CLI / DataLad.</x:v>
      </x:c>
      <x:c r="P145" s="228" t="str">
        <x:v>Blanca Aguado-Lopez; Ana F. Palenciano; Jose M. G. Penalver; Paloma Diaz-Gutierrez; David Lopez-Garcia; https://doi.org/10.1016/j.neuroimage.2023.119960</x:v>
      </x:c>
      <x:c r="Q145" s="228" t="str">
        <x:v>04_Cognition_and_Emotion/Cognitive_Task_Recognition/Proactive_selective_attention_across_competition_contexts</x:v>
      </x:c>
      <x:c r="R145" s="228" t="str">
        <x:v>存在公开仓库、官方入口或稳定数据访问号</x:v>
      </x:c>
      <x:c r="S145" s="228"/>
      <x:c r="T145" s="228"/>
      <x:c r="U145" s="205"/>
    </x:row>
    <x:row r="146" ht="60" customHeight="1">
      <x:c r="A146" s="262" t="str">
        <x:v>EEG-0241</x:v>
      </x:c>
      <x:c r="B146" s="263" t="str">
        <x:v>04_Cognition_and_Emotion</x:v>
      </x:c>
      <x:c r="C146" s="263" t="str">
        <x:v>Cognitive_Task_Recognition</x:v>
      </x:c>
      <x:c r="D146" s="263" t="str">
        <x:v>PURSUE ERP Benchmark Suite</x:v>
      </x:c>
      <x:c r="E146" s="263"/>
      <x:c r="F146" s="263" t="str">
        <x:v>OpenNeuro:ds007052,ds007056,ds007069,ds007096,ds007137,ds007139</x:v>
      </x:c>
      <x:c r="G146" s="263" t="str">
        <x:v>DOWNLOAD_PUBLIC</x:v>
      </x:c>
      <x:c r="H146" s="263"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146" s="263" t="str">
        <x:v>visual search, face perception, flanker, word processing, visual oddball, auditory oddball</x:v>
      </x:c>
      <x:c r="J146" s="263" t="str">
        <x:v>281-294</x:v>
      </x:c>
      <x:c r="K146" s="263" t="str">
        <x:v>29</x:v>
      </x:c>
      <x:c r="L146" s="263" t="str">
        <x:v>500Hz</x:v>
      </x:c>
      <x:c r="M146" s="263" t="str">
        <x:v>BIDS</x:v>
      </x:c>
      <x:c r="N146" s="263" t="str">
        <x:v>raw BIDS</x:v>
      </x:c>
      <x:c r="O146" s="263" t="str">
        <x:v>公开下载：OpenNeuro PURSUE series，CC0，可网页、OpenNeuro CLI 或 DataLad 获取。</x:v>
      </x:c>
      <x:c r="P146" s="263" t="str">
        <x:v>Couperus; Bukach; Reed</x:v>
      </x:c>
      <x:c r="Q146" s="263" t="str">
        <x:v>04_Cognition_and_Emotion/Cognitive_Task_Recognition/PURSUE_ERP_Benchmark_Suite</x:v>
      </x:c>
      <x:c r="R146" s="263" t="str">
        <x:v>存在公开仓库、官方入口或稳定数据访问号</x:v>
      </x:c>
      <x:c r="S146" s="263"/>
      <x:c r="T146" s="263"/>
      <x:c r="U146" s="264"/>
    </x:row>
    <x:row r="147" ht="60" customHeight="1">
      <x:c r="A147" s="239" t="str">
        <x:v>EEG-0243</x:v>
      </x:c>
      <x:c r="B147" s="228" t="str">
        <x:v>04_Cognition_and_Emotion</x:v>
      </x:c>
      <x:c r="C147" s="228" t="str">
        <x:v>Cognitive_Task_Recognition</x:v>
      </x:c>
      <x:c r="D147" s="228" t="str">
        <x:v>Real-time EEG feedback on alpha power lateralization leads to behavioral improvements in a covert attention task</x:v>
      </x:c>
      <x:c r="E147" s="228"/>
      <x:c r="F147" s="228" t="str">
        <x:v>OpenNeuro:ds002034 | DOI:10.1007/s10548-019-00725-9</x:v>
      </x:c>
      <x:c r="G147" s="228" t="str">
        <x:v>DOWNLOAD_PUBLIC</x:v>
      </x:c>
      <x:c r="H147" s="228" t="str">
        <x:v>https://openneuro.org/datasets/ds002034</x:v>
      </x:c>
      <x:c r="I147" s="228" t="str">
        <x:v>Covert visuospatial attention</x:v>
      </x:c>
      <x:c r="J147" s="228" t="str">
        <x:v>14</x:v>
      </x:c>
      <x:c r="K147" s="228" t="str">
        <x:v>64</x:v>
      </x:c>
      <x:c r="L147" s="228" t="str">
        <x:v>512 Hz</x:v>
      </x:c>
      <x:c r="M147" s="228" t="str">
        <x:v>BIDS</x:v>
      </x:c>
      <x:c r="N147" s="228" t="str">
        <x:v>RAW</x:v>
      </x:c>
      <x:c r="O147" s="228" t="str">
        <x:v>Fully open</x:v>
      </x:c>
      <x:c r="P147" s="228" t="str">
        <x:v>DOI: 10.1007/s10548-019-00725-9</x:v>
      </x:c>
      <x:c r="Q147" s="228" t="str">
        <x:v>04_Cognition_and_Emotion/Cognitive_Task_Recognition/Real-time_EEG_feedback_on_alpha_power_lateralization_leads_to_behavioral_improvements_in_a</x:v>
      </x:c>
      <x:c r="R147" s="228" t="str">
        <x:v>存在公开仓库、官方入口或稳定数据访问号</x:v>
      </x:c>
      <x:c r="S147" s="228"/>
      <x:c r="T147" s="228"/>
      <x:c r="U147" s="205"/>
    </x:row>
    <x:row r="148" ht="60" customHeight="1">
      <x:c r="A148" s="262" t="str">
        <x:v>EEG-0244</x:v>
      </x:c>
      <x:c r="B148" s="263" t="str">
        <x:v>04_Cognition_and_Emotion</x:v>
      </x:c>
      <x:c r="C148" s="263" t="str">
        <x:v>Cognitive_Task_Recognition</x:v>
      </x:c>
      <x:c r="D148" s="263" t="str">
        <x:v>Selective auditory attention in CI users - EEG data</x:v>
      </x:c>
      <x:c r="E148" s="263"/>
      <x:c r="F148" s="263" t="str">
        <x:v>Zenodo:10980117 | DOI:10.1088/1741-2552/addb7b</x:v>
      </x:c>
      <x:c r="G148" s="263" t="str">
        <x:v>DOWNLOAD_PUBLIC</x:v>
      </x:c>
      <x:c r="H148" s="263" t="str">
        <x:v>https://zenodo.org/records/10980117</x:v>
      </x:c>
      <x:c r="I148" s="263" t="str">
        <x:v>Selective auditory attention</x:v>
      </x:c>
      <x:c r="J148" s="263" t="str">
        <x:v>25</x:v>
      </x:c>
      <x:c r="K148" s="263" t="str">
        <x:v>32</x:v>
      </x:c>
      <x:c r="L148" s="263" t="str">
        <x:v>1000 Hz</x:v>
      </x:c>
      <x:c r="M148" s="263" t="str">
        <x:v>.hdf5</x:v>
      </x:c>
      <x:c r="N148" s="263" t="str">
        <x:v>Both</x:v>
      </x:c>
      <x:c r="O148" s="263" t="str">
        <x:v>Fully open</x:v>
      </x:c>
      <x:c r="P148" s="263" t="str">
        <x:v>DOI: 10.1088/1741-2552/addb7b</x:v>
      </x:c>
      <x:c r="Q148" s="263" t="str">
        <x:v>04_Cognition_and_Emotion/Cognitive_Task_Recognition/Selective_auditory_attention_in_CI_users_-_EEG_data</x:v>
      </x:c>
      <x:c r="R148" s="263" t="str">
        <x:v>存在公开仓库、官方入口或稳定数据访问号</x:v>
      </x:c>
      <x:c r="S148" s="263"/>
      <x:c r="T148" s="263"/>
      <x:c r="U148" s="264"/>
    </x:row>
    <x:row r="149" ht="60" customHeight="1">
      <x:c r="A149" s="239" t="str">
        <x:v>EEG-0248</x:v>
      </x:c>
      <x:c r="B149" s="228" t="str">
        <x:v>04_Cognition_and_Emotion</x:v>
      </x:c>
      <x:c r="C149" s="228" t="str">
        <x:v>Cognitive_Task_Recognition</x:v>
      </x:c>
      <x:c r="D149" s="228" t="str">
        <x:v>Song Familiarity EEG</x:v>
      </x:c>
      <x:c r="E149" s="228"/>
      <x:c r="F149" s="228" t="str">
        <x:v>OpenNeuro:ds005876</x:v>
      </x:c>
      <x:c r="G149" s="228" t="str">
        <x:v>DOWNLOAD_PUBLIC</x:v>
      </x:c>
      <x:c r="H149" s="228" t="str">
        <x:v>[OpenNeuro ds005876](https://openneuro.org/datasets/ds005876/versions/1.0.1)</x:v>
      </x:c>
      <x:c r="I149" s="228" t="str">
        <x:v>song familiarity；music memory / auditory cognition EEG</x:v>
      </x:c>
      <x:c r="J149" s="228" t="str">
        <x:v>29</x:v>
      </x:c>
      <x:c r="K149" s="228" t="str">
        <x:v>32</x:v>
      </x:c>
      <x:c r="L149" s="228" t="str">
        <x:v>1000Hz</x:v>
      </x:c>
      <x:c r="M149" s="228" t="str">
        <x:v>BIDS</x:v>
      </x:c>
      <x:c r="N149" s="228" t="str">
        <x:v>raw BIDS</x:v>
      </x:c>
      <x:c r="O149" s="228" t="str">
        <x:v>公开下载：OpenNeuro ds005876 v1.0.1；可网页、OpenNeuro CLI 或 DataLad 获取。</x:v>
      </x:c>
      <x:c r="P149" s="228" t="str">
        <x:v>Jared R. Girard; Aaron M. Bishop; Cameron D. Hassall</x:v>
      </x:c>
      <x:c r="Q149" s="228" t="str">
        <x:v>04_Cognition_and_Emotion/Cognitive_Task_Recognition/Song_Familiarity_EEG</x:v>
      </x:c>
      <x:c r="R149" s="228" t="str">
        <x:v>存在公开仓库、官方入口或稳定数据访问号</x:v>
      </x:c>
      <x:c r="S149" s="228"/>
      <x:c r="T149" s="228"/>
      <x:c r="U149" s="205"/>
    </x:row>
    <x:row r="150" ht="60" customHeight="1">
      <x:c r="A150" s="262" t="str">
        <x:v>EEG-0249</x:v>
      </x:c>
      <x:c r="B150" s="263" t="str">
        <x:v>04_Cognition_and_Emotion</x:v>
      </x:c>
      <x:c r="C150" s="263" t="str">
        <x:v>Cognitive_Task_Recognition</x:v>
      </x:c>
      <x:c r="D150" s="263" t="str">
        <x:v>Spatial memory and non-invasive closed-loop stimulus timing</x:v>
      </x:c>
      <x:c r="E150" s="263"/>
      <x:c r="F150" s="263" t="str">
        <x:v>OpenNeuro:ds004706 | DOI:10.18112/openneuro.ds004706.v1.0.0</x:v>
      </x:c>
      <x:c r="G150" s="263" t="str">
        <x:v>DOWNLOAD_PUBLIC</x:v>
      </x:c>
      <x:c r="H150" s="263" t="str">
        <x:v>[OpenNeuro ds004706](https://openneuro.org/datasets/ds004706/versions/1.0.0)</x:v>
      </x:c>
      <x:c r="I150" s="263" t="str">
        <x:v>NiclsCourierClosedLoop; NiclsCourierReadOnly</x:v>
      </x:c>
      <x:c r="J150" s="263" t="str">
        <x:v>34</x:v>
      </x:c>
      <x:c r="K150" s="263" t="str">
        <x:v>128</x:v>
      </x:c>
      <x:c r="L150" s="263" t="str">
        <x:v>2048Hz</x:v>
      </x:c>
      <x:c r="M150" s="263" t="str">
        <x:v>BIDS</x:v>
      </x:c>
      <x:c r="N150" s="263" t="str">
        <x:v>raw BIDS</x:v>
      </x:c>
      <x:c r="O150" s="263" t="str">
        <x:v>OpenNeuro public download; ds004706 v1.0.0; license CC0; use web / OpenNeuro CLI / DataLad.</x:v>
      </x:c>
      <x:c r="P150" s="263" t="str">
        <x:v>Joseph H. Rudoler; Matthew R. Dougherty; Brandon S. Katerman; James P. Bruska; Woohyeuk Chang; doi:10.18112/openneuro.ds004706.v1.0.0</x:v>
      </x:c>
      <x:c r="Q150" s="263" t="str">
        <x:v>04_Cognition_and_Emotion/Cognitive_Task_Recognition/Spatial_memory_and_non-invasive_closed-loop_stimulus_timing</x:v>
      </x:c>
      <x:c r="R150" s="263" t="str">
        <x:v>存在公开仓库、官方入口或稳定数据访问号</x:v>
      </x:c>
      <x:c r="S150" s="263"/>
      <x:c r="T150" s="263"/>
      <x:c r="U150" s="264"/>
    </x:row>
    <x:row r="151" ht="60" customHeight="1">
      <x:c r="A151" s="239" t="str">
        <x:v>EEG-0251</x:v>
      </x:c>
      <x:c r="B151" s="228" t="str">
        <x:v>04_Cognition_and_Emotion</x:v>
      </x:c>
      <x:c r="C151" s="228" t="str">
        <x:v>Cognitive_Task_Recognition</x:v>
      </x:c>
      <x:c r="D151" s="228" t="str">
        <x:v>SRM Resting-state EEG</x:v>
      </x:c>
      <x:c r="E151" s="228" t="str">
        <x:v>SRM (SRM resting-state EEG)</x:v>
      </x:c>
      <x:c r="F151" s="228" t="str">
        <x:v>OpenNeuro:ds003775</x:v>
      </x:c>
      <x:c r="G151" s="228" t="str">
        <x:v>DOWNLOAD_PUBLIC</x:v>
      </x:c>
      <x:c r="H151" s="228" t="str">
        <x:v>[OpenNeuro ds003775](https://openneuro.org/datasets/ds003775/versions/1.2.1)</x:v>
      </x:c>
      <x:c r="I151" s="228" t="str">
        <x:v>resting-state EEG；memory / cognitive questionnaire correlates</x:v>
      </x:c>
      <x:c r="J151" s="228" t="str">
        <x:v>111</x:v>
      </x:c>
      <x:c r="K151" s="228" t="str">
        <x:v>64</x:v>
      </x:c>
      <x:c r="L151" s="228" t="str">
        <x:v>1024Hz</x:v>
      </x:c>
      <x:c r="M151" s="228" t="str">
        <x:v>BIDS</x:v>
      </x:c>
      <x:c r="N151" s="228" t="str">
        <x:v>raw BIDS</x:v>
      </x:c>
      <x:c r="O151" s="228" t="str">
        <x:v>公开下载：OpenNeuro ds003775 v1.2.1；CC0，可网页、OpenNeuro CLI 或 DataLad 获取。</x:v>
      </x:c>
      <x:c r="P151" s="228" t="str">
        <x:v>Christoffer Hatlestad-Hall; Trine Waage Rygvold; Stein Andersson</x:v>
      </x:c>
      <x:c r="Q151" s="228" t="str">
        <x:v>04_Cognition_and_Emotion/Cognitive_Task_Recognition/SRM_Resting-state_EEG</x:v>
      </x:c>
      <x:c r="R151" s="228" t="str">
        <x:v>存在公开仓库、官方入口或稳定数据访问号</x:v>
      </x:c>
      <x:c r="S151" s="228"/>
      <x:c r="T151" s="228"/>
      <x:c r="U151" s="205"/>
    </x:row>
    <x:row r="152" ht="60" customHeight="1">
      <x:c r="A152" s="262" t="str">
        <x:v>EEG-0252</x:v>
      </x:c>
      <x:c r="B152" s="263" t="str">
        <x:v>04_Cognition_and_Emotion</x:v>
      </x:c>
      <x:c r="C152" s="263" t="str">
        <x:v>Cognitive_Task_Recognition</x:v>
      </x:c>
      <x:c r="D152" s="263" t="str">
        <x:v>STERNBERG DIFFICULT</x:v>
      </x:c>
      <x:c r="E152" s="263"/>
      <x:c r="F152" s="263" t="str">
        <x:v>OpenNeuro:ds005095 | DOI:10.18112/openneuro.ds005095.v1.0.2</x:v>
      </x:c>
      <x:c r="G152" s="263" t="str">
        <x:v>DOWNLOAD_PUBLIC</x:v>
      </x:c>
      <x:c r="H152" s="263" t="str">
        <x:v>[OpenNeuro ds005095](https://openneuro.org/datasets/ds005095/versions/1.0.2)</x:v>
      </x:c>
      <x:c r="I152" s="263" t="str">
        <x:v>STERNBERG</x:v>
      </x:c>
      <x:c r="J152" s="263" t="str">
        <x:v>48</x:v>
      </x:c>
      <x:c r="K152" s="263" t="str">
        <x:v>63</x:v>
      </x:c>
      <x:c r="L152" s="263" t="str">
        <x:v>1000Hz</x:v>
      </x:c>
      <x:c r="M152" s="263" t="str">
        <x:v>BIDS</x:v>
      </x:c>
      <x:c r="N152" s="263" t="str">
        <x:v>raw BIDS</x:v>
      </x:c>
      <x:c r="O152" s="263" t="str">
        <x:v>OpenNeuro public download; ds005095 v1.0.2; license CC0; use web / OpenNeuro CLI / DataLad.</x:v>
      </x:c>
      <x:c r="P152" s="263" t="str">
        <x:v>Natalia Zhozhikashvili; Maria Protopova; Tatiana Shkurenko; Marie Arsalidou; Ilya Zakharov; doi:10.18112/openneuro.ds005095.v1.0.2</x:v>
      </x:c>
      <x:c r="Q152" s="263" t="str">
        <x:v>04_Cognition_and_Emotion/Cognitive_Task_Recognition/STERNBERG_DIFFICULT</x:v>
      </x:c>
      <x:c r="R152" s="263" t="str">
        <x:v>存在公开仓库、官方入口或稳定数据访问号</x:v>
      </x:c>
      <x:c r="S152" s="263"/>
      <x:c r="T152" s="263"/>
      <x:c r="U152" s="264"/>
    </x:row>
    <x:row r="153" ht="60" customHeight="1">
      <x:c r="A153" s="239" t="str">
        <x:v>EEG-0253</x:v>
      </x:c>
      <x:c r="B153" s="228" t="str">
        <x:v>04_Cognition_and_Emotion</x:v>
      </x:c>
      <x:c r="C153" s="228" t="str">
        <x:v>Cognitive_Task_Recognition</x:v>
      </x:c>
      <x:c r="D153" s="228" t="str">
        <x:v>Stroop High-Altitude (EEG-fNIRS)</x:v>
      </x:c>
      <x:c r="E153" s="228" t="str">
        <x:v>Ji High-altitude Stroop EEG-fNIRS Dataset</x:v>
      </x:c>
      <x:c r="F153" s="228" t="str">
        <x:v>Figshare:24803499 | DOI:10.6084/m9.figshare.c.6979581.v1</x:v>
      </x:c>
      <x:c r="G153" s="228" t="str">
        <x:v>DOWNLOAD_PUBLIC</x:v>
      </x:c>
      <x:c r="H153" s="228" t="str">
        <x:v>https://doi.org/10.6084/m9.figshare.c.6979581.v1</x:v>
      </x:c>
      <x:c r="I153" s="228" t="str">
        <x:v>Stroop task during high-altitude exposure (EEG-fNIRS)</x:v>
      </x:c>
      <x:c r="J153" s="228" t="str">
        <x:v>80</x:v>
      </x:c>
      <x:c r="K153" s="228" t="str">
        <x:v>64</x:v>
      </x:c>
      <x:c r="L153" s="228" t="str">
        <x:v>1000 Hz</x:v>
      </x:c>
      <x:c r="M153" s="228" t="str">
        <x:v>MAT</x:v>
      </x:c>
      <x:c r="N153" s="228" t="str">
        <x:v>Raw (EEG/fNIRS/behavior .mat)</x:v>
      </x:c>
      <x:c r="O153" s="228" t="str">
        <x:v>Open (figshare c.6979581)</x:v>
      </x:c>
      <x:c r="P153" s="228" t="str">
        <x:v>EEG and fNIRS datasets based on Stroop task during two weeks of high-altitude exposure in new immigrants. Ji et al., 2024, Scientific Data 11:350.</x:v>
      </x:c>
      <x:c r="Q153" s="228" t="str">
        <x:v>04_Cognition_and_Emotion/Cognitive_Task_Recognition/Stroop_High-Altitude_EEG-fNIRS</x:v>
      </x:c>
      <x:c r="R153" s="228" t="str">
        <x:v>存在公开仓库、官方入口或稳定数据访问号</x:v>
      </x:c>
      <x:c r="S153" s="228"/>
      <x:c r="T153" s="228"/>
      <x:c r="U153" s="205"/>
    </x:row>
    <x:row r="154" ht="60" customHeight="1">
      <x:c r="A154" s="262" t="str">
        <x:v>EEG-0254</x:v>
      </x:c>
      <x:c r="B154" s="263" t="str">
        <x:v>04_Cognition_and_Emotion</x:v>
      </x:c>
      <x:c r="C154" s="263" t="str">
        <x:v>Cognitive_Task_Recognition</x:v>
      </x:c>
      <x:c r="D154" s="263" t="str">
        <x:v>The time-course of feature-based attention effects dissociated from temporal expectation and target-related processes</x:v>
      </x:c>
      <x:c r="E154" s="263"/>
      <x:c r="F154" s="263" t="str">
        <x:v>OpenNeuro:ds004043 | DOI:10.18112/openneuro.ds004043.v1.1.0</x:v>
      </x:c>
      <x:c r="G154" s="263" t="str">
        <x:v>DOWNLOAD_PUBLIC</x:v>
      </x:c>
      <x:c r="H154" s="263" t="str">
        <x:v>[OpenNeuro ds004043](https://openneuro.org/datasets/ds004043/versions/1.1.0)</x:v>
      </x:c>
      <x:c r="I154" s="263" t="str">
        <x:v>Temporal expectation</x:v>
      </x:c>
      <x:c r="J154" s="263" t="str">
        <x:v>20</x:v>
      </x:c>
      <x:c r="K154" s="263" t="str">
        <x:v>63</x:v>
      </x:c>
      <x:c r="L154" s="263" t="str">
        <x:v>1000Hz</x:v>
      </x:c>
      <x:c r="M154" s="263" t="str">
        <x:v>BIDS</x:v>
      </x:c>
      <x:c r="N154" s="263" t="str">
        <x:v>raw BIDS</x:v>
      </x:c>
      <x:c r="O154" s="263" t="str">
        <x:v>OpenNeuro public download; ds004043 v1.1.0; license CC0; use web / OpenNeuro CLI / DataLad.</x:v>
      </x:c>
      <x:c r="P154" s="263" t="str">
        <x:v>Moerel, Denise; Grootswagers, Tijl; Robinson, Amanda; Shatek, Sophia; Woolgar, Alexandra; doi:10.18112/openneuro.ds004043.v1.1.0</x:v>
      </x:c>
      <x:c r="Q154" s="263" t="str">
        <x:v>04_Cognition_and_Emotion/Cognitive_Task_Recognition/The_time-course_of_feature-based_attention_effects_dissociated_from_temporal_expectation_a</x:v>
      </x:c>
      <x:c r="R154" s="263" t="str">
        <x:v>存在公开仓库、官方入口或稳定数据访问号</x:v>
      </x:c>
      <x:c r="S154" s="263"/>
      <x:c r="T154" s="263"/>
      <x:c r="U154" s="264"/>
    </x:row>
    <x:row r="155" ht="60" customHeight="1">
      <x:c r="A155" s="239" t="str">
        <x:v>EEG-0255</x:v>
      </x:c>
      <x:c r="B155" s="228" t="str">
        <x:v>04_Cognition_and_Emotion</x:v>
      </x:c>
      <x:c r="C155" s="228" t="str">
        <x:v>Cognitive_Task_Recognition</x:v>
      </x:c>
      <x:c r="D155" s="228" t="str">
        <x:v>Visual Oddball Task (256 channels)</x:v>
      </x:c>
      <x:c r="E155" s="228"/>
      <x:c r="F155" s="228" t="str">
        <x:v>OpenNeuro:ds002578 | DOI:10.1371/journal.pbio.0020176</x:v>
      </x:c>
      <x:c r="G155" s="228" t="str">
        <x:v>DOWNLOAD_PUBLIC</x:v>
      </x:c>
      <x:c r="H155" s="228" t="str">
        <x:v>https://openneuro.org/datasets/ds002578</x:v>
      </x:c>
      <x:c r="I155" s="228" t="str">
        <x:v>visual selective attention</x:v>
      </x:c>
      <x:c r="J155" s="228" t="str">
        <x:v>2</x:v>
      </x:c>
      <x:c r="K155" s="228" t="str">
        <x:v>256</x:v>
      </x:c>
      <x:c r="L155" s="228" t="str">
        <x:v>256 Hz</x:v>
      </x:c>
      <x:c r="M155" s="228" t="str">
        <x:v>BDF</x:v>
      </x:c>
      <x:c r="N155" s="228" t="str">
        <x:v>RAW</x:v>
      </x:c>
      <x:c r="O155" s="228" t="str">
        <x:v>Fully open</x:v>
      </x:c>
      <x:c r="P155" s="228" t="str">
        <x:v>DOI： 10.1371/journal.pbio.0020176</x:v>
      </x:c>
      <x:c r="Q155" s="228" t="str">
        <x:v>04_Cognition_and_Emotion/Cognitive_Task_Recognition/Visual_Oddball_Task_256_channels</x:v>
      </x:c>
      <x:c r="R155" s="228" t="str">
        <x:v>存在公开仓库、官方入口或稳定数据访问号</x:v>
      </x:c>
      <x:c r="S155" s="228"/>
      <x:c r="T155" s="228"/>
      <x:c r="U155" s="205"/>
    </x:row>
    <x:row r="156" ht="60" customHeight="1">
      <x:c r="A156" s="262" t="str">
        <x:v>EEG-0256</x:v>
      </x:c>
      <x:c r="B156" s="263" t="str">
        <x:v>04_Cognition_and_Emotion</x:v>
      </x:c>
      <x:c r="C156" s="263" t="str">
        <x:v>Workload_Detection</x:v>
      </x:c>
      <x:c r="D156" s="263" t="str">
        <x:v>Workload (MATB-II)</x:v>
      </x:c>
      <x:c r="E156" s="263"/>
      <x:c r="F156" s="263" t="str">
        <x:v>Zenodo:4917218</x:v>
      </x:c>
      <x:c r="G156" s="263" t="str">
        <x:v>DOWNLOAD_PUBLIC</x:v>
      </x:c>
      <x:c r="H156" s="263" t="str">
        <x:v>https://zenodo.org/records/4917218</x:v>
      </x:c>
      <x:c r="I156" s="263" t="str">
        <x:v>Cross-session mental workload (3 difficulty levels)</x:v>
      </x:c>
      <x:c r="J156" s="263" t="str">
        <x:v>48</x:v>
      </x:c>
      <x:c r="K156" s="263" t="str">
        <x:v>14 (EMOTIV Epoc)</x:v>
      </x:c>
      <x:c r="L156" s="263" t="str">
        <x:v>128 Hz</x:v>
      </x:c>
      <x:c r="M156" s="263" t="str">
        <x:v>EEGLAB / BrainVision</x:v>
      </x:c>
      <x:c r="N156" s="263" t="str">
        <x:v>Raw</x:v>
      </x:c>
      <x:c r="O156" s="263" t="str">
        <x:v>Open, CC BY-SA 4.0</x:v>
      </x:c>
      <x:c r="P156" s="263" t="str">
        <x:v>Open multi-session and multi-task EEG cognitive dataset for passive BCI (COG-BCI), MATB workload subset. Hinss et al., 2023, Scientific Data 10:85.</x:v>
      </x:c>
      <x:c r="Q156" s="263" t="str">
        <x:v>04_Cognition_and_Emotion/Workload_Detection/Workload_MATB-II</x:v>
      </x:c>
      <x:c r="R156" s="263" t="str">
        <x:v>存在公开仓库、官方入口或稳定数据访问号</x:v>
      </x:c>
      <x:c r="S156" s="263"/>
      <x:c r="T156" s="263"/>
      <x:c r="U156" s="264"/>
    </x:row>
    <x:row r="157" ht="60" customHeight="1">
      <x:c r="A157" s="239" t="str">
        <x:v>EEG-0257</x:v>
      </x:c>
      <x:c r="B157" s="228" t="str">
        <x:v>04_Cognition_and_Emotion</x:v>
      </x:c>
      <x:c r="C157" s="228" t="str">
        <x:v>ERP_and_Event_Detection</x:v>
      </x:c>
      <x:c r="D157" s="228" t="str">
        <x:v>Auditory and Visual Rhythm Omission EEG</x:v>
      </x:c>
      <x:c r="E157" s="228"/>
      <x:c r="F157" s="228" t="str">
        <x:v>OpenNeuro:ds002218</x:v>
      </x:c>
      <x:c r="G157" s="228" t="str">
        <x:v>DOWNLOAD_PUBLIC</x:v>
      </x:c>
      <x:c r="H157" s="228" t="str">
        <x:v>https://openneuro.org/datasets/ds002218</x:v>
      </x:c>
      <x:c r="I157" s="228" t="str">
        <x:v>auditory/visual rhythm omission；prediction / entrainment ERP</x:v>
      </x:c>
      <x:c r="J157" s="228" t="str">
        <x:v>18</x:v>
      </x:c>
      <x:c r="K157" s="228" t="str">
        <x:v>32</x:v>
      </x:c>
      <x:c r="L157" s="228" t="str">
        <x:v>256 Hz</x:v>
      </x:c>
      <x:c r="M157" s="228" t="str">
        <x:v>.set .fdt</x:v>
      </x:c>
      <x:c r="N157" s="228" t="str">
        <x:v>preprocessed data</x:v>
      </x:c>
      <x:c r="O157" s="228" t="str">
        <x:v>公开下载：OpenNeuro ds002218 v2.0.0；CC0，可网页、OpenNeuro CLI 或 DataLad 获取。</x:v>
      </x:c>
      <x:c r="P157" s="228" t="str">
        <x:v>Daniel C. Comstock; Ramesh Balasubramaniam</x:v>
      </x:c>
      <x:c r="Q157" s="228" t="str">
        <x:v>04_Cognition_and_Emotion/ERP_and_Event_Detection/Auditory_and_Visual_Rhythm_Omission_EEG</x:v>
      </x:c>
      <x:c r="R157" s="228" t="str">
        <x:v>存在公开仓库、官方入口或稳定数据访问号</x:v>
      </x:c>
      <x:c r="S157" s="228"/>
      <x:c r="T157" s="228"/>
      <x:c r="U157" s="205"/>
    </x:row>
    <x:row r="158" ht="60" customHeight="1">
      <x:c r="A158" s="262" t="str">
        <x:v>EEG-0260</x:v>
      </x:c>
      <x:c r="B158" s="263" t="str">
        <x:v>04_Cognition_and_Emotion</x:v>
      </x:c>
      <x:c r="C158" s="263" t="str">
        <x:v>ERP_and_Event_Detection</x:v>
      </x:c>
      <x:c r="D158" s="263" t="str">
        <x:v>BNCI 005-2014 (Auditory oddball during hypnosis)</x:v>
      </x:c>
      <x:c r="E158" s="263"/>
      <x:c r="F158" s="263" t="str">
        <x:v>BNCI:BNCI 005-2014</x:v>
      </x:c>
      <x:c r="G158" s="263" t="str">
        <x:v>DOWNLOAD_APPLICATION_REQUIRED</x:v>
      </x:c>
      <x:c r="H158" s="263" t="str">
        <x:v>http://bnci-horizon-2020.eu/database/data-sets</x:v>
      </x:c>
      <x:c r="I158" s="263" t="str">
        <x:v>Auditory oddball paradigm before and after hypnotic induction</x:v>
      </x:c>
      <x:c r="J158" s="263" t="str">
        <x:v>2</x:v>
      </x:c>
      <x:c r="K158" s="263" t="str">
        <x:v>27 EEG + 4 EOG channels</x:v>
      </x:c>
      <x:c r="L158" s="263" t="str">
        <x:v>512 Hz</x:v>
      </x:c>
      <x:c r="M158" s="263" t="str">
        <x:v>MAT</x:v>
      </x:c>
      <x:c r="N158" s="263" t="str">
        <x:v>Raw EEG</x:v>
      </x:c>
      <x:c r="O158" s="263" t="str">
        <x:v>Open, CC BY-NC-ND 4.0, no application</x:v>
      </x:c>
      <x:c r="P158" s="263" t="str">
        <x:v>A. Kübler, Univ. Würzburg</x:v>
      </x:c>
      <x:c r="Q158" s="263" t="str">
        <x:v>04_Cognition_and_Emotion/ERP_and_Event_Detection/BNCI_005-2014_Auditory_oddball_during_hypnosis</x:v>
      </x:c>
      <x:c r="R158" s="263" t="str">
        <x:v>官方数据存在，但需申请、签署协议或获得权限</x:v>
      </x:c>
      <x:c r="S158" s="263"/>
      <x:c r="T158" s="263"/>
      <x:c r="U158" s="264"/>
    </x:row>
    <x:row r="159" ht="60" customHeight="1">
      <x:c r="A159" s="239" t="str">
        <x:v>EEG-0261</x:v>
      </x:c>
      <x:c r="B159" s="228" t="str">
        <x:v>04_Cognition_and_Emotion</x:v>
      </x:c>
      <x:c r="C159" s="228" t="str">
        <x:v>ERP_and_Event_Detection</x:v>
      </x:c>
      <x:c r="D159" s="228" t="str">
        <x:v>BNCI 007-2014 (Two-finger gameplay with deliberately failing controller)</x:v>
      </x:c>
      <x:c r="E159" s="228"/>
      <x:c r="F159" s="228" t="str">
        <x:v>BNCI:BNCI 007-2014</x:v>
      </x:c>
      <x:c r="G159" s="228" t="str">
        <x:v>DOWNLOAD_PUBLIC</x:v>
      </x:c>
      <x:c r="H159" s="228" t="str">
        <x:v>http://bnci-horizon-2020.eu/database/data-sets</x:v>
      </x:c>
      <x:c r="I159" s="228" t="str">
        <x:v>Two-finger gameplay key tapping to elicit ErrP</x:v>
      </x:c>
      <x:c r="J159" s="228" t="str">
        <x:v>10</x:v>
      </x:c>
      <x:c r="K159" s="228" t="str">
        <x:v>32 EEG + EOG channels</x:v>
      </x:c>
      <x:c r="L159" s="228" t="str">
        <x:v>512 Hz</x:v>
      </x:c>
      <x:c r="M159" s="228" t="str">
        <x:v>MAT</x:v>
      </x:c>
      <x:c r="N159" s="228" t="str">
        <x:v>Raw EEG</x:v>
      </x:c>
      <x:c r="O159" s="228" t="str">
        <x:v>Open Access</x:v>
      </x:c>
      <x:c r="P159" s="228" t="str">
        <x:v>van de Laar et al. 2012</x:v>
      </x:c>
      <x:c r="Q159" s="228" t="str">
        <x:v>04_Cognition_and_Emotion/ERP_and_Event_Detection/BNCI_007-2014_Two-finger_gameplay_with_deliberately_failing_controller</x:v>
      </x:c>
      <x:c r="R159" s="228" t="str">
        <x:v>存在公开仓库、官方入口或稳定数据访问号</x:v>
      </x:c>
      <x:c r="S159" s="228"/>
      <x:c r="T159" s="228"/>
      <x:c r="U159" s="205"/>
    </x:row>
    <x:row r="160" ht="60" customHeight="1">
      <x:c r="A160" s="262" t="str">
        <x:v>EEG-0265</x:v>
      </x:c>
      <x:c r="B160" s="263" t="str">
        <x:v>04_Cognition_and_Emotion</x:v>
      </x:c>
      <x:c r="C160" s="263" t="str">
        <x:v>ERP_and_Event_Detection</x:v>
      </x:c>
      <x:c r="D160" s="263" t="str">
        <x:v>Drum Trainer</x:v>
      </x:c>
      <x:c r="E160" s="263"/>
      <x:c r="F160" s="263" t="str">
        <x:v>OpenNeuro:ds004152 | DOI:10.18112/openneuro.ds004152.v1.1.2</x:v>
      </x:c>
      <x:c r="G160" s="263" t="str">
        <x:v>DOWNLOAD_PUBLIC</x:v>
      </x:c>
      <x:c r="H160" s="263" t="str">
        <x:v>https://openneuro.org/datasets/ds004152</x:v>
      </x:c>
      <x:c r="I160" s="263" t="str">
        <x:v>ERP / Motor (drumming task)</x:v>
      </x:c>
      <x:c r="J160" s="263" t="str">
        <x:v>21</x:v>
      </x:c>
      <x:c r="K160" s="263" t="str">
        <x:v>31</x:v>
      </x:c>
      <x:c r="L160" s="263" t="str">
        <x:v>1000Hz</x:v>
      </x:c>
      <x:c r="M160" s="263" t="str">
        <x:v>BIDS</x:v>
      </x:c>
      <x:c r="N160" s="263" t="str">
        <x:v>raw BIDS</x:v>
      </x:c>
      <x:c r="O160" s="263" t="str">
        <x:v>OpenNeuro public download; ds004152 v1.1.2; license CC0; use web / OpenNeuro CLI / DataLad.</x:v>
      </x:c>
      <x:c r="P160" s="263" t="str">
        <x:v>Cameron D. Hassall; Yan Yan; Laurence T. Hunt; doi:10.18112/openneuro.ds004152.v1.1.2</x:v>
      </x:c>
      <x:c r="Q160" s="263" t="str">
        <x:v>04_Cognition_and_Emotion/ERP_and_Event_Detection/Drum_Trainer</x:v>
      </x:c>
      <x:c r="R160" s="263" t="str">
        <x:v>存在公开仓库、官方入口或稳定数据访问号</x:v>
      </x:c>
      <x:c r="S160" s="263"/>
      <x:c r="T160" s="263"/>
      <x:c r="U160" s="264"/>
    </x:row>
    <x:row r="161" ht="60" customHeight="1">
      <x:c r="A161" s="239" t="str">
        <x:v>EEG-0268</x:v>
      </x:c>
      <x:c r="B161" s="228" t="str">
        <x:v>04_Cognition_and_Emotion</x:v>
      </x:c>
      <x:c r="C161" s="228" t="str">
        <x:v>ERP_and_Event_Detection</x:v>
      </x:c>
      <x:c r="D161" s="228" t="str">
        <x:v>Face processing EEG dataset for EEGLAB</x:v>
      </x:c>
      <x:c r="E161" s="228"/>
      <x:c r="F161" s="228" t="str">
        <x:v>OpenNeuro:ds002718</x:v>
      </x:c>
      <x:c r="G161" s="228" t="str">
        <x:v>DOWNLOAD_PUBLIC</x:v>
      </x:c>
      <x:c r="H161" s="228" t="str">
        <x:v>https://openneuro.org/datasets/ds002718</x:v>
      </x:c>
      <x:c r="I161" s="228" t="str">
        <x:v>face recognition / visual face processing ERP</x:v>
      </x:c>
      <x:c r="J161" s="228" t="str">
        <x:v>18</x:v>
      </x:c>
      <x:c r="K161" s="228" t="str">
        <x:v>70 EEG + 2 EOG</x:v>
      </x:c>
      <x:c r="L161" s="228" t="str">
        <x:v>250 Hz</x:v>
      </x:c>
      <x:c r="M161" s="228" t="str">
        <x:v>EEGLAB (.set) / BIDS</x:v>
      </x:c>
      <x:c r="N161" s="228" t="str">
        <x:v>preprocessed data</x:v>
      </x:c>
      <x:c r="O161" s="228" t="str">
        <x:v>公开下载：OpenNeuro ds002718 v1.1.0；CC0，可网页、OpenNeuro CLI 或 DataLad 获取。</x:v>
      </x:c>
      <x:c r="P161" s="228" t="str">
        <x:v>Daniel G. Wakeman, Richard N. Henson</x:v>
      </x:c>
      <x:c r="Q161" s="228" t="str">
        <x:v>04_Cognition_and_Emotion/ERP_and_Event_Detection/Face_processing_EEG_dataset_for_EEGLAB</x:v>
      </x:c>
      <x:c r="R161" s="228" t="str">
        <x:v>存在公开仓库、官方入口或稳定数据访问号</x:v>
      </x:c>
      <x:c r="S161" s="228"/>
      <x:c r="T161" s="228"/>
      <x:c r="U161" s="205"/>
    </x:row>
    <x:row r="162" ht="60" customHeight="1">
      <x:c r="A162" s="262" t="str">
        <x:v>EEG-0270</x:v>
      </x:c>
      <x:c r="B162" s="263" t="str">
        <x:v>04_Cognition_and_Emotion</x:v>
      </x:c>
      <x:c r="C162" s="263" t="str">
        <x:v>ERP_and_Event_Detection</x:v>
      </x:c>
      <x:c r="D162" s="263" t="str">
        <x:v>HeartBEAM Older Adult Resting</x:v>
      </x:c>
      <x:c r="E162" s="263"/>
      <x:c r="F162" s="263" t="str">
        <x:v>OpenNeuro:ds006466</x:v>
      </x:c>
      <x:c r="G162" s="263" t="str">
        <x:v>DOWNLOAD_PUBLIC</x:v>
      </x:c>
      <x:c r="H162" s="263" t="str">
        <x:v>[OpenNeuro ds006466](https://openneuro.org/datasets/ds006466/versions/1.0.1)</x:v>
      </x:c>
      <x:c r="I162" s="263" t="str">
        <x:v>resting eyes open/closed；active/passive auditory oddball</x:v>
      </x:c>
      <x:c r="J162" s="263" t="str">
        <x:v>66</x:v>
      </x:c>
      <x:c r="K162" s="263" t="str">
        <x:v>65</x:v>
      </x:c>
      <x:c r="L162" s="263" t="str">
        <x:v>1000Hz</x:v>
      </x:c>
      <x:c r="M162" s="263" t="str">
        <x:v>BIDS</x:v>
      </x:c>
      <x:c r="N162" s="263" t="str">
        <x:v>raw BIDS</x:v>
      </x:c>
      <x:c r="O162" s="263" t="str">
        <x:v>公开下载：OpenNeuro ds006466 v1.0.1；CC0，可网页、OpenNeuro CLI 或 DataLad 获取。</x:v>
      </x:c>
      <x:c r="P162" s="263" t="str">
        <x:v>Andy Jeesu Kim; Santiago Morales; Joshua Senior; Mara Mather</x:v>
      </x:c>
      <x:c r="Q162" s="263" t="str">
        <x:v>04_Cognition_and_Emotion/ERP_and_Event_Detection/HeartBEAM_Older_Adult_Resting</x:v>
      </x:c>
      <x:c r="R162" s="263" t="str">
        <x:v>存在公开仓库、官方入口或稳定数据访问号</x:v>
      </x:c>
      <x:c r="S162" s="263"/>
      <x:c r="T162" s="263"/>
      <x:c r="U162" s="264"/>
    </x:row>
    <x:row r="163" ht="60" customHeight="1">
      <x:c r="A163" s="239" t="str">
        <x:v>EEG-0281</x:v>
      </x:c>
      <x:c r="B163" s="228" t="str">
        <x:v>04_Cognition_and_Emotion</x:v>
      </x:c>
      <x:c r="C163" s="228" t="str">
        <x:v>ERP_and_Event_Detection</x:v>
      </x:c>
      <x:c r="D163" s="228" t="str">
        <x:v>OpenNeuro ds006480</x:v>
      </x:c>
      <x:c r="E163" s="228"/>
      <x:c r="F163" s="228" t="str">
        <x:v>OpenNeuro:ds006480</x:v>
      </x:c>
      <x:c r="G163" s="228" t="str">
        <x:v>DOWNLOAD_PUBLIC</x:v>
      </x:c>
      <x:c r="H163" s="228" t="str">
        <x:v>[OpenNeuro ds006480](https://openneuro.org/datasets/ds006480/versions/1.0.1)</x:v>
      </x:c>
      <x:c r="I163" s="228" t="str">
        <x:v>resting-state + auditory oddball EEG</x:v>
      </x:c>
      <x:c r="J163" s="228" t="str">
        <x:v>68</x:v>
      </x:c>
      <x:c r="K163" s="228" t="str">
        <x:v>65</x:v>
      </x:c>
      <x:c r="L163" s="228" t="str">
        <x:v>1000Hz</x:v>
      </x:c>
      <x:c r="M163" s="228" t="str">
        <x:v>BIDS</x:v>
      </x:c>
      <x:c r="N163" s="228" t="str">
        <x:v>raw BIDS</x:v>
      </x:c>
      <x:c r="O163" s="228" t="str">
        <x:v>OpenNeuro public download; CC0; use web / OpenNeuro CLI / DataLad.</x:v>
      </x:c>
      <x:c r="P163" s="228" t="str">
        <x:v>OpenNeuro ds006480; DeeperBrain; Liu et al. (2026), EEG Foundation Models Tables VIII-XIV</x:v>
      </x:c>
      <x:c r="Q163" s="228" t="str">
        <x:v>04_Cognition_and_Emotion/ERP_and_Event_Detection/OpenNeuro_ds006480</x:v>
      </x:c>
      <x:c r="R163" s="228" t="str">
        <x:v>存在公开仓库、官方入口或稳定数据访问号</x:v>
      </x:c>
      <x:c r="S163" s="228"/>
      <x:c r="T163" s="228"/>
      <x:c r="U163" s="205"/>
    </x:row>
    <x:row r="164" ht="60" customHeight="1">
      <x:c r="A164" s="262" t="str">
        <x:v>EEG-0283</x:v>
      </x:c>
      <x:c r="B164" s="263" t="str">
        <x:v>04_Cognition_and_Emotion</x:v>
      </x:c>
      <x:c r="C164" s="263" t="str">
        <x:v>ERP_and_Event_Detection</x:v>
      </x:c>
      <x:c r="D164" s="263" t="str">
        <x:v>Runabout Mobile EEG Auditory Oddball</x:v>
      </x:c>
      <x:c r="E164" s="263"/>
      <x:c r="F164" s="263" t="str">
        <x:v>OpenNeuro:ds003620</x:v>
      </x:c>
      <x:c r="G164" s="263" t="str">
        <x:v>DOWNLOAD_PUBLIC</x:v>
      </x:c>
      <x:c r="H164" s="263" t="str">
        <x:v>[OpenNeuro ds003620](https://openneuro.org/datasets/ds003620/versions/1.1.1)</x:v>
      </x:c>
      <x:c r="I164" s="263" t="str">
        <x:v>auditory oddball in laboratory and real-world mobile conditions</x:v>
      </x:c>
      <x:c r="J164" s="263" t="str">
        <x:v>44</x:v>
      </x:c>
      <x:c r="K164" s="263" t="str">
        <x:v>32</x:v>
      </x:c>
      <x:c r="L164" s="263" t="str">
        <x:v>500Hz</x:v>
      </x:c>
      <x:c r="M164" s="263" t="str">
        <x:v>BIDS</x:v>
      </x:c>
      <x:c r="N164" s="263" t="str">
        <x:v>raw BIDS</x:v>
      </x:c>
      <x:c r="O164" s="263" t="str">
        <x:v>公开下载：OpenNeuro ds003620 v1.1.1；CC0，可网页、OpenNeuro CLI 或 DataLad 获取。</x:v>
      </x:c>
      <x:c r="P164" s="263" t="str">
        <x:v>Magnus Liebherr; Andrew W. Corcoran; Phillip M. Alday; Scott Coussens; Valeria Bellan; Caitlin A. Howlett; Maarten A. Immink; Mark Kohler</x:v>
      </x:c>
      <x:c r="Q164" s="263" t="str">
        <x:v>04_Cognition_and_Emotion/ERP_and_Event_Detection/Runabout_Mobile_EEG_Auditory_Oddball</x:v>
      </x:c>
      <x:c r="R164" s="263" t="str">
        <x:v>存在公开仓库、官方入口或稳定数据访问号</x:v>
      </x:c>
      <x:c r="S164" s="263"/>
      <x:c r="T164" s="263"/>
      <x:c r="U164" s="264"/>
    </x:row>
    <x:row r="165" ht="60" customHeight="1">
      <x:c r="A165" s="239" t="str">
        <x:v>EEG-0284</x:v>
      </x:c>
      <x:c r="B165" s="228" t="str">
        <x:v>04_Cognition_and_Emotion</x:v>
      </x:c>
      <x:c r="C165" s="228" t="str">
        <x:v>ERP_and_Event_Detection</x:v>
      </x:c>
      <x:c r="D165" s="228" t="str">
        <x:v>Sosulski2019</x:v>
      </x:c>
      <x:c r="E165" s="228"/>
      <x:c r="F165" s="228" t="str">
        <x:v>DOI:10.6094/UNIFR/154576</x:v>
      </x:c>
      <x:c r="G165" s="228" t="str">
        <x:v>DOWNLOAD_PUBLIC</x:v>
      </x:c>
      <x:c r="H165" s="228" t="str">
        <x:v>[MOABB Sosulski2019](https://moabb.neurotechx.com/docs/generated/moabb.datasets.Sosulski2019.html)</x:v>
      </x:c>
      <x:c r="I165" s="228" t="str">
        <x:v>auditory oddball ERP/P300; target 1000Hz vs non-target 500Hz tones; SOA variation</x:v>
      </x:c>
      <x:c r="J165" s="228" t="str">
        <x:v>13</x:v>
      </x:c>
      <x:c r="K165" s="228" t="str">
        <x:v>31</x:v>
      </x:c>
      <x:c r="L165" s="228" t="str">
        <x:v>1000Hz</x:v>
      </x:c>
      <x:c r="M165" s="228" t="str">
        <x:v>BrainVision / MOABB-supported</x:v>
      </x:c>
      <x:c r="N165" s="228" t="str">
        <x:v>raw</x:v>
      </x:c>
      <x:c r="O165" s="228" t="str">
        <x:v>FreiDok data DOI 10.6094/UNIFR/154576 via MOABB; REVE Appendix B MOABB source; CC BY-SA 4.0.</x:v>
      </x:c>
      <x:c r="P165" s="228" t="str">
        <x:v>Sosulski et al. (2019/2021); REVE Appendix B</x:v>
      </x:c>
      <x:c r="Q165" s="228" t="str">
        <x:v>04_Cognition_and_Emotion/ERP_and_Event_Detection/Sosulski2019</x:v>
      </x:c>
      <x:c r="R165" s="228" t="str">
        <x:v>存在公开仓库、官方入口或稳定数据访问号</x:v>
      </x:c>
      <x:c r="S165" s="228"/>
      <x:c r="T165" s="228"/>
      <x:c r="U165" s="205"/>
    </x:row>
    <x:row r="166" ht="60" customHeight="1">
      <x:c r="A166" s="262" t="str">
        <x:v>EEG-0291</x:v>
      </x:c>
      <x:c r="B166" s="263" t="str">
        <x:v>05_Naturalistic_Stimulus_Decoding</x:v>
      </x:c>
      <x:c r="C166" s="263" t="str">
        <x:v>Language_and_Reading</x:v>
      </x:c>
      <x:c r="D166" s="263" t="str">
        <x:v>Bimodal Inner-Speech (EEG-fMRI)</x:v>
      </x:c>
      <x:c r="E166" s="263"/>
      <x:c r="F166" s="263" t="str">
        <x:v>OpenNeuro:ds004197</x:v>
      </x:c>
      <x:c r="G166" s="263" t="str">
        <x:v>DOWNLOAD_PUBLIC</x:v>
      </x:c>
      <x:c r="H166" s="263" t="str">
        <x:v>https://openneuro.org/datasets/ds004197</x:v>
      </x:c>
      <x:c r="I166" s="263" t="str">
        <x:v>Inner-speech recognition (bimodal EEG-fMRI)</x:v>
      </x:c>
      <x:c r="J166" s="263" t="str">
        <x:v>4</x:v>
      </x:c>
      <x:c r="K166" s="263" t="str">
        <x:v>64</x:v>
      </x:c>
      <x:c r="L166" s="263" t="str">
        <x:v>512 Hz</x:v>
      </x:c>
      <x:c r="M166" s="263" t="str">
        <x:v>Biosemi / BIDS</x:v>
      </x:c>
      <x:c r="N166" s="263" t="str">
        <x:v>Raw (BIDS; code on GitHub)</x:v>
      </x:c>
      <x:c r="O166" s="263" t="str">
        <x:v>Open (OpenNeuro ds004197), CC0</x:v>
      </x:c>
      <x:c r="P166" s="263" t="str">
        <x:v>Bimodal electroencephalography-functional magnetic resonance imaging dataset for inner-speech recognition. Simistira Liwicki et al., 2023, Scientific Data 10:378.</x:v>
      </x:c>
      <x:c r="Q166" s="263" t="str">
        <x:v>05_Naturalistic_Stimulus_Decoding/Language_and_Reading/Bimodal_Inner-Speech_EEG-fMRI</x:v>
      </x:c>
      <x:c r="R166" s="263" t="str">
        <x:v>存在公开仓库、官方入口或稳定数据访问号</x:v>
      </x:c>
      <x:c r="S166" s="263"/>
      <x:c r="T166" s="263"/>
      <x:c r="U166" s="264"/>
    </x:row>
    <x:row r="167" ht="60" customHeight="1">
      <x:c r="A167" s="239" t="str">
        <x:v>EEG-0293</x:v>
      </x:c>
      <x:c r="B167" s="228" t="str">
        <x:v>05_Naturalistic_Stimulus_Decoding</x:v>
      </x:c>
      <x:c r="C167" s="228" t="str">
        <x:v>Language_and_Reading</x:v>
      </x:c>
      <x:c r="D167" s="228" t="str">
        <x:v>Brain-Supervised Image Editing data</x:v>
      </x:c>
      <x:c r="E167" s="228"/>
      <x:c r="F167" s="228" t="str">
        <x:v>DOI:10.1109/CVPR52688.2022.01793</x:v>
      </x:c>
      <x:c r="G167" s="228" t="str">
        <x:v>DOWNLOAD_PUBLIC</x:v>
      </x:c>
      <x:c r="H167" s="228" t="str">
        <x:v>https://github.com/Cognitive-Computing-Group/Brain-Supervised-Image-Editing</x:v>
      </x:c>
      <x:c r="I167" s="228" t="str">
        <x:v>EEG-based semantic saliency recognition / brain-supervised facial image editing</x:v>
      </x:c>
      <x:c r="J167" s="228" t="str">
        <x:v>30</x:v>
      </x:c>
      <x:c r="K167" s="228" t="str">
        <x:v>32</x:v>
      </x:c>
      <x:c r="L167" s="228" t="str">
        <x:v>2000Hz</x:v>
      </x:c>
      <x:c r="M167" s="228" t="str">
        <x:v>.xz</x:v>
      </x:c>
      <x:c r="N167" s="228" t="str">
        <x:v>Processed data</x:v>
      </x:c>
      <x:c r="O167" s="228" t="str">
        <x:v>License</x:v>
      </x:c>
      <x:c r="P167" s="228" t="str">
        <x:v>https://doi.org/10.1109/CVPR52688.2022.01793</x:v>
      </x:c>
      <x:c r="Q167" s="228" t="str">
        <x:v>05_Naturalistic_Stimulus_Decoding/Language_and_Reading/Brain-Supervised_Image_Editing_data</x:v>
      </x:c>
      <x:c r="R167" s="228" t="str">
        <x:v>存在公开仓库、官方入口或稳定数据访问号</x:v>
      </x:c>
      <x:c r="S167" s="228"/>
      <x:c r="T167" s="228"/>
      <x:c r="U167" s="205"/>
    </x:row>
    <x:row r="168" ht="60" customHeight="1">
      <x:c r="A168" s="262" t="str">
        <x:v>EEG-0295</x:v>
      </x:c>
      <x:c r="B168" s="263" t="str">
        <x:v>05_Naturalistic_Stimulus_Decoding</x:v>
      </x:c>
      <x:c r="C168" s="263" t="str">
        <x:v>Language_and_Reading</x:v>
      </x:c>
      <x:c r="D168" s="263" t="str">
        <x:v>ChineseEEG</x:v>
      </x:c>
      <x:c r="E168" s="263"/>
      <x:c r="F168" s="263" t="str">
        <x:v>OpenNeuro:ds004952</x:v>
      </x:c>
      <x:c r="G168" s="263" t="str">
        <x:v>DOWNLOAD_PUBLIC</x:v>
      </x:c>
      <x:c r="H168" s="263" t="str">
        <x:v>https://openneuro.org/datasets/ds004952</x:v>
      </x:c>
      <x:c r="I168" s="263" t="str">
        <x:v>Naturalistic Chinese reading (semantic decoding)</x:v>
      </x:c>
      <x:c r="J168" s="263" t="str">
        <x:v>10 (608 sessions* paper count)</x:v>
      </x:c>
      <x:c r="K168" s="263" t="str">
        <x:v>64</x:v>
      </x:c>
      <x:c r="L168" s="263" t="str">
        <x:v>1000 Hz (preproc 256)</x:v>
      </x:c>
      <x:c r="M168" s="263" t="str">
        <x:v>EDF / BIDS</x:v>
      </x:c>
      <x:c r="N168" s="263" t="str">
        <x:v>Both (raw + derivatives incl. text embeddings)</x:v>
      </x:c>
      <x:c r="O168" s="263" t="str">
        <x:v>Open (OpenNeuro ds004952), CC0</x:v>
      </x:c>
      <x:c r="P168" s="263" t="str">
        <x:v>ChineseEEG: A Chinese linguistic corpora EEG dataset for semantic alignment and neural decoding. Mou et al., 2024, Scientific Data 11:550.</x:v>
      </x:c>
      <x:c r="Q168" s="263" t="str">
        <x:v>05_Naturalistic_Stimulus_Decoding/Language_and_Reading/ChineseEEG</x:v>
      </x:c>
      <x:c r="R168" s="263" t="str">
        <x:v>存在公开仓库、官方入口或稳定数据访问号</x:v>
      </x:c>
      <x:c r="S168" s="263"/>
      <x:c r="T168" s="263"/>
      <x:c r="U168" s="264"/>
    </x:row>
    <x:row r="169" ht="60" customHeight="1">
      <x:c r="A169" s="239" t="str">
        <x:v>EEG-0296</x:v>
      </x:c>
      <x:c r="B169" s="228" t="str">
        <x:v>05_Naturalistic_Stimulus_Decoding</x:v>
      </x:c>
      <x:c r="C169" s="228" t="str">
        <x:v>Language_and_Reading</x:v>
      </x:c>
      <x:c r="D169" s="228" t="str">
        <x:v>ChineseEEG2</x:v>
      </x:c>
      <x:c r="E169" s="228"/>
      <x:c r="F169" s="228" t="str">
        <x:v>DOI:10.57760/sciencedb.CHNNeuro.00001</x:v>
      </x:c>
      <x:c r="G169" s="228" t="str">
        <x:v>DOWNLOAD_PUBLIC</x:v>
      </x:c>
      <x:c r="H169" s="228" t="str">
        <x:v>https://doi.org/10.57760/sciencedb.CHNNeuro.00001</x:v>
      </x:c>
      <x:c r="I169" s="228" t="str">
        <x:v>Mandarin reading aloud + listening (tone classification)</x:v>
      </x:c>
      <x:c r="J169" s="228" t="str">
        <x:v>12 (4 readers + 8 listeners)</x:v>
      </x:c>
      <x:c r="K169" s="228" t="str">
        <x:v>128</x:v>
      </x:c>
      <x:c r="L169" s="228" t="str">
        <x:v>250 Hz (read) / 1000 Hz (listen)</x:v>
      </x:c>
      <x:c r="M169" s="228" t="str">
        <x:v>EGI MFF / BIDS (.fif)</x:v>
      </x:c>
      <x:c r="N169" s="228" t="str">
        <x:v>Both</x:v>
      </x:c>
      <x:c r="O169" s="228" t="str">
        <x:v>Public on Science Data Bank; open code</x:v>
      </x:c>
      <x:c r="P169" s="228" t="str">
        <x:v>An EEG dataset for multimodal semantic alignment and neural decoding during reading and listening (ChineseEEG2). Chen et al., 2025, Scientific Data.</x:v>
      </x:c>
      <x:c r="Q169" s="228" t="str">
        <x:v>05_Naturalistic_Stimulus_Decoding/Language_and_Reading/ChineseEEG2</x:v>
      </x:c>
      <x:c r="R169" s="228" t="str">
        <x:v>存在公开仓库、官方入口或稳定数据访问号</x:v>
      </x:c>
      <x:c r="S169" s="228"/>
      <x:c r="T169" s="228"/>
      <x:c r="U169" s="205"/>
    </x:row>
    <x:row r="170" ht="60" customHeight="1">
      <x:c r="A170" s="262" t="str">
        <x:v>EEG-0297</x:v>
      </x:c>
      <x:c r="B170" s="263" t="str">
        <x:v>05_Naturalistic_Stimulus_Decoding</x:v>
      </x:c>
      <x:c r="C170" s="263" t="str">
        <x:v>Imagined_Speech</x:v>
      </x:c>
      <x:c r="D170" s="263" t="str">
        <x:v>Chisco (Chinese Imagined Speech EEG Corpus)</x:v>
      </x:c>
      <x:c r="E170" s="263" t="str">
        <x:v>Chinese Imagined Speech Corpus
Chisco</x:v>
      </x:c>
      <x:c r="F170" s="263" t="str">
        <x:v>OpenNeuro:ds005170,ds006317 | DOI:10.1038/s41597-024-04114-1</x:v>
      </x:c>
      <x:c r="G170" s="263" t="str">
        <x:v>DOWNLOAD_PUBLIC</x:v>
      </x:c>
      <x:c r="H170" s="263" t="str">
        <x:v>https://openneuro.org/datasets/ds005170/</x:v>
      </x:c>
      <x:c r="I170" s="263" t="str">
        <x:v>Imagined Speech Decoding (6,000+ Chinese phrases; 39 semantic categories)</x:v>
      </x:c>
      <x:c r="J170" s="263" t="str">
        <x:v>5 (All released)</x:v>
      </x:c>
      <x:c r="K170" s="263" t="str">
        <x:v>125 EEG + 6 aux (EOG + mastoids)</x:v>
      </x:c>
      <x:c r="L170" s="263" t="str">
        <x:v>1000 Hz raw (resampled to 500 Hz)</x:v>
      </x:c>
      <x:c r="M170" s="263" t="str">
        <x:v>EEG-BIDS (OpenNeuro; raw .edf + preprocessed .fif/.pkl)</x:v>
      </x:c>
      <x:c r="N170" s="263" t="str">
        <x:v>Both (raw EDF + preprocessed FIF/PKL)</x:v>
      </x:c>
      <x:c r="O170" s="263" t="str">
        <x:v>Free (OpenNeuro ds005170, CC0 license; also GitHub: github.com/zhangzihan-is-good/Chisco)</x:v>
      </x:c>
      <x:c r="P170" s="263" t="str">
        <x:v>Zhang Z et al. (2024). Chisco: EEG-BCI dataset for imagined speech decoding. Sci Data 11:1229. doi:10.1038/s41597-024-04114-1</x:v>
      </x:c>
      <x:c r="Q170" s="263" t="str">
        <x:v>05_Naturalistic_Stimulus_Decoding/Imagined_Speech/Chisco_Chinese_Imagined_Speech_EEG_Corpus</x:v>
      </x:c>
      <x:c r="R170" s="263" t="str">
        <x:v>存在公开仓库、官方入口或稳定数据访问号</x:v>
      </x:c>
      <x:c r="S170" s="263"/>
      <x:c r="T170" s="263"/>
      <x:c r="U170" s="264"/>
    </x:row>
    <x:row r="171" ht="60" customHeight="1">
      <x:c r="A171" s="239" t="str">
        <x:v>EEG-0299</x:v>
      </x:c>
      <x:c r="B171" s="228" t="str">
        <x:v>05_Naturalistic_Stimulus_Decoding</x:v>
      </x:c>
      <x:c r="C171" s="228" t="str">
        <x:v>Language_and_Reading</x:v>
      </x:c>
      <x:c r="D171" s="228" t="str">
        <x:v>EEG data of continuous listening of music and speech</x:v>
      </x:c>
      <x:c r="E171" s="228"/>
      <x:c r="F171" s="228" t="str">
        <x:v>Zenodo:7500806 | DOI:10.1111/ejn.16265Digital</x:v>
      </x:c>
      <x:c r="G171" s="228" t="str">
        <x:v>DOWNLOAD_PUBLIC</x:v>
      </x:c>
      <x:c r="H171" s="228" t="str">
        <x:v>https://zenodo.org/records/7500806</x:v>
      </x:c>
      <x:c r="I171" s="228" t="str">
        <x:v>Auditory cognition</x:v>
      </x:c>
      <x:c r="J171" s="228" t="str">
        <x:v>18</x:v>
      </x:c>
      <x:c r="K171" s="228" t="str">
        <x:v>64</x:v>
      </x:c>
      <x:c r="L171" s="228" t="str">
        <x:v>2400 Hz</x:v>
      </x:c>
      <x:c r="M171" s="228" t="str">
        <x:v>.mat</x:v>
      </x:c>
      <x:c r="N171" s="228" t="str">
        <x:v>preprocessed data</x:v>
      </x:c>
      <x:c r="O171" s="228" t="str">
        <x:v>Fully open</x:v>
      </x:c>
      <x:c r="P171" s="228" t="str">
        <x:v>https://doi.org/10.1111/ejn.16265Digital Object Identifier (DOI)</x:v>
      </x:c>
      <x:c r="Q171" s="228" t="str">
        <x:v>05_Naturalistic_Stimulus_Decoding/Language_and_Reading/EEG_data_of_continuous_listening_of_music_and_speech</x:v>
      </x:c>
      <x:c r="R171" s="228" t="str">
        <x:v>存在公开仓库、官方入口或稳定数据访问号</x:v>
      </x:c>
      <x:c r="S171" s="228"/>
      <x:c r="T171" s="228"/>
      <x:c r="U171" s="205"/>
    </x:row>
    <x:row r="172" ht="60" customHeight="1">
      <x:c r="A172" s="262" t="str">
        <x:v>EEG-0303</x:v>
      </x:c>
      <x:c r="B172" s="263" t="str">
        <x:v>05_Naturalistic_Stimulus_Decoding</x:v>
      </x:c>
      <x:c r="C172" s="263" t="str">
        <x:v>Language_and_Reading</x:v>
      </x:c>
      <x:c r="D172" s="263" t="str">
        <x:v>LPPHK</x:v>
      </x:c>
      <x:c r="E172" s="263" t="str">
        <x:v>LePetitPrince (Le Petit Prince Hong Kong, LPPHK)</x:v>
      </x:c>
      <x:c r="F172" s="263" t="str">
        <x:v>OpenNeuro:ds004718</x:v>
      </x:c>
      <x:c r="G172" s="263" t="str">
        <x:v>DOWNLOAD_PUBLIC</x:v>
      </x:c>
      <x:c r="H172" s="263" t="str">
        <x:v>https://openneuro.org/datasets/ds004718</x:v>
      </x:c>
      <x:c r="I172" s="263" t="str">
        <x:v>Naturalistic story listening (Cantonese)</x:v>
      </x:c>
      <x:c r="J172" s="263" t="str">
        <x:v>52</x:v>
      </x:c>
      <x:c r="K172" s="263" t="str">
        <x:v>64</x:v>
      </x:c>
      <x:c r="L172" s="263" t="str">
        <x:v>1000 Hz</x:v>
      </x:c>
      <x:c r="M172" s="263" t="str">
        <x:v>EEGLAB (.set)</x:v>
      </x:c>
      <x:c r="N172" s="263" t="str">
        <x:v>Both (raw + derivatives)</x:v>
      </x:c>
      <x:c r="O172" s="263" t="str">
        <x:v>Open (OpenNeuro ds004718), CC0</x:v>
      </x:c>
      <x:c r="P172" s="263" t="str">
        <x:v>Le Petit Prince Hong Kong (LPPHK): Naturalistic fMRI and EEG data from older Cantonese speakers. Momenian et al., 2024, Scientific Data 11:992.</x:v>
      </x:c>
      <x:c r="Q172" s="263" t="str">
        <x:v>05_Naturalistic_Stimulus_Decoding/Language_and_Reading/LPPHK</x:v>
      </x:c>
      <x:c r="R172" s="263" t="str">
        <x:v>存在公开仓库、官方入口或稳定数据访问号</x:v>
      </x:c>
      <x:c r="S172" s="263"/>
      <x:c r="T172" s="263"/>
      <x:c r="U172" s="264"/>
    </x:row>
    <x:row r="173" ht="60" customHeight="1">
      <x:c r="A173" s="239" t="str">
        <x:v>EEG-0305</x:v>
      </x:c>
      <x:c r="B173" s="228" t="str">
        <x:v>05_Naturalistic_Stimulus_Decoding</x:v>
      </x:c>
      <x:c r="C173" s="228" t="str">
        <x:v>Language_and_Reading</x:v>
      </x:c>
      <x:c r="D173" s="228" t="str">
        <x:v>Music and Speech Subcortical Responses EEG</x:v>
      </x:c>
      <x:c r="E173" s="228" t="str">
        <x:v>ds004356 (Subcortical</x:v>
      </x:c>
      <x:c r="F173" s="228" t="str">
        <x:v>OpenNeuro:ds004356</x:v>
      </x:c>
      <x:c r="G173" s="228" t="str">
        <x:v>DOWNLOAD_PUBLIC</x:v>
      </x:c>
      <x:c r="H173" s="228" t="str">
        <x:v>[OpenNeuro ds004356](https://openneuro.org/datasets/ds004356/versions/2.2.1)</x:v>
      </x:c>
      <x:c r="I173" s="228" t="str">
        <x:v>music vs speech auditory responses；subcortical / ABR-like EEG</x:v>
      </x:c>
      <x:c r="J173" s="228" t="str">
        <x:v>22</x:v>
      </x:c>
      <x:c r="K173" s="228" t="str">
        <x:v>34</x:v>
      </x:c>
      <x:c r="L173" s="228" t="str">
        <x:v>10000Hz</x:v>
      </x:c>
      <x:c r="M173" s="228" t="str">
        <x:v>BIDS</x:v>
      </x:c>
      <x:c r="N173" s="228" t="str">
        <x:v>raw BIDS</x:v>
      </x:c>
      <x:c r="O173" s="228" t="str">
        <x:v>公开下载：OpenNeuro ds004356 v2.2.1；CC0，可网页、OpenNeuro CLI 或 DataLad 获取。</x:v>
      </x:c>
      <x:c r="P173" s="228" t="str">
        <x:v>Tong Shan; Madeline S. Cappelloni; Ross K. Maddox</x:v>
      </x:c>
      <x:c r="Q173" s="228" t="str">
        <x:v>05_Naturalistic_Stimulus_Decoding/Language_and_Reading/Music_and_Speech_Subcortical_Responses_EEG</x:v>
      </x:c>
      <x:c r="R173" s="228" t="str">
        <x:v>存在公开仓库、官方入口或稳定数据访问号</x:v>
      </x:c>
      <x:c r="S173" s="228"/>
      <x:c r="T173" s="228"/>
      <x:c r="U173" s="205"/>
    </x:row>
    <x:row r="174" ht="60" customHeight="1">
      <x:c r="A174" s="262" t="str">
        <x:v>EEG-0307</x:v>
      </x:c>
      <x:c r="B174" s="263" t="str">
        <x:v>05_Naturalistic_Stimulus_Decoding</x:v>
      </x:c>
      <x:c r="C174" s="263" t="str">
        <x:v>Language_and_Reading</x:v>
      </x:c>
      <x:c r="D174" s="263" t="str">
        <x:v>Silent Visual Reading EEG</x:v>
      </x:c>
      <x:c r="E174" s="263"/>
      <x:c r="F174" s="263" t="str">
        <x:v>OpenNeuro:ds007058</x:v>
      </x:c>
      <x:c r="G174" s="263" t="str">
        <x:v>DOWNLOAD_PUBLIC</x:v>
      </x:c>
      <x:c r="H174" s="263" t="str">
        <x:v>[OpenNeuro ds007058](https://openneuro.org/datasets/ds007058/versions/1.1.0)</x:v>
      </x:c>
      <x:c r="I174" s="263" t="str">
        <x:v>silent visual reading；word / sentence-level language EEG decoding</x:v>
      </x:c>
      <x:c r="J174" s="263" t="str">
        <x:v>10</x:v>
      </x:c>
      <x:c r="K174" s="263" t="str">
        <x:v>63</x:v>
      </x:c>
      <x:c r="L174" s="263" t="str">
        <x:v>200Hz</x:v>
      </x:c>
      <x:c r="M174" s="263" t="str">
        <x:v>BIDS</x:v>
      </x:c>
      <x:c r="N174" s="263" t="str">
        <x:v>raw BIDS</x:v>
      </x:c>
      <x:c r="O174" s="263" t="str">
        <x:v>公开下载：OpenNeuro ds007058 v1.1.0；可网页、OpenNeuro CLI 或 DataLad 获取。</x:v>
      </x:c>
      <x:c r="P174" s="263" t="str">
        <x:v>Jiawei Li; Adrien Doerig; Radoslaw Martin Cichy</x:v>
      </x:c>
      <x:c r="Q174" s="263" t="str">
        <x:v>05_Naturalistic_Stimulus_Decoding/Language_and_Reading/Silent_Visual_Reading_EEG</x:v>
      </x:c>
      <x:c r="R174" s="263" t="str">
        <x:v>存在公开仓库、官方入口或稳定数据访问号</x:v>
      </x:c>
      <x:c r="S174" s="263"/>
      <x:c r="T174" s="263"/>
      <x:c r="U174" s="264"/>
    </x:row>
    <x:row r="175" ht="60" customHeight="1">
      <x:c r="A175" s="239" t="str">
        <x:v>EEG-0308</x:v>
      </x:c>
      <x:c r="B175" s="228" t="str">
        <x:v>05_Naturalistic_Stimulus_Decoding</x:v>
      </x:c>
      <x:c r="C175" s="228" t="str">
        <x:v>Language_and_Reading</x:v>
      </x:c>
      <x:c r="D175" s="228" t="str">
        <x:v>Spanish Sentences Silent</x:v>
      </x:c>
      <x:c r="E175" s="228"/>
      <x:c r="F175" s="228" t="str">
        <x:v>OpenNeuro:ds004279</x:v>
      </x:c>
      <x:c r="G175" s="228" t="str">
        <x:v>DOWNLOAD_PUBLIC</x:v>
      </x:c>
      <x:c r="H175" s="228" t="str">
        <x:v>[OpenNeuro ds004279](https://openneuro.org/datasets/ds004279/versions/1.1.2)</x:v>
      </x:c>
      <x:c r="I175" s="228" t="str">
        <x:v>silent speech and perceived speech；30 Spanish sentences</x:v>
      </x:c>
      <x:c r="J175" s="228" t="str">
        <x:v>56</x:v>
      </x:c>
      <x:c r="K175" s="228" t="str">
        <x:v>64</x:v>
      </x:c>
      <x:c r="L175" s="228" t="str">
        <x:v>1000Hz</x:v>
      </x:c>
      <x:c r="M175" s="228" t="str">
        <x:v>BIDS</x:v>
      </x:c>
      <x:c r="N175" s="228" t="str">
        <x:v>raw BIDS</x:v>
      </x:c>
      <x:c r="O175" s="228" t="str">
        <x:v>公开下载：OpenNeuro ds004279 v1.1.2；CC0，可网页、OpenNeuro CLI 或 DataLad 获取。</x:v>
      </x:c>
      <x:c r="P175" s="228" t="str">
        <x:v>Carlos Valle Araya; Carolina Mendez-Orellana; Maria Rodriguez-Fernandez</x:v>
      </x:c>
      <x:c r="Q175" s="228" t="str">
        <x:v>05_Naturalistic_Stimulus_Decoding/Language_and_Reading/Spanish_Sentences_Silent</x:v>
      </x:c>
      <x:c r="R175" s="228" t="str">
        <x:v>存在公开仓库、官方入口或稳定数据访问号</x:v>
      </x:c>
      <x:c r="S175" s="228"/>
      <x:c r="T175" s="228"/>
      <x:c r="U175" s="205"/>
    </x:row>
    <x:row r="176" ht="60" customHeight="1">
      <x:c r="A176" s="262" t="str">
        <x:v>EEG-0309</x:v>
      </x:c>
      <x:c r="B176" s="263" t="str">
        <x:v>05_Naturalistic_Stimulus_Decoding</x:v>
      </x:c>
      <x:c r="C176" s="263" t="str">
        <x:v>Language_and_Reading</x:v>
      </x:c>
      <x:c r="D176" s="263" t="str">
        <x:v>Speech-Decoding (articulation)</x:v>
      </x:c>
      <x:c r="E176" s="263"/>
      <x:c r="F176" s="263" t="str">
        <x:v>OpenNeuro:ds006104</x:v>
      </x:c>
      <x:c r="G176" s="263" t="str">
        <x:v>DOWNLOAD_PUBLIC</x:v>
      </x:c>
      <x:c r="H176" s="263" t="str">
        <x:v>https://openneuro.org/datasets/ds006104</x:v>
      </x:c>
      <x:c r="I176" s="263" t="str">
        <x:v>Speech decoding (articulation/coarticulation)</x:v>
      </x:c>
      <x:c r="J176" s="263" t="str">
        <x:v>24 (Study1:8 + Study2:16)</x:v>
      </x:c>
      <x:c r="K176" s="263" t="str">
        <x:v>64 (62 processed)</x:v>
      </x:c>
      <x:c r="L176" s="263" t="str">
        <x:v>1000 Hz</x:v>
      </x:c>
      <x:c r="M176" s="263" t="str">
        <x:v>EDF / BIDS</x:v>
      </x:c>
      <x:c r="N176" s="263" t="str">
        <x:v>Raw (BIDS; code on GitHub)</x:v>
      </x:c>
      <x:c r="O176" s="263" t="str">
        <x:v>Open (OpenNeuro ds006104, CC0; OSF CC BY 4.0)</x:v>
      </x:c>
      <x:c r="P176" s="263" t="str">
        <x:v>An open-access EEG dataset for speech decoding: exploring the role of articulation and coarticulation. Moreira et al., 2025, Scientific Data 12.</x:v>
      </x:c>
      <x:c r="Q176" s="263" t="str">
        <x:v>05_Naturalistic_Stimulus_Decoding/Language_and_Reading/Speech-Decoding_articulation</x:v>
      </x:c>
      <x:c r="R176" s="263" t="str">
        <x:v>存在公开仓库、官方入口或稳定数据访问号</x:v>
      </x:c>
      <x:c r="S176" s="263"/>
      <x:c r="T176" s="263"/>
      <x:c r="U176" s="264"/>
    </x:row>
    <x:row r="177" ht="60" customHeight="1">
      <x:c r="A177" s="239" t="str">
        <x:v>EEG-0310</x:v>
      </x:c>
      <x:c r="B177" s="228" t="str">
        <x:v>05_Naturalistic_Stimulus_Decoding</x:v>
      </x:c>
      <x:c r="C177" s="228" t="str">
        <x:v>Language_and_Reading</x:v>
      </x:c>
      <x:c r="D177" s="228" t="str">
        <x:v>TMNRED</x:v>
      </x:c>
      <x:c r="E177" s="228"/>
      <x:c r="F177" s="228" t="str">
        <x:v>OpenNeuro:ds005383</x:v>
      </x:c>
      <x:c r="G177" s="228" t="str">
        <x:v>DOWNLOAD_PUBLIC</x:v>
      </x:c>
      <x:c r="H177" s="228" t="str">
        <x:v>https://openneuro.org/datasets/ds005383</x:v>
      </x:c>
      <x:c r="I177" s="228" t="str">
        <x:v>Chinese natural reading, fuzzy semantic target ID</x:v>
      </x:c>
      <x:c r="J177" s="228" t="str">
        <x:v>30</x:v>
      </x:c>
      <x:c r="K177" s="228" t="str">
        <x:v>64</x:v>
      </x:c>
      <x:c r="L177" s="228" t="str">
        <x:v>1000 Hz</x:v>
      </x:c>
      <x:c r="M177" s="228" t="str">
        <x:v>Biosemi / BIDS</x:v>
      </x:c>
      <x:c r="N177" s="228" t="str">
        <x:v>Both (raw + preprocessed)</x:v>
      </x:c>
      <x:c r="O177" s="228" t="str">
        <x:v>Open (OpenNeuro ds005383), CC BY 4.0</x:v>
      </x:c>
      <x:c r="P177" s="228" t="str">
        <x:v>TMNRED, a Chinese language EEG dataset for fuzzy semantic target identification in natural reading environments. Bai et al., 2025, Scientific Data 12:701.</x:v>
      </x:c>
      <x:c r="Q177" s="228" t="str">
        <x:v>05_Naturalistic_Stimulus_Decoding/Language_and_Reading/TMNRED</x:v>
      </x:c>
      <x:c r="R177" s="228" t="str">
        <x:v>存在公开仓库、官方入口或稳定数据访问号</x:v>
      </x:c>
      <x:c r="S177" s="228"/>
      <x:c r="T177" s="228"/>
      <x:c r="U177" s="205"/>
    </x:row>
    <x:row r="178" ht="60" customHeight="1">
      <x:c r="A178" s="262" t="str">
        <x:v>EEG-0312</x:v>
      </x:c>
      <x:c r="B178" s="263" t="str">
        <x:v>05_Naturalistic_Stimulus_Decoding</x:v>
      </x:c>
      <x:c r="C178" s="263" t="str">
        <x:v>Language_and_Reading</x:v>
      </x:c>
      <x:c r="D178" s="263" t="str">
        <x:v>ZuCo 2.0</x:v>
      </x:c>
      <x:c r="E178" s="263"/>
      <x:c r="F178" s="263" t="str">
        <x:v>DOI:10.48550/arXiv.1912.00903</x:v>
      </x:c>
      <x:c r="G178" s="263" t="str">
        <x:v>DOWNLOAD_PUBLIC</x:v>
      </x:c>
      <x:c r="H178" s="263" t="str">
        <x:v>https://osf.io/2urht/</x:v>
      </x:c>
      <x:c r="I178" s="263" t="str">
        <x:v>Normal reading vs task-specific reading；semantic relation annotation；sentence-level / word-level EEG-eye-tracking features</x:v>
      </x:c>
      <x:c r="J178" s="263" t="str">
        <x:v>18</x:v>
      </x:c>
      <x:c r="K178" s="263" t="str">
        <x:v>128</x:v>
      </x:c>
      <x:c r="L178" s="263" t="str">
        <x:v>500 Hz</x:v>
      </x:c>
      <x:c r="M178" s="263" t="str">
        <x:v>.mat</x:v>
      </x:c>
      <x:c r="N178" s="263" t="str">
        <x:v>Both</x:v>
      </x:c>
      <x:c r="O178" s="263" t="str">
        <x:v>公开下载：OSF ZuCo 2.0 (https://osf.io/2urht/)；也可从 ZuCo benchmark / ETH 页面跳转。</x:v>
      </x:c>
      <x:c r="P178" s="263" t="str">
        <x:v>DOI：10.48550/arXiv.1912.00903</x:v>
      </x:c>
      <x:c r="Q178" s="263" t="str">
        <x:v>05_Naturalistic_Stimulus_Decoding/Language_and_Reading/ZuCo_2.0</x:v>
      </x:c>
      <x:c r="R178" s="263" t="str">
        <x:v>存在公开仓库、官方入口或稳定数据访问号</x:v>
      </x:c>
      <x:c r="S178" s="263"/>
      <x:c r="T178" s="263"/>
      <x:c r="U178" s="264"/>
    </x:row>
    <x:row r="179" ht="60" customHeight="1">
      <x:c r="A179" s="239" t="str">
        <x:v>EEG-0314</x:v>
      </x:c>
      <x:c r="B179" s="228" t="str">
        <x:v>05_Naturalistic_Stimulus_Decoding</x:v>
      </x:c>
      <x:c r="C179" s="228" t="str">
        <x:v>Listening_and_Auditory_Attention</x:v>
      </x:c>
      <x:c r="D179" s="228" t="str">
        <x:v>Auditory Gamma Entrainment EEG</x:v>
      </x:c>
      <x:c r="E179" s="228"/>
      <x:c r="F179" s="228" t="str">
        <x:v>OpenNeuro:ds003800</x:v>
      </x:c>
      <x:c r="G179" s="228" t="str">
        <x:v>DOWNLOAD_PUBLIC</x:v>
      </x:c>
      <x:c r="H179" s="228" t="str">
        <x:v>[OpenNeuro ds003800](https://openneuro.org/datasets/ds003800/versions/1.0.0)</x:v>
      </x:c>
      <x:c r="I179" s="228" t="str">
        <x:v>auditory gamma entrainment；40-Hz-like stimulation；MMSE-related downstream</x:v>
      </x:c>
      <x:c r="J179" s="228" t="str">
        <x:v>13</x:v>
      </x:c>
      <x:c r="K179" s="228" t="str">
        <x:v>19</x:v>
      </x:c>
      <x:c r="L179" s="228" t="str">
        <x:v>250Hz</x:v>
      </x:c>
      <x:c r="M179" s="228" t="str">
        <x:v>BIDS</x:v>
      </x:c>
      <x:c r="N179" s="228" t="str">
        <x:v>raw BIDS</x:v>
      </x:c>
      <x:c r="O179" s="228" t="str">
        <x:v>公开下载：OpenNeuro ds003800 v1.0.0；CC0，可网页、OpenNeuro CLI 或 DataLad 获取。</x:v>
      </x:c>
      <x:c r="P179" s="228" t="str">
        <x:v>Mojtaba Lahijanian; Mohammad Javad Sedghizadeh; Hamid Aghajan; Zahra Vahabi</x:v>
      </x:c>
      <x:c r="Q179" s="228" t="str">
        <x:v>05_Naturalistic_Stimulus_Decoding/Listening_and_Auditory_Attention/Auditory_Gamma_Entrainment_EEG</x:v>
      </x:c>
      <x:c r="R179" s="228" t="str">
        <x:v>存在公开仓库、官方入口或稳定数据访问号</x:v>
      </x:c>
      <x:c r="S179" s="228"/>
      <x:c r="T179" s="228"/>
      <x:c r="U179" s="205"/>
    </x:row>
    <x:row r="180" ht="60" customHeight="1">
      <x:c r="A180" s="262" t="str">
        <x:v>EEG-0316</x:v>
      </x:c>
      <x:c r="B180" s="263" t="str">
        <x:v>05_Naturalistic_Stimulus_Decoding</x:v>
      </x:c>
      <x:c r="C180" s="263" t="str">
        <x:v>Listening_and_Auditory_Attention</x:v>
      </x:c>
      <x:c r="D180" s="263" t="str">
        <x:v>EEG, ECG and pupil data from young and older adults: rest and auditory cued reaction time tasks</x:v>
      </x:c>
      <x:c r="E180" s="263"/>
      <x:c r="F180" s="263" t="str">
        <x:v>OpenNeuro:ds003690 | DOI:10.1016/j.neurobiolaging.2018.09.028</x:v>
      </x:c>
      <x:c r="G180" s="263" t="str">
        <x:v>DOWNLOAD_PUBLIC</x:v>
      </x:c>
      <x:c r="H180" s="263" t="str">
        <x:v>[OpenNeuro ds003690](https://openneuro.org/datasets/ds003690/versions/1.0.0)</x:v>
      </x:c>
      <x:c r="I180" s="263" t="str">
        <x:v>gonogo; passive; simpleRT</x:v>
      </x:c>
      <x:c r="J180" s="263" t="str">
        <x:v>75</x:v>
      </x:c>
      <x:c r="K180" s="263" t="str">
        <x:v>61</x:v>
      </x:c>
      <x:c r="L180" s="263" t="str">
        <x:v>500Hz</x:v>
      </x:c>
      <x:c r="M180" s="263" t="str">
        <x:v>BIDS</x:v>
      </x:c>
      <x:c r="N180" s="263" t="str">
        <x:v>raw BIDS</x:v>
      </x:c>
      <x:c r="O180" s="263" t="str">
        <x:v>OpenNeuro public download; ds003690 v1.0.0; license CC0; use web / OpenNeuro CLI / DataLad.</x:v>
      </x:c>
      <x:c r="P180" s="263" t="str">
        <x:v>Maria J. Ribeiro; Miguel Castelo-Branco; 10.1016/j.neurobiolaging.2018.09.028</x:v>
      </x:c>
      <x:c r="Q180" s="263" t="str">
        <x:v>05_Naturalistic_Stimulus_Decoding/Listening_and_Auditory_Attention/EEG_ECG_and_pupil_data_from_young_and_older_adults_rest_and_auditory_cued_reaction_time_ta</x:v>
      </x:c>
      <x:c r="R180" s="263" t="str">
        <x:v>存在公开仓库、官方入口或稳定数据访问号</x:v>
      </x:c>
      <x:c r="S180" s="263"/>
      <x:c r="T180" s="263"/>
      <x:c r="U180" s="264"/>
    </x:row>
    <x:row r="181" ht="60" customHeight="1">
      <x:c r="A181" s="239" t="str">
        <x:v>EEG-0317</x:v>
      </x:c>
      <x:c r="B181" s="228" t="str">
        <x:v>05_Naturalistic_Stimulus_Decoding</x:v>
      </x:c>
      <x:c r="C181" s="228" t="str">
        <x:v>Listening_and_Auditory_Attention</x:v>
      </x:c>
      <x:c r="D181" s="228" t="str">
        <x:v>Frontal cortex hyperactivation and gamma desynchrony in Fragile X syndrome: Correlates of auditory hypersensitivity — source-localized EEG tracings</x:v>
      </x:c>
      <x:c r="E181" s="228"/>
      <x:c r="F181" s="228" t="str">
        <x:v>Zenodo:14967041 | DOI:10.3389/fnint.2019.00060</x:v>
      </x:c>
      <x:c r="G181" s="228" t="str">
        <x:v>DOWNLOAD_PUBLIC</x:v>
      </x:c>
      <x:c r="H181" s="228" t="str">
        <x:v>https://zenodo.org/records/14967041</x:v>
      </x:c>
      <x:c r="I181" s="228" t="str">
        <x:v>Auditory chirp EEG / auditory evoked potential task</x:v>
      </x:c>
      <x:c r="J181" s="228" t="str">
        <x:v>75</x:v>
      </x:c>
      <x:c r="K181" s="228" t="str">
        <x:v>128</x:v>
      </x:c>
      <x:c r="L181" s="228" t="str">
        <x:v>1000 Hz</x:v>
      </x:c>
      <x:c r="M181" s="228" t="str">
        <x:v>.set .fdt</x:v>
      </x:c>
      <x:c r="N181" s="228" t="str">
        <x:v>preprocessed data</x:v>
      </x:c>
      <x:c r="O181" s="228" t="str">
        <x:v>Fully open</x:v>
      </x:c>
      <x:c r="P181" s="228" t="str">
        <x:v>DOI: 10.3389/fnint.2019.00060</x:v>
      </x:c>
      <x:c r="Q181" s="228" t="str">
        <x:v>05_Naturalistic_Stimulus_Decoding/Listening_and_Auditory_Attention/Frontal_cortex_hyperactivation_and_gamma_desynchrony_in_Fragile_X_syndrome_Correlates_of_a</x:v>
      </x:c>
      <x:c r="R181" s="228" t="str">
        <x:v>存在公开仓库、官方入口或稳定数据访问号</x:v>
      </x:c>
      <x:c r="S181" s="228"/>
      <x:c r="T181" s="228"/>
      <x:c r="U181" s="205"/>
    </x:row>
    <x:row r="182" ht="60" customHeight="1">
      <x:c r="A182" s="262" t="str">
        <x:v>EEG-0318</x:v>
      </x:c>
      <x:c r="B182" s="263" t="str">
        <x:v>05_Naturalistic_Stimulus_Decoding</x:v>
      </x:c>
      <x:c r="C182" s="263" t="str">
        <x:v>Listening_and_Auditory_Attention</x:v>
      </x:c>
      <x:c r="D182" s="263" t="str">
        <x:v>LPP Multi-talker</x:v>
      </x:c>
      <x:c r="E182" s="263"/>
      <x:c r="F182" s="263" t="str">
        <x:v>OpenNeuro:ds005345</x:v>
      </x:c>
      <x:c r="G182" s="263" t="str">
        <x:v>DOWNLOAD_PUBLIC</x:v>
      </x:c>
      <x:c r="H182" s="263" t="str">
        <x:v>https://openneuro.org/datasets/ds005345</x:v>
      </x:c>
      <x:c r="I182" s="263" t="str">
        <x:v>Naturalistic listening (single/multi-talker; 7T fMRI + EEG)</x:v>
      </x:c>
      <x:c r="J182" s="263" t="str">
        <x:v>26</x:v>
      </x:c>
      <x:c r="K182" s="263" t="str">
        <x:v>64</x:v>
      </x:c>
      <x:c r="L182" s="263" t="str">
        <x:v>500 Hz</x:v>
      </x:c>
      <x:c r="M182" s="263" t="str">
        <x:v>BrainVision / BIDS</x:v>
      </x:c>
      <x:c r="N182" s="263" t="str">
        <x:v>Raw (+ linguistic/prosodic annotations)</x:v>
      </x:c>
      <x:c r="O182" s="263" t="str">
        <x:v>Open (OpenNeuro ds005345), CC0</x:v>
      </x:c>
      <x:c r="P182" s="263" t="str">
        <x:v>Le Petit Prince (LPP) multi-talker: Naturalistic 7T fMRI and EEG dataset. Wang et al., 2025, Scientific Data 12.</x:v>
      </x:c>
      <x:c r="Q182" s="263" t="str">
        <x:v>05_Naturalistic_Stimulus_Decoding/Listening_and_Auditory_Attention/LPP_Multi-talker</x:v>
      </x:c>
      <x:c r="R182" s="263" t="str">
        <x:v>存在公开仓库、官方入口或稳定数据访问号</x:v>
      </x:c>
      <x:c r="S182" s="263"/>
      <x:c r="T182" s="263"/>
      <x:c r="U182" s="264"/>
    </x:row>
    <x:row r="183" ht="60" customHeight="1">
      <x:c r="A183" s="239" t="str">
        <x:v>EEG-0319</x:v>
      </x:c>
      <x:c r="B183" s="228" t="str">
        <x:v>05_Naturalistic_Stimulus_Decoding</x:v>
      </x:c>
      <x:c r="C183" s="228" t="str">
        <x:v>Listening_and_Auditory_Attention</x:v>
      </x:c>
      <x:c r="D183" s="228" t="str">
        <x:v>MUSIN-G</x:v>
      </x:c>
      <x:c r="E183" s="228"/>
      <x:c r="F183" s="228" t="str">
        <x:v>OpenNeuro:ds003774</x:v>
      </x:c>
      <x:c r="G183" s="228" t="str">
        <x:v>DOWNLOAD_PUBLIC</x:v>
      </x:c>
      <x:c r="H183" s="228" t="str">
        <x:v>[OpenNeuro ds003774](https://openneuro.org/datasets/ds003774/versions/1.0.2)</x:v>
      </x:c>
      <x:c r="I183" s="228" t="str">
        <x:v>music listening；genre classification；music cognition EEG</x:v>
      </x:c>
      <x:c r="J183" s="228" t="str">
        <x:v>20</x:v>
      </x:c>
      <x:c r="K183" s="228" t="str">
        <x:v>129</x:v>
      </x:c>
      <x:c r="L183" s="228" t="str">
        <x:v>1000Hz</x:v>
      </x:c>
      <x:c r="M183" s="228" t="str">
        <x:v>BIDS</x:v>
      </x:c>
      <x:c r="N183" s="228" t="str">
        <x:v>raw BIDS</x:v>
      </x:c>
      <x:c r="O183" s="228" t="str">
        <x:v>公开下载：OpenNeuro ds003774 v1.0.2；CC0，可网页、OpenNeuro CLI 或 DataLad 获取。</x:v>
      </x:c>
      <x:c r="P183" s="228" t="str">
        <x:v>Krishna Prasad Miyapuram; Pankaj Pandey; Nashra Ahmad; Bharatesh R. Shiraguppi; Esha Sharma; Prashant Lawhatre; Dhananjay Sonawane; Derek Lomas</x:v>
      </x:c>
      <x:c r="Q183" s="228" t="str">
        <x:v>05_Naturalistic_Stimulus_Decoding/Listening_and_Auditory_Attention/MUSIN-G</x:v>
      </x:c>
      <x:c r="R183" s="228" t="str">
        <x:v>存在公开仓库、官方入口或稳定数据访问号</x:v>
      </x:c>
      <x:c r="S183" s="228"/>
      <x:c r="T183" s="228"/>
      <x:c r="U183" s="205"/>
    </x:row>
    <x:row r="184" ht="60" customHeight="1">
      <x:c r="A184" s="262" t="str">
        <x:v>EEG-0322</x:v>
      </x:c>
      <x:c r="B184" s="263" t="str">
        <x:v>05_Naturalistic_Stimulus_Decoding</x:v>
      </x:c>
      <x:c r="C184" s="263" t="str">
        <x:v>Listening_and_Auditory_Attention</x:v>
      </x:c>
      <x:c r="D184" s="263" t="str">
        <x:v>Passive Head-Mounted Display Music-Listening EEG dataset</x:v>
      </x:c>
      <x:c r="E184" s="263"/>
      <x:c r="F184" s="263" t="str">
        <x:v>Zenodo:2617085 | DOI:10.48550/arXiv.1904.00609</x:v>
      </x:c>
      <x:c r="G184" s="263" t="str">
        <x:v>DOWNLOAD_PUBLIC</x:v>
      </x:c>
      <x:c r="H184" s="263" t="str">
        <x:v>https://zenodo.org/records/2617085</x:v>
      </x:c>
      <x:c r="I184" s="263" t="str">
        <x:v>Resting-state / auditory music-listening EEG</x:v>
      </x:c>
      <x:c r="J184" s="263" t="str">
        <x:v>12</x:v>
      </x:c>
      <x:c r="K184" s="263" t="str">
        <x:v>16</x:v>
      </x:c>
      <x:c r="L184" s="263" t="str">
        <x:v>512 Hz</x:v>
      </x:c>
      <x:c r="M184" s="263" t="str">
        <x:v>.mat</x:v>
      </x:c>
      <x:c r="N184" s="263" t="str">
        <x:v>Raw</x:v>
      </x:c>
      <x:c r="O184" s="263" t="str">
        <x:v>Fully open</x:v>
      </x:c>
      <x:c r="P184" s="263" t="str">
        <x:v>DOI: 10.48550/arXiv.1904.00609</x:v>
      </x:c>
      <x:c r="Q184" s="263" t="str">
        <x:v>05_Naturalistic_Stimulus_Decoding/Listening_and_Auditory_Attention/Passive_Head-Mounted_Display_Music-Listening_EEG_dataset</x:v>
      </x:c>
      <x:c r="R184" s="263" t="str">
        <x:v>存在公开仓库、官方入口或稳定数据访问号</x:v>
      </x:c>
      <x:c r="S184" s="263"/>
      <x:c r="T184" s="263"/>
      <x:c r="U184" s="264"/>
    </x:row>
    <x:row r="185" ht="60" customHeight="1">
      <x:c r="A185" s="239" t="str">
        <x:v>EEG-0330</x:v>
      </x:c>
      <x:c r="B185" s="228" t="str">
        <x:v>05_Naturalistic_Stimulus_Decoding</x:v>
      </x:c>
      <x:c r="C185" s="228" t="str">
        <x:v>Visual_Perception</x:v>
      </x:c>
      <x:c r="D185" s="228" t="str">
        <x:v>EEGET-RSOD</x:v>
      </x:c>
      <x:c r="E185" s="228" t="str">
        <x:v>He (2025) [EEG-0546]</x:v>
      </x:c>
      <x:c r="F185" s="228" t="str">
        <x:v>Figshare:26943565 | DOI:10.6084/m9.figshare.26943565</x:v>
      </x:c>
      <x:c r="G185" s="228" t="str">
        <x:v>DOWNLOAD_PUBLIC</x:v>
      </x:c>
      <x:c r="H185" s="228" t="str">
        <x:v>https://figshare.com/articles/dataset/EEGET-RSOD/26943565 | https://doi.org/10.6084/m9.figshare.26943565</x:v>
      </x:c>
      <x:c r="I185" s="228" t="str">
        <x:v>Remote-sensing object detection (EEG + eye-tracking)；Visual: Object ID</x:v>
      </x:c>
      <x:c r="J185" s="228" t="str">
        <x:v>40 (38 retained)</x:v>
      </x:c>
      <x:c r="K185" s="228" t="str">
        <x:v>32</x:v>
      </x:c>
      <x:c r="L185" s="228" t="str">
        <x:v>500 Hz</x:v>
      </x:c>
      <x:c r="M185" s="228" t="str">
        <x:v>EDF</x:v>
      </x:c>
      <x:c r="N185" s="228" t="str">
        <x:v>Both (raw + cleaned EEG + eye-tracking)</x:v>
      </x:c>
      <x:c r="O185" s="228" t="str">
        <x:v>Open (figshare 26943565); data CC BY 4.0</x:v>
      </x:c>
      <x:c r="P185" s="228" t="str">
        <x:v>A simultaneous EEG and eye-tracking dataset for remote sensing object detection (EEGET-RSOD). He et al., 2025, Scientific Data 12:651.；B. He et al., “A simultaneous EEG and eye-tracking dataset for remote sensing object detection,” Sci. Data, vol. 12, no. 1, p. 651, 2025.</x:v>
      </x:c>
      <x:c r="Q185" s="228" t="str">
        <x:v>05_Naturalistic_Stimulus_Decoding/Visual_Perception/EEGET-RSOD</x:v>
      </x:c>
      <x:c r="R185" s="228" t="str">
        <x:v>存在公开仓库、官方入口或稳定数据访问号；2026-08-04去重：EEG-0546并入EEG-0330（Figshare article 26943565）</x:v>
      </x:c>
      <x:c r="S185" s="228"/>
      <x:c r="T185" s="228"/>
      <x:c r="U185" s="205"/>
    </x:row>
    <x:row r="186" ht="60" customHeight="1">
      <x:c r="A186" s="262" t="str">
        <x:v>EEG-0332</x:v>
      </x:c>
      <x:c r="B186" s="263" t="str">
        <x:v>05_Naturalistic_Stimulus_Decoding</x:v>
      </x:c>
      <x:c r="C186" s="263" t="str">
        <x:v>Visual_Perception</x:v>
      </x:c>
      <x:c r="D186" s="263" t="str">
        <x:v>FakeFaceEmo_data</x:v>
      </x:c>
      <x:c r="E186" s="263"/>
      <x:c r="F186" s="263" t="str">
        <x:v>OpenNeuro:ds004582 | DOI:10.18112/openneuro.ds004582.v1.0.0</x:v>
      </x:c>
      <x:c r="G186" s="263" t="str">
        <x:v>DOWNLOAD_PUBLIC</x:v>
      </x:c>
      <x:c r="H186" s="263" t="str">
        <x:v>[OpenNeuro ds004582](https://openneuro.org/datasets/ds004582/versions/1.0.0)</x:v>
      </x:c>
      <x:c r="I186" s="263" t="str">
        <x:v>FF</x:v>
      </x:c>
      <x:c r="J186" s="263" t="str">
        <x:v>73</x:v>
      </x:c>
      <x:c r="K186" s="263" t="str">
        <x:v>59</x:v>
      </x:c>
      <x:c r="L186" s="263" t="str">
        <x:v>10000Hz</x:v>
      </x:c>
      <x:c r="M186" s="263" t="str">
        <x:v>BIDS</x:v>
      </x:c>
      <x:c r="N186" s="263" t="str">
        <x:v>raw BIDS</x:v>
      </x:c>
      <x:c r="O186" s="263" t="str">
        <x:v>OpenNeuro public download; ds004582 v1.0.0; license CC0; use web / OpenNeuro CLI / DataLad.</x:v>
      </x:c>
      <x:c r="P186" s="263" t="str">
        <x:v>Makowski, Dominique; Te, An-Shu; Kirk, Stephanie; Ngoi, Zi Liang; doi:10.18112/openneuro.ds004582.v1.0.0</x:v>
      </x:c>
      <x:c r="Q186" s="263" t="str">
        <x:v>05_Naturalistic_Stimulus_Decoding/Visual_Perception/FakeFaceEmo_data</x:v>
      </x:c>
      <x:c r="R186" s="263" t="str">
        <x:v>存在公开仓库、官方入口或稳定数据访问号</x:v>
      </x:c>
      <x:c r="S186" s="263"/>
      <x:c r="T186" s="263"/>
      <x:c r="U186" s="264"/>
    </x:row>
    <x:row r="187" ht="60" customHeight="1">
      <x:c r="A187" s="239" t="str">
        <x:v>EEG-0334</x:v>
      </x:c>
      <x:c r="B187" s="228" t="str">
        <x:v>05_Naturalistic_Stimulus_Decoding</x:v>
      </x:c>
      <x:c r="C187" s="228" t="str">
        <x:v>Visual_Perception</x:v>
      </x:c>
      <x:c r="D187" s="228" t="str">
        <x:v>Infant-200-Objects</x:v>
      </x:c>
      <x:c r="E187" s="228"/>
      <x:c r="F187" s="228" t="str">
        <x:v>OpenNeuro:ds005106</x:v>
      </x:c>
      <x:c r="G187" s="228" t="str">
        <x:v>DOWNLOAD_PUBLIC</x:v>
      </x:c>
      <x:c r="H187" s="228" t="str">
        <x:v>https://openneuro.org/datasets/ds005106</x:v>
      </x:c>
      <x:c r="I187" s="228" t="str">
        <x:v>Visual perception, 200 object images (infant RSVP)</x:v>
      </x:c>
      <x:c r="J187" s="228" t="str">
        <x:v>42</x:v>
      </x:c>
      <x:c r="K187" s="228" t="str">
        <x:v>32</x:v>
      </x:c>
      <x:c r="L187" s="228" t="str">
        <x:v>500 Hz</x:v>
      </x:c>
      <x:c r="M187" s="228" t="str">
        <x:v>BrainVision / BIDS</x:v>
      </x:c>
      <x:c r="N187" s="228" t="str">
        <x:v>Both (raw + preprocessed)</x:v>
      </x:c>
      <x:c r="O187" s="228" t="str">
        <x:v>Open (OpenNeuro ds005106), CC0</x:v>
      </x:c>
      <x:c r="P187" s="228" t="str">
        <x:v>Human infant EEG recordings for 200 object images presented in rapid visual streams. Grootswagers et al., 2025, Scientific Data 12:407.</x:v>
      </x:c>
      <x:c r="Q187" s="228" t="str">
        <x:v>05_Naturalistic_Stimulus_Decoding/Visual_Perception/Infant-200-Objects</x:v>
      </x:c>
      <x:c r="R187" s="228" t="str">
        <x:v>存在公开仓库、官方入口或稳定数据访问号</x:v>
      </x:c>
      <x:c r="S187" s="228"/>
      <x:c r="T187" s="228"/>
      <x:c r="U187" s="205"/>
    </x:row>
    <x:row r="188" ht="60" customHeight="1">
      <x:c r="A188" s="262" t="str">
        <x:v>EEG-0335</x:v>
      </x:c>
      <x:c r="B188" s="263" t="str">
        <x:v>05_Naturalistic_Stimulus_Decoding</x:v>
      </x:c>
      <x:c r="C188" s="263" t="str">
        <x:v>Visual_Perception</x:v>
      </x:c>
      <x:c r="D188" s="263" t="str">
        <x:v>PerceiveImagine</x:v>
      </x:c>
      <x:c r="E188" s="263"/>
      <x:c r="F188" s="263" t="str">
        <x:v>OpenNeuro:ds005697 | DOI:10.18112/openneuro.ds005697</x:v>
      </x:c>
      <x:c r="G188" s="263" t="str">
        <x:v>DOWNLOAD_PUBLIC</x:v>
      </x:c>
      <x:c r="H188" s="263" t="str">
        <x:v>[OpenNeuro ds005697](https://openneuro.org/datasets/ds005697/versions/1.0.2)</x:v>
      </x:c>
      <x:c r="I188" s="263" t="str">
        <x:v>Perception + imagination of images (downstream cross-device zero-shot generalisation test)</x:v>
      </x:c>
      <x:c r="J188" s="263" t="str">
        <x:v>52.0</x:v>
      </x:c>
      <x:c r="K188" s="263" t="str">
        <x:v>64.0</x:v>
      </x:c>
      <x:c r="L188" s="263" t="str">
        <x:v>1000.0</x:v>
      </x:c>
      <x:c r="M188" s="263" t="str">
        <x:v>.set (EEGLAB) + .json/.tsv sidecars, BIDS (bids-matlab-tools)</x:v>
      </x:c>
      <x:c r="N188" s="263" t="str">
        <x:v>raw BIDS</x:v>
      </x:c>
      <x:c r="O188" s="263" t="str">
        <x:v>OpenNeuro public download; ds005697 v1.0.2; license CC0; use web / OpenNeuro CLI / DataLad.</x:v>
      </x:c>
      <x:c r="P188" s="263" t="str">
        <x:v>Li &amp; Fan (2024). PerceiveImagine. OpenNeuro dataset ds005697 (doi:10.18112/openneuro.ds005697).</x:v>
      </x:c>
      <x:c r="Q188" s="263" t="str">
        <x:v>05_Naturalistic_Stimulus_Decoding/Visual_Perception/PerceiveImagine</x:v>
      </x:c>
      <x:c r="R188" s="263" t="str">
        <x:v>存在公开仓库、官方入口或稳定数据访问号</x:v>
      </x:c>
      <x:c r="S188" s="263"/>
      <x:c r="T188" s="263"/>
      <x:c r="U188" s="264"/>
    </x:row>
    <x:row r="189" ht="60" customHeight="1">
      <x:c r="A189" s="239" t="str">
        <x:v>EEG-0337</x:v>
      </x:c>
      <x:c r="B189" s="228" t="str">
        <x:v>05_Naturalistic_Stimulus_Decoding</x:v>
      </x:c>
      <x:c r="C189" s="228" t="str">
        <x:v>Visual_Perception</x:v>
      </x:c>
      <x:c r="D189" s="228" t="str">
        <x:v>THINGS-EEG1</x:v>
      </x:c>
      <x:c r="E189" s="228"/>
      <x:c r="F189" s="228" t="str">
        <x:v>OpenNeuro:ds003825</x:v>
      </x:c>
      <x:c r="G189" s="228" t="str">
        <x:v>DOWNLOAD_PUBLIC</x:v>
      </x:c>
      <x:c r="H189" s="228" t="str">
        <x:v>https://openneuro.org/datasets/ds003825</x:v>
      </x:c>
      <x:c r="I189" s="228" t="str">
        <x:v>Rapid serial visual presentation (1,854 concepts)</x:v>
      </x:c>
      <x:c r="J189" s="228" t="str">
        <x:v>50</x:v>
      </x:c>
      <x:c r="K189" s="228" t="str">
        <x:v>64.0</x:v>
      </x:c>
      <x:c r="L189" s="228" t="str">
        <x:v>1000 Hz</x:v>
      </x:c>
      <x:c r="M189" s="228" t="str">
        <x:v>BrainVision / BIDS</x:v>
      </x:c>
      <x:c r="N189" s="228" t="str">
        <x:v>Both (raw + EEGLAB derivatives @250 Hz, avg ref)</x:v>
      </x:c>
      <x:c r="O189" s="228" t="str">
        <x:v>Open (OpenNeuro ds003825), CC0</x:v>
      </x:c>
      <x:c r="P189" s="228" t="str">
        <x:v>Human EEG recordings for 1,854 concepts presented in rapid serial visual presentation streams. Grootswagers et al., 2022, Scientific Data 9:3.</x:v>
      </x:c>
      <x:c r="Q189" s="228" t="str">
        <x:v>05_Naturalistic_Stimulus_Decoding/Visual_Perception/THINGS-EEG1</x:v>
      </x:c>
      <x:c r="R189" s="228" t="str">
        <x:v>存在公开仓库、官方入口或稳定数据访问号</x:v>
      </x:c>
      <x:c r="S189" s="228"/>
      <x:c r="T189" s="228"/>
      <x:c r="U189" s="205"/>
    </x:row>
    <x:row r="190" ht="60" customHeight="1">
      <x:c r="A190" s="262" t="str">
        <x:v>EEG-0339</x:v>
      </x:c>
      <x:c r="B190" s="263" t="str">
        <x:v>05_Naturalistic_Stimulus_Decoding</x:v>
      </x:c>
      <x:c r="C190" s="263" t="str">
        <x:v>Visual_Perception</x:v>
      </x:c>
      <x:c r="D190" s="263" t="str">
        <x:v>THINGS-MEG/EEG (NOD)</x:v>
      </x:c>
      <x:c r="E190" s="263"/>
      <x:c r="F190" s="263" t="str">
        <x:v>OpenNeuro:ds005811</x:v>
      </x:c>
      <x:c r="G190" s="263" t="str">
        <x:v>DOWNLOAD_PUBLIC</x:v>
      </x:c>
      <x:c r="H190" s="263" t="str">
        <x:v>https://openneuro.org/datasets/ds005811</x:v>
      </x:c>
      <x:c r="I190" s="263" t="str">
        <x:v>Object recognition in naturalistic scenes (ImageNet viewing)</x:v>
      </x:c>
      <x:c r="J190" s="263" t="str">
        <x:v>35 (19 in EEG set)</x:v>
      </x:c>
      <x:c r="K190" s="263" t="str">
        <x:v>64</x:v>
      </x:c>
      <x:c r="L190" s="263" t="str">
        <x:v>500 Hz</x:v>
      </x:c>
      <x:c r="M190" s="263" t="str">
        <x:v>EEGLAB / BIDS</x:v>
      </x:c>
      <x:c r="N190" s="263" t="str">
        <x:v>Raw (BIDS)</x:v>
      </x:c>
      <x:c r="O190" s="263" t="str">
        <x:v>Open (OpenNeuro ds005811), CC0</x:v>
      </x:c>
      <x:c r="P190" s="263" t="str">
        <x:v>A large-scale MEG and EEG dataset for object recognition in naturalistic scenes. Zhang et al., 2025, Scientific Data 12.</x:v>
      </x:c>
      <x:c r="Q190" s="263" t="str">
        <x:v>05_Naturalistic_Stimulus_Decoding/Visual_Perception/THINGS-MEG_EEG_NOD</x:v>
      </x:c>
      <x:c r="R190" s="263" t="str">
        <x:v>存在公开仓库、官方入口或稳定数据访问号</x:v>
      </x:c>
      <x:c r="S190" s="263"/>
      <x:c r="T190" s="263"/>
      <x:c r="U190" s="264"/>
    </x:row>
    <x:row r="191" ht="60" customHeight="1">
      <x:c r="A191" s="239" t="str">
        <x:v>EEG-0340</x:v>
      </x:c>
      <x:c r="B191" s="228" t="str">
        <x:v>05_Naturalistic_Stimulus_Decoding</x:v>
      </x:c>
      <x:c r="C191" s="228" t="str">
        <x:v>Visual_Perception</x:v>
      </x:c>
      <x:c r="D191" s="228" t="str">
        <x:v>ThoughtViz</x:v>
      </x:c>
      <x:c r="E191" s="228"/>
      <x:c r="F191" s="228" t="str">
        <x:v>DOI:10.1109/ICASSP49660.2025.10890059</x:v>
      </x:c>
      <x:c r="G191" s="228" t="str">
        <x:v>DOWNLOAD_PUBLIC</x:v>
      </x:c>
      <x:c r="H191" s="228" t="str">
        <x:v>https://huggingface.co/datasets/luigi-s/EEG_Image_TVIZ_ALL_subj</x:v>
      </x:c>
      <x:c r="I191" s="228" t="str">
        <x:v>EEG-to-image generation</x:v>
      </x:c>
      <x:c r="J191" s="228" t="str">
        <x:v>23</x:v>
      </x:c>
      <x:c r="K191" s="228" t="str">
        <x:v>14</x:v>
      </x:c>
      <x:c r="L191" s="228" t="str">
        <x:v>128 Hz</x:v>
      </x:c>
      <x:c r="M191" s="228" t="str">
        <x:v>HF</x:v>
      </x:c>
      <x:c r="N191" s="228" t="str">
        <x:v>Processed Data</x:v>
      </x:c>
      <x:c r="O191" s="228" t="str">
        <x:v>Fully open</x:v>
      </x:c>
      <x:c r="P191" s="228" t="str">
        <x:v>DOI: 10.1109/ICASSP49660.2025.10890059</x:v>
      </x:c>
      <x:c r="Q191" s="228" t="str">
        <x:v>05_Naturalistic_Stimulus_Decoding/Visual_Perception/ThoughtViz</x:v>
      </x:c>
      <x:c r="R191" s="228" t="str">
        <x:v>存在公开仓库、官方入口或稳定数据访问号</x:v>
      </x:c>
      <x:c r="S191" s="228"/>
      <x:c r="T191" s="228"/>
      <x:c r="U191" s="205"/>
    </x:row>
    <x:row r="192" ht="60" customHeight="1">
      <x:c r="A192" s="262" t="str">
        <x:v>EEG-0341</x:v>
      </x:c>
      <x:c r="B192" s="263" t="str">
        <x:v>05_Naturalistic_Stimulus_Decoding</x:v>
      </x:c>
      <x:c r="C192" s="263" t="str">
        <x:v>Visual_Perception</x:v>
      </x:c>
      <x:c r="D192" s="263" t="str">
        <x:v>ToonFaces</x:v>
      </x:c>
      <x:c r="E192" s="263"/>
      <x:c r="F192" s="263" t="str">
        <x:v>OpenNeuro:ds004324 | DOI:10.18112/openneuro.ds004324.v1.0.0</x:v>
      </x:c>
      <x:c r="G192" s="263" t="str">
        <x:v>DOWNLOAD_PUBLIC</x:v>
      </x:c>
      <x:c r="H192" s="263" t="str">
        <x:v>[OpenNeuro ds004324](https://openneuro.org/datasets/ds004324/versions/1.0.0)</x:v>
      </x:c>
      <x:c r="I192" s="263" t="str">
        <x:v>RSVP</x:v>
      </x:c>
      <x:c r="J192" s="263" t="str">
        <x:v>26</x:v>
      </x:c>
      <x:c r="K192" s="263" t="str">
        <x:v>28</x:v>
      </x:c>
      <x:c r="L192" s="263" t="str">
        <x:v>500Hz</x:v>
      </x:c>
      <x:c r="M192" s="263" t="str">
        <x:v>BIDS</x:v>
      </x:c>
      <x:c r="N192" s="263" t="str">
        <x:v>raw BIDS</x:v>
      </x:c>
      <x:c r="O192" s="263" t="str">
        <x:v>OpenNeuro public download; ds004324 v1.0.0; license CC0; use web / OpenNeuro CLI / DataLad.</x:v>
      </x:c>
      <x:c r="P192" s="263" t="str">
        <x:v>Luis Alberto Barradas Chacón; Selina C. Wriessnegger; doi:10.18112/openneuro.ds004324.v1.0.0</x:v>
      </x:c>
      <x:c r="Q192" s="263" t="str">
        <x:v>05_Naturalistic_Stimulus_Decoding/Visual_Perception/ToonFaces</x:v>
      </x:c>
      <x:c r="R192" s="263" t="str">
        <x:v>存在公开仓库、官方入口或稳定数据访问号</x:v>
      </x:c>
      <x:c r="S192" s="263"/>
      <x:c r="T192" s="263"/>
      <x:c r="U192" s="264"/>
    </x:row>
    <x:row r="193" ht="60" customHeight="1">
      <x:c r="A193" s="239" t="str">
        <x:v>EEG-0342</x:v>
      </x:c>
      <x:c r="B193" s="228" t="str">
        <x:v>05_Naturalistic_Stimulus_Decoding</x:v>
      </x:c>
      <x:c r="C193" s="228" t="str">
        <x:v>Visual_Perception</x:v>
      </x:c>
      <x:c r="D193" s="228" t="str">
        <x:v>Visual Touch Perception EEG</x:v>
      </x:c>
      <x:c r="E193" s="228"/>
      <x:c r="F193" s="228" t="str">
        <x:v>OpenNeuro:ds005662</x:v>
      </x:c>
      <x:c r="G193" s="228" t="str">
        <x:v>DOWNLOAD_PUBLIC</x:v>
      </x:c>
      <x:c r="H193" s="228" t="str">
        <x:v>[OpenNeuro ds005662](https://openneuro.org/datasets/ds005662/versions/2.0.1)</x:v>
      </x:c>
      <x:c r="I193" s="228" t="str">
        <x:v>viewing touch video stimuli；visual touch perception</x:v>
      </x:c>
      <x:c r="J193" s="228" t="str">
        <x:v>80</x:v>
      </x:c>
      <x:c r="K193" s="228" t="str">
        <x:v>64</x:v>
      </x:c>
      <x:c r="L193" s="228" t="str">
        <x:v>2048Hz</x:v>
      </x:c>
      <x:c r="M193" s="228" t="str">
        <x:v>BIDS</x:v>
      </x:c>
      <x:c r="N193" s="228" t="str">
        <x:v>raw BIDS</x:v>
      </x:c>
      <x:c r="O193" s="228" t="str">
        <x:v>公开下载：OpenNeuro ds005662 v2.0.1；CC0，可网页、OpenNeuro CLI 或 DataLad 获取。</x:v>
      </x:c>
      <x:c r="P193" s="228" t="str">
        <x:v>Sophie Smit; Almudena Ramírez-Haro; Manuel Varlet; Denise Moerel; Genevieve L. Quek</x:v>
      </x:c>
      <x:c r="Q193" s="228" t="str">
        <x:v>05_Naturalistic_Stimulus_Decoding/Visual_Perception/Visual_Touch_Perception_EEG</x:v>
      </x:c>
      <x:c r="R193" s="228" t="str">
        <x:v>存在公开仓库、官方入口或稳定数据访问号</x:v>
      </x:c>
      <x:c r="S193" s="228"/>
      <x:c r="T193" s="228"/>
      <x:c r="U193" s="205"/>
    </x:row>
    <x:row r="194" ht="60" customHeight="1">
      <x:c r="A194" s="262" t="str">
        <x:v>EEG-0343</x:v>
      </x:c>
      <x:c r="B194" s="263" t="str">
        <x:v>05_Naturalistic_Stimulus_Decoding</x:v>
      </x:c>
      <x:c r="C194" s="263" t="str">
        <x:v>Visual_Perception</x:v>
      </x:c>
      <x:c r="D194" s="263" t="str">
        <x:v>Visual-Object-Recognition (Xue)</x:v>
      </x:c>
      <x:c r="E194" s="263"/>
      <x:c r="F194" s="263" t="str">
        <x:v>OpenNeuro:ds005589</x:v>
      </x:c>
      <x:c r="G194" s="263" t="str">
        <x:v>DOWNLOAD_PUBLIC</x:v>
      </x:c>
      <x:c r="H194" s="263" t="str">
        <x:v>https://openneuro.org/datasets/ds005589</x:v>
      </x:c>
      <x:c r="I194" s="263" t="str">
        <x:v>Visual object recognition (RSVP + low-speed)</x:v>
      </x:c>
      <x:c r="J194" s="263" t="str">
        <x:v>32</x:v>
      </x:c>
      <x:c r="K194" s="263" t="str">
        <x:v>64 (122 in HD subset)</x:v>
      </x:c>
      <x:c r="L194" s="263" t="str">
        <x:v>1000 Hz</x:v>
      </x:c>
      <x:c r="M194" s="263" t="str">
        <x:v>Curry / BIDS</x:v>
      </x:c>
      <x:c r="N194" s="263" t="str">
        <x:v>Raw (BIDS; + preprocessing scripts)</x:v>
      </x:c>
      <x:c r="O194" s="263" t="str">
        <x:v>Open (OpenNeuro ds005589), CC0</x:v>
      </x:c>
      <x:c r="P194" s="263" t="str">
        <x:v>A multi-subject and multi-session EEG dataset for modelling human visual object recognition. Xue et al., 2025, Scientific Data 12:663.</x:v>
      </x:c>
      <x:c r="Q194" s="263" t="str">
        <x:v>05_Naturalistic_Stimulus_Decoding/Visual_Perception/Visual-Object-Recognition_Xue</x:v>
      </x:c>
      <x:c r="R194" s="263" t="str">
        <x:v>存在公开仓库、官方入口或稳定数据访问号</x:v>
      </x:c>
      <x:c r="S194" s="263"/>
      <x:c r="T194" s="263"/>
      <x:c r="U194" s="264"/>
    </x:row>
    <x:row r="195" ht="60" customHeight="1">
      <x:c r="A195" s="239" t="str">
        <x:v>EEG-0344</x:v>
      </x:c>
      <x:c r="B195" s="228" t="str">
        <x:v>05_Naturalistic_Stimulus_Decoding</x:v>
      </x:c>
      <x:c r="C195" s="228" t="str">
        <x:v>Visual_Perception</x:v>
      </x:c>
      <x:c r="D195" s="228" t="str">
        <x:v>Zhang MEG+EEG Object Recognition Dataset</x:v>
      </x:c>
      <x:c r="E195" s="228"/>
      <x:c r="F195" s="228" t="str">
        <x:v>OpenNeuro:ds000117</x:v>
      </x:c>
      <x:c r="G195" s="228" t="str">
        <x:v>DOWNLOAD_PUBLIC</x:v>
      </x:c>
      <x:c r="H195" s="228" t="str">
        <x:v>[OpenNeuro ds000117](https://openneuro.org/datasets/ds000117)</x:v>
      </x:c>
      <x:c r="I195" s="228" t="str">
        <x:v>object recognition in naturalistic scenes；visual representation；MEG-EEG neural decoding</x:v>
      </x:c>
      <x:c r="J195" s="228" t="str">
        <x:v>35</x:v>
      </x:c>
      <x:c r="K195" s="228" t="str">
        <x:v>64</x:v>
      </x:c>
      <x:c r="L195" s="228" t="str">
        <x:v>500Hz</x:v>
      </x:c>
      <x:c r="M195" s="228" t="str">
        <x:v>EEGLAB</x:v>
      </x:c>
      <x:c r="N195" s="228" t="str">
        <x:v>raw BIDS</x:v>
      </x:c>
      <x:c r="O195" s="228" t="str">
        <x:v>公开下载：OpenNeuro ds000117 (https://openneuro.org/datasets/ds000117)；该多模态 EEG / MEG / MRI 数据可用 OpenNeuro CLI / DataLad 获取。</x:v>
      </x:c>
      <x:c r="P195" s="228" t="str">
        <x:v>Zhang et al. (2025)</x:v>
      </x:c>
      <x:c r="Q195" s="228" t="str">
        <x:v>05_Naturalistic_Stimulus_Decoding/Visual_Perception/Zhang_MEG_EEG_Object_Recognition_Dataset</x:v>
      </x:c>
      <x:c r="R195" s="228" t="str">
        <x:v>存在公开仓库、官方入口或稳定数据访问号</x:v>
      </x:c>
      <x:c r="S195" s="228"/>
      <x:c r="T195" s="228"/>
      <x:c r="U195" s="205"/>
    </x:row>
    <x:row r="196" ht="60" customHeight="1">
      <x:c r="A196" s="262" t="str">
        <x:v>EEG-0353</x:v>
      </x:c>
      <x:c r="B196" s="263" t="str">
        <x:v>06_Motor_and_Interaction</x:v>
      </x:c>
      <x:c r="C196" s="263" t="str">
        <x:v>Motor_Imagery_and_Execution</x:v>
      </x:c>
      <x:c r="D196" s="263" t="str">
        <x:v>BCI Competition IV 2b (BNCI 004-2014)</x:v>
      </x:c>
      <x:c r="E196" s="263" t="str">
        <x:v>BCI Competition IV Data set 2b
BCIC-IV-2b
BNCI 004-2014 (Two class motor imagery)</x:v>
      </x:c>
      <x:c r="F196" s="263" t="str">
        <x:v>BNCI:004-2014,BNCI 004-2014</x:v>
      </x:c>
      <x:c r="G196" s="263" t="str">
        <x:v>DOWNLOAD_PUBLIC</x:v>
      </x:c>
      <x:c r="H196" s="263" t="str">
        <x:v>http://bnci-horizon-2020.eu/database/data-sets</x:v>
      </x:c>
      <x:c r="I196" s="263" t="str">
        <x:v>2-class motor imagery (left/right hand) [pre-training]</x:v>
      </x:c>
      <x:c r="J196" s="263" t="str">
        <x:v>9.0</x:v>
      </x:c>
      <x:c r="K196" s="263" t="str">
        <x:v>3.0</x:v>
      </x:c>
      <x:c r="L196" s="263" t="str">
        <x:v>250.0</x:v>
      </x:c>
      <x:c r="M196" s="263" t="str">
        <x:v>GDF</x:v>
      </x:c>
      <x:c r="N196" s="263" t="str">
        <x:v>raw</x:v>
      </x:c>
      <x:c r="O196" s="263" t="str">
        <x:v>Open access via BNCI; license not re-verified</x:v>
      </x:c>
      <x:c r="P196" s="263" t="str">
        <x:v>Tangermann et al. (2012). Review of the BCI Competition IV. Frontiers in Neuroscience, 6, 55.</x:v>
      </x:c>
      <x:c r="Q196" s="263" t="str">
        <x:v>06_Motor_and_Interaction/Motor_Imagery_and_Execution/BCI_Competition_IV_2b_BNCI_004-2014</x:v>
      </x:c>
      <x:c r="R196" s="263" t="str">
        <x:v>存在公开仓库、官方入口或稳定数据访问号</x:v>
      </x:c>
      <x:c r="S196" s="263"/>
      <x:c r="T196" s="263"/>
      <x:c r="U196" s="264"/>
    </x:row>
    <x:row r="197" ht="60" customHeight="1">
      <x:c r="A197" s="239" t="str">
        <x:v>EEG-0355</x:v>
      </x:c>
      <x:c r="B197" s="228" t="str">
        <x:v>06_Motor_and_Interaction</x:v>
      </x:c>
      <x:c r="C197" s="228" t="str">
        <x:v>Motor_Imagery_and_Execution</x:v>
      </x:c>
      <x:c r="D197" s="228" t="str">
        <x:v>BCIC-IV-2a</x:v>
      </x:c>
      <x:c r="E197" s="228" t="str">
        <x:v>BCI Competition IV Data set 2a
BCI Competition IV-2a
BCI-IV-2a
BNCI 001-2014 (Four class motor imagery)</x:v>
      </x:c>
      <x:c r="F197" s="228" t="str">
        <x:v>BNCI:001-2014,BNCI 001-2014</x:v>
      </x:c>
      <x:c r="G197" s="228" t="str">
        <x:v>DOWNLOAD_APPLICATION_REQUIRED</x:v>
      </x:c>
      <x:c r="H197" s="228" t="str">
        <x:v>[BNCI Horizon 001-2014](https://bnci-horizon-2020.eu/database/data-sets/001-2014)</x:v>
      </x:c>
      <x:c r="I197" s="228" t="str">
        <x:v>4-class motor imagery: left hand, right hand, both feet, tongue</x:v>
      </x:c>
      <x:c r="J197" s="228" t="str">
        <x:v>9</x:v>
      </x:c>
      <x:c r="K197" s="228" t="str">
        <x:v>22</x:v>
      </x:c>
      <x:c r="L197" s="228" t="str">
        <x:v>250Hz</x:v>
      </x:c>
      <x:c r="M197" s="228" t="str">
        <x:v>GDF</x:v>
      </x:c>
      <x:c r="N197" s="228" t="str">
        <x:v>raw / competition data</x:v>
      </x:c>
      <x:c r="O197" s="228" t="str">
        <x:v>公开下载：BNCI Horizon 001-2014 (https://bnci-horizon-2020.eu/database/data-sets/001-2014)；也可用 MOABB `BNCI2014_001` 自动下载。</x:v>
      </x:c>
      <x:c r="P197" s="228" t="str">
        <x:v>Brunner et al. (2008)</x:v>
      </x:c>
      <x:c r="Q197" s="228" t="str">
        <x:v>06_Motor_and_Interaction/Motor_Imagery_and_Execution/BCIC-IV-2a</x:v>
      </x:c>
      <x:c r="R197" s="228" t="str">
        <x:v>官方数据存在，但需申请、签署协议或获得权限</x:v>
      </x:c>
      <x:c r="S197" s="228"/>
      <x:c r="T197" s="228"/>
      <x:c r="U197" s="205"/>
    </x:row>
    <x:row r="198" ht="60" customHeight="1">
      <x:c r="A198" s="262" t="str">
        <x:v>EEG-0357</x:v>
      </x:c>
      <x:c r="B198" s="263" t="str">
        <x:v>06_Motor_and_Interaction</x:v>
      </x:c>
      <x:c r="C198" s="263" t="str">
        <x:v>Motor_Imagery_and_Execution</x:v>
      </x:c>
      <x:c r="D198" s="263" t="str">
        <x:v>Beamforming in Noninvasive Brain–Computer Interfaces Dataset</x:v>
      </x:c>
      <x:c r="E198" s="263" t="str">
        <x:v>Munich Motor Imagery Dataset (Grosse-Wentrup 2009) [EEG-0406]</x:v>
      </x:c>
      <x:c r="F198" s="263" t="str">
        <x:v>Zenodo:1217449 | DOI:10.1109/TBME.2008.2009768 | DOI:10.5281/zenodo.1217449</x:v>
      </x:c>
      <x:c r="G198" s="263" t="str">
        <x:v>DOWNLOAD_PUBLIC</x:v>
      </x:c>
      <x:c r="H198" s="263" t="str">
        <x:v>https://zenodo.org/records/1217449 | https://doi.org/10.5281/zenodo.1217449</x:v>
      </x:c>
      <x:c r="I198" s="263" t="str">
        <x:v>Two-class EEG motor imagery BCI；Motor imagery</x:v>
      </x:c>
      <x:c r="J198" s="263" t="str">
        <x:v>10</x:v>
      </x:c>
      <x:c r="K198" s="263" t="str">
        <x:v>128</x:v>
      </x:c>
      <x:c r="L198" s="263" t="str">
        <x:v>500 Hz</x:v>
      </x:c>
      <x:c r="M198" s="263" t="str">
        <x:v>.set</x:v>
      </x:c>
      <x:c r="N198" s="263" t="str">
        <x:v>RAW</x:v>
      </x:c>
      <x:c r="O198" s="263" t="str">
        <x:v>Fully open</x:v>
      </x:c>
      <x:c r="P198" s="263" t="str">
        <x:v>DOI: 10.1109/TBME.2008.2009768；Grosse-Wentrup et al. 2009</x:v>
      </x:c>
      <x:c r="Q198" s="263" t="str">
        <x:v>06_Motor_and_Interaction/Motor_Imagery_and_Execution/Beamforming_in_Noninvasive_Brain_Computer_Interfaces_Dataset</x:v>
      </x:c>
      <x:c r="R198" s="263" t="str">
        <x:v>存在公开仓库、官方入口或稳定数据访问号；2026-08-04去重：EEG-0406并入EEG-0357（Zenodo record 1217449）</x:v>
      </x:c>
      <x:c r="S198" s="263"/>
      <x:c r="T198" s="263"/>
      <x:c r="U198" s="264"/>
    </x:row>
    <x:row r="199" ht="60" customHeight="1">
      <x:c r="A199" s="239" t="str">
        <x:v>EEG-0360</x:v>
      </x:c>
      <x:c r="B199" s="228" t="str">
        <x:v>06_Motor_and_Interaction</x:v>
      </x:c>
      <x:c r="C199" s="228" t="str">
        <x:v>Motor_Imagery_and_Execution</x:v>
      </x:c>
      <x:c r="D199" s="228" t="str">
        <x:v>BNCI 001-2015 (Autocalibration</x:v>
      </x:c>
      <x:c r="E199" s="228" t="str">
        <x:v>BNCI2015001 [EEG-0368]</x:v>
      </x:c>
      <x:c r="F199" s="228" t="str">
        <x:v>BNCI:BNCI 001-2015</x:v>
      </x:c>
      <x:c r="G199" s="228" t="str">
        <x:v>DOWNLOAD_PUBLIC</x:v>
      </x:c>
      <x:c r="H199" s="228" t="str">
        <x:v>http://bnci-horizon-2020.eu/database/data-sets | [BNCI Horizon Data sets](https://bnci-horizon-2020.eu/database/data-sets)</x:v>
      </x:c>
      <x:c r="I199" s="228" t="str">
        <x:v>Two-class motor imagery with adaptive online feedback；Motor imagery (2-class); cross-session and cross-subject SFUDA classification with artificial label shifts</x:v>
      </x:c>
      <x:c r="J199" s="228" t="str">
        <x:v>12</x:v>
      </x:c>
      <x:c r="K199" s="228" t="str">
        <x:v>13 EEG channels</x:v>
      </x:c>
      <x:c r="L199" s="228" t="str">
        <x:v>512 Hz</x:v>
      </x:c>
      <x:c r="M199" s="228" t="str">
        <x:v>MAT</x:v>
      </x:c>
      <x:c r="N199" s="228" t="str">
        <x:v>Raw EEG</x:v>
      </x:c>
      <x:c r="O199" s="228" t="str">
        <x:v>Open, CC BY-NC-ND 4.0, no application</x:v>
      </x:c>
      <x:c r="P199" s="228" t="str">
        <x:v>Faller et al., TU Graz；Faller et al. (2012). Autocalibration and Recurrent Adaptation: Towards a Plug and Play Online ERD-BCI. IEEE Transactions on Neural Systems and Rehabilitation Engineering, 20(3), 313-319.</x:v>
      </x:c>
      <x:c r="Q199" s="228" t="str">
        <x:v>06_Motor_and_Interaction/Motor_Imagery_and_Execution/BNCI_001-2015_Autocalibration</x:v>
      </x:c>
      <x:c r="R199" s="228" t="str">
        <x:v>官方数据存在，但需申请、签署协议或获得权限；2026-08-04去重：EEG-0368并入EEG-0360（BNCI 001-2015 / BNCI2015001）</x:v>
      </x:c>
      <x:c r="S199" s="228"/>
      <x:c r="T199" s="228"/>
      <x:c r="U199" s="205"/>
    </x:row>
    <x:row r="200" ht="60" customHeight="1">
      <x:c r="A200" s="262" t="str">
        <x:v>EEG-0361</x:v>
      </x:c>
      <x:c r="B200" s="263" t="str">
        <x:v>06_Motor_and_Interaction</x:v>
      </x:c>
      <x:c r="C200" s="263" t="str">
        <x:v>Motor_Imagery_and_Execution</x:v>
      </x:c>
      <x:c r="D200" s="263" t="str">
        <x:v>BNCI 001-2016 (ECoG-based 1-class motor imagery BCI)</x:v>
      </x:c>
      <x:c r="E200" s="263"/>
      <x:c r="F200" s="263" t="str">
        <x:v>BNCI:BNCI 001-2016</x:v>
      </x:c>
      <x:c r="G200" s="263" t="str">
        <x:v>DOWNLOAD_PUBLIC</x:v>
      </x:c>
      <x:c r="H200" s="263" t="str">
        <x:v>http://bnci-horizon-2020.eu/database/data-sets</x:v>
      </x:c>
      <x:c r="I200" s="263" t="str">
        <x:v>ECoG cursor control using motor imagery vs rest</x:v>
      </x:c>
      <x:c r="J200" s="263" t="str">
        <x:v>10</x:v>
      </x:c>
      <x:c r="K200" s="263" t="str">
        <x:v>Subdural ECoG grid electrodes</x:v>
      </x:c>
      <x:c r="L200" s="263" t="str">
        <x:v>1000 Hz</x:v>
      </x:c>
      <x:c r="M200" s="263" t="str">
        <x:v>MAT</x:v>
      </x:c>
      <x:c r="N200" s="263" t="str">
        <x:v>Raw ECoG</x:v>
      </x:c>
      <x:c r="O200" s="263" t="str">
        <x:v>Open Access</x:v>
      </x:c>
      <x:c r="P200" s="263" t="str">
        <x:v>Wander et al. 2016</x:v>
      </x:c>
      <x:c r="Q200" s="263" t="str">
        <x:v>06_Motor_and_Interaction/Motor_Imagery_and_Execution/BNCI_001-2016_ECoG-based_1-class_motor_imagery_BCI</x:v>
      </x:c>
      <x:c r="R200" s="263" t="str">
        <x:v>存在公开仓库、官方入口或稳定数据访问号</x:v>
      </x:c>
      <x:c r="S200" s="263"/>
      <x:c r="T200" s="263"/>
      <x:c r="U200" s="264"/>
    </x:row>
    <x:row r="201" ht="60" customHeight="1">
      <x:c r="A201" s="239" t="str">
        <x:v>EEG-0362</x:v>
      </x:c>
      <x:c r="B201" s="228" t="str">
        <x:v>06_Motor_and_Interaction</x:v>
      </x:c>
      <x:c r="C201" s="228" t="str">
        <x:v>Motor_Imagery_and_Execution</x:v>
      </x:c>
      <x:c r="D201" s="228" t="str">
        <x:v>BNCI 001-2020 (Reach &amp; grasp, gel</x:v>
      </x:c>
      <x:c r="E201" s="228" t="str">
        <x:v>BNCI2020_001 [EEG-0370]</x:v>
      </x:c>
      <x:c r="F201" s="228" t="str">
        <x:v>BNCI:BNCI 001-2020</x:v>
      </x:c>
      <x:c r="G201" s="228" t="str">
        <x:v>DOWNLOAD_PUBLIC</x:v>
      </x:c>
      <x:c r="H201" s="228" t="str">
        <x:v>http://bnci-horizon-2020.eu/database/data-sets | [BNCI Horizon Data sets](https://bnci-horizon-2020.eu/database/data-sets)</x:v>
      </x:c>
      <x:c r="I201" s="228" t="str">
        <x:v>Decoding reach-and-grasp to compare gel, water, and dry electrodes；3-class upper-limb motor imagery</x:v>
      </x:c>
      <x:c r="J201" s="228" t="str">
        <x:v>45</x:v>
      </x:c>
      <x:c r="K201" s="228" t="str">
        <x:v>58 EEG (Gel), 32 EEG (Water), 11 EEG (Dry) + 6 EOG channels</x:v>
      </x:c>
      <x:c r="L201" s="228" t="str">
        <x:v>256 Hz</x:v>
      </x:c>
      <x:c r="M201" s="228" t="str">
        <x:v>MAT</x:v>
      </x:c>
      <x:c r="N201" s="228" t="str">
        <x:v>Raw EEG + EOG</x:v>
      </x:c>
      <x:c r="O201" s="228" t="str">
        <x:v>Open, CC BY 4.0, no application</x:v>
      </x:c>
      <x:c r="P201" s="228" t="str">
        <x:v>Schwarz et al. 2020；未给出</x:v>
      </x:c>
      <x:c r="Q201" s="228" t="str">
        <x:v>06_Motor_and_Interaction/Motor_Imagery_and_Execution/BNCI_001-2020_Reach_grasp_gel</x:v>
      </x:c>
      <x:c r="R201" s="228" t="str">
        <x:v>官方数据存在，但需申请、签署协议或获得权限；2026-08-04去重：EEG-0370并入EEG-0362（BNCI 001-2020 / BNCI2020_001）</x:v>
      </x:c>
      <x:c r="S201" s="228"/>
      <x:c r="T201" s="228"/>
      <x:c r="U201" s="205"/>
    </x:row>
    <x:row r="202" ht="60" customHeight="1">
      <x:c r="A202" s="262" t="str">
        <x:v>EEG-0363</x:v>
      </x:c>
      <x:c r="B202" s="263" t="str">
        <x:v>06_Motor_and_Interaction</x:v>
      </x:c>
      <x:c r="C202" s="263" t="str">
        <x:v>Motor_Imagery_and_Execution</x:v>
      </x:c>
      <x:c r="D202" s="263" t="str">
        <x:v>BNCI 002-2014 (Two-class MI)</x:v>
      </x:c>
      <x:c r="E202" s="263" t="str">
        <x:v>BNCI2014002 [EEG-0367]</x:v>
      </x:c>
      <x:c r="F202" s="263" t="str">
        <x:v>BNCI:BNCI 002-2014</x:v>
      </x:c>
      <x:c r="G202" s="263" t="str">
        <x:v>DOWNLOAD_PUBLIC</x:v>
      </x:c>
      <x:c r="H202" s="263" t="str">
        <x:v>http://bnci-horizon-2020.eu/database/data-sets | [BNCI Horizon Data sets](https://bnci-horizon-2020.eu/database/data-sets)</x:v>
      </x:c>
      <x:c r="I202" s="263" t="str">
        <x:v>Two-class motor imagery (right hand, feet)；Motor imagery decoding (2-class: right hand / both feet) - test-time adaptation</x:v>
      </x:c>
      <x:c r="J202" s="263" t="str">
        <x:v>14</x:v>
      </x:c>
      <x:c r="K202" s="263" t="str">
        <x:v>15 EEG channels</x:v>
      </x:c>
      <x:c r="L202" s="263" t="str">
        <x:v>512 Hz</x:v>
      </x:c>
      <x:c r="M202" s="263" t="str">
        <x:v>MAT</x:v>
      </x:c>
      <x:c r="N202" s="263" t="str">
        <x:v>Raw EEG</x:v>
      </x:c>
      <x:c r="O202" s="263" t="str">
        <x:v>Open, CC BY-ND 4.0, no application</x:v>
      </x:c>
      <x:c r="P202" s="263" t="str">
        <x:v>Steyrl et al., TU Graz；Steyrl et al. (2016). Random forests in non-invasive sensorimotor rhythm brain-computer interfaces: a practical and convenient non-linear classifier. Biomedical Engineering / Biomedizinische Technik, 61(1), 77-86.</x:v>
      </x:c>
      <x:c r="Q202" s="263" t="str">
        <x:v>06_Motor_and_Interaction/Motor_Imagery_and_Execution/BNCI_002-2014_Two-class_MI</x:v>
      </x:c>
      <x:c r="R202" s="263" t="str">
        <x:v>官方数据存在，但需申请、签署协议或获得权限；2026-08-04去重：EEG-0367并入EEG-0363（BNCI 002-2014 / BNCI2014002）</x:v>
      </x:c>
      <x:c r="S202" s="263"/>
      <x:c r="T202" s="263"/>
      <x:c r="U202" s="264"/>
    </x:row>
    <x:row r="203" ht="60" customHeight="1">
      <x:c r="A203" s="239" t="str">
        <x:v>EEG-0364</x:v>
      </x:c>
      <x:c r="B203" s="228" t="str">
        <x:v>06_Motor_and_Interaction</x:v>
      </x:c>
      <x:c r="C203" s="228" t="str">
        <x:v>Motor_Imagery_and_Execution</x:v>
      </x:c>
      <x:c r="D203" s="228" t="str">
        <x:v>BNCI 002-2015 (Neuroprosthetic control of an EEG</x:v>
      </x:c>
      <x:c r="E203" s="228"/>
      <x:c r="F203" s="228" t="str">
        <x:v>BNCI:BNCI 002-2015</x:v>
      </x:c>
      <x:c r="G203" s="228" t="str">
        <x:v>DOWNLOAD_PUBLIC</x:v>
      </x:c>
      <x:c r="H203" s="228" t="str">
        <x:v>http://bnci-horizon-2020.eu/database/data-sets</x:v>
      </x:c>
      <x:c r="I203" s="228" t="str">
        <x:v>Hybrid EEG/EOG BCI right-hand exoskeleton control</x:v>
      </x:c>
      <x:c r="J203" s="228" t="str">
        <x:v>1</x:v>
      </x:c>
      <x:c r="K203" s="228" t="str">
        <x:v>5 EEG + 2 EOG channels</x:v>
      </x:c>
      <x:c r="L203" s="228" t="str">
        <x:v>200 Hz</x:v>
      </x:c>
      <x:c r="M203" s="228" t="str">
        <x:v>MAT</x:v>
      </x:c>
      <x:c r="N203" s="228" t="str">
        <x:v>Raw EEG + EOG</x:v>
      </x:c>
      <x:c r="O203" s="228" t="str">
        <x:v>Open Access</x:v>
      </x:c>
      <x:c r="P203" s="228" t="str">
        <x:v>Vansteensel et al. 2010</x:v>
      </x:c>
      <x:c r="Q203" s="228" t="str">
        <x:v>06_Motor_and_Interaction/Motor_Imagery_and_Execution/BNCI_002-2015_Neuroprosthetic_control_of_an_EEG</x:v>
      </x:c>
      <x:c r="R203" s="228" t="str">
        <x:v>存在公开仓库、官方入口或稳定数据访问号</x:v>
      </x:c>
      <x:c r="S203" s="228"/>
      <x:c r="T203" s="228"/>
      <x:c r="U203" s="205"/>
    </x:row>
    <x:row r="204" ht="60" customHeight="1">
      <x:c r="A204" s="262" t="str">
        <x:v>EEG-0377</x:v>
      </x:c>
      <x:c r="B204" s="263" t="str">
        <x:v>06_Motor_and_Interaction</x:v>
      </x:c>
      <x:c r="C204" s="263" t="str">
        <x:v>Motor_Imagery_and_Execution</x:v>
      </x:c>
      <x:c r="D204" s="263" t="str">
        <x:v>Cho-MI</x:v>
      </x:c>
      <x:c r="E204" s="263"/>
      <x:c r="F204" s="263" t="str">
        <x:v>DOI:10.5524/100295</x:v>
      </x:c>
      <x:c r="G204" s="263" t="str">
        <x:v>DOWNLOAD_APPLICATION_REQUIRED</x:v>
      </x:c>
      <x:c r="H204" s="263" t="str">
        <x:v>http://gigadb.org/dataset/100295</x:v>
      </x:c>
      <x:c r="I204" s="263" t="str">
        <x:v>Motor imagery (left/right hand)</x:v>
      </x:c>
      <x:c r="J204" s="263" t="str">
        <x:v>52</x:v>
      </x:c>
      <x:c r="K204" s="263" t="str">
        <x:v>64 (+4 EMG)</x:v>
      </x:c>
      <x:c r="L204" s="263" t="str">
        <x:v>512 Hz</x:v>
      </x:c>
      <x:c r="M204" s="263" t="str">
        <x:v>MAT</x:v>
      </x:c>
      <x:c r="N204" s="263" t="str">
        <x:v>Both (raw + trial indices/ERD-ERS validation)</x:v>
      </x:c>
      <x:c r="O204" s="263" t="str">
        <x:v>Open (GigaDB, DOI 10.5524/100295), no application</x:v>
      </x:c>
      <x:c r="P204" s="263" t="str">
        <x:v>EEG datasets for motor imagery brain-computer interface. Cho et al., 2017, GigaScience 6(7):gix034.</x:v>
      </x:c>
      <x:c r="Q204" s="263" t="str">
        <x:v>06_Motor_and_Interaction/Motor_Imagery_and_Execution/Cho-MI</x:v>
      </x:c>
      <x:c r="R204" s="263" t="str">
        <x:v>官方数据存在，但需申请、签署协议或获得权限</x:v>
      </x:c>
      <x:c r="S204" s="263"/>
      <x:c r="T204" s="263"/>
      <x:c r="U204" s="264"/>
    </x:row>
    <x:row r="205" ht="60" customHeight="1">
      <x:c r="A205" s="239" t="str">
        <x:v>EEG-0378</x:v>
      </x:c>
      <x:c r="B205" s="228" t="str">
        <x:v>06_Motor_and_Interaction</x:v>
      </x:c>
      <x:c r="C205" s="228" t="str">
        <x:v>Motor_Imagery_and_Execution</x:v>
      </x:c>
      <x:c r="D205" s="228" t="str">
        <x:v>Continuous-SMR-BCI</x:v>
      </x:c>
      <x:c r="E205" s="228"/>
      <x:c r="F205" s="228" t="str">
        <x:v>Figshare:13123148 | DOI:10.6084/m9.figshare.13123148</x:v>
      </x:c>
      <x:c r="G205" s="228" t="str">
        <x:v>DOWNLOAD_PUBLIC</x:v>
      </x:c>
      <x:c r="H205" s="228" t="str">
        <x:v>https://doi.org/10.6084/m9.figshare.13123148</x:v>
      </x:c>
      <x:c r="I205" s="228" t="str">
        <x:v>Continuous sensorimotor-rhythm BCI learning</x:v>
      </x:c>
      <x:c r="J205" s="228" t="str">
        <x:v>62</x:v>
      </x:c>
      <x:c r="K205" s="228" t="str">
        <x:v>64</x:v>
      </x:c>
      <x:c r="L205" s="228" t="str">
        <x:v>1000 Hz</x:v>
      </x:c>
      <x:c r="M205" s="228" t="str">
        <x:v>MAT</x:v>
      </x:c>
      <x:c r="N205" s="228" t="str">
        <x:v>Raw (+ behavioral success rates)</x:v>
      </x:c>
      <x:c r="O205" s="228" t="str">
        <x:v>Open (figshare 13123148), CC BY 4.0</x:v>
      </x:c>
      <x:c r="P205" s="228" t="str">
        <x:v>Continuous sensorimotor rhythm based brain computer interface learning in a large population. Stieger et al., 2021, Scientific Data 8:98.</x:v>
      </x:c>
      <x:c r="Q205" s="228" t="str">
        <x:v>06_Motor_and_Interaction/Motor_Imagery_and_Execution/Continuous-SMR-BCI</x:v>
      </x:c>
      <x:c r="R205" s="228" t="str">
        <x:v>存在公开仓库、官方入口或稳定数据访问号</x:v>
      </x:c>
      <x:c r="S205" s="228"/>
      <x:c r="T205" s="228"/>
      <x:c r="U205" s="205"/>
    </x:row>
    <x:row r="206" ht="60" customHeight="1">
      <x:c r="A206" s="262" t="str">
        <x:v>EEG-0379</x:v>
      </x:c>
      <x:c r="B206" s="263" t="str">
        <x:v>06_Motor_and_Interaction</x:v>
      </x:c>
      <x:c r="C206" s="263" t="str">
        <x:v>Motor_Imagery_and_Execution</x:v>
      </x:c>
      <x:c r="D206" s="263" t="str">
        <x:v>Cross-Environment Multi-Paradigm Motor Imagery EEG</x:v>
      </x:c>
      <x:c r="E206" s="263"/>
      <x:c r="F206" s="263" t="str">
        <x:v>OpenNeuro:ds007221</x:v>
      </x:c>
      <x:c r="G206" s="263" t="str">
        <x:v>DOWNLOAD_PUBLIC</x:v>
      </x:c>
      <x:c r="H206" s="263" t="str">
        <x:v>[OpenNeuro ds007221](https://openneuro.org/datasets/ds007221/versions/1.0.1)</x:v>
      </x:c>
      <x:c r="I206" s="263" t="str">
        <x:v>Graz MI, hybrid online, SSMVEP-MI, hybrid paradigm；cross-environment BCI</x:v>
      </x:c>
      <x:c r="J206" s="263" t="str">
        <x:v>84</x:v>
      </x:c>
      <x:c r="K206" s="263" t="str">
        <x:v>64</x:v>
      </x:c>
      <x:c r="L206" s="263" t="str">
        <x:v>1000Hz</x:v>
      </x:c>
      <x:c r="M206" s="263" t="str">
        <x:v>BIDS</x:v>
      </x:c>
      <x:c r="N206" s="263" t="str">
        <x:v>raw BIDS</x:v>
      </x:c>
      <x:c r="O206" s="263" t="str">
        <x:v>公开下载：OpenNeuro ds007221 v1.0.1；CC0，可网页、OpenNeuro CLI 或 DataLad 获取。</x:v>
      </x:c>
      <x:c r="P206" s="263" t="str">
        <x:v>Sun Xinwei; Wang Kun; Pan Lincong; Cao Yupei; Meng Lin</x:v>
      </x:c>
      <x:c r="Q206" s="263" t="str">
        <x:v>06_Motor_and_Interaction/Motor_Imagery_and_Execution/Cross-Environment_Multi-Paradigm_Motor_Imagery_EEG</x:v>
      </x:c>
      <x:c r="R206" s="263" t="str">
        <x:v>存在公开仓库、官方入口或稳定数据访问号</x:v>
      </x:c>
      <x:c r="S206" s="263"/>
      <x:c r="T206" s="263"/>
      <x:c r="U206" s="264"/>
    </x:row>
    <x:row r="207" ht="60" customHeight="1">
      <x:c r="A207" s="239" t="str">
        <x:v>EEG-0380</x:v>
      </x:c>
      <x:c r="B207" s="228" t="str">
        <x:v>06_Motor_and_Interaction</x:v>
      </x:c>
      <x:c r="C207" s="228" t="str">
        <x:v>Motor_Imagery_and_Execution</x:v>
      </x:c>
      <x:c r="D207" s="228" t="str">
        <x:v>Dreyer-MI</x:v>
      </x:c>
      <x:c r="E207" s="228" t="str">
        <x:v>Large MI BCI User-Profile Database (Dreyer 2023)</x:v>
      </x:c>
      <x:c r="F207" s="228" t="str">
        <x:v>Zenodo:8089820 | DOI:10.5281/zenodo.8089820</x:v>
      </x:c>
      <x:c r="G207" s="228" t="str">
        <x:v>DOWNLOAD_PUBLIC</x:v>
      </x:c>
      <x:c r="H207" s="228" t="str">
        <x:v>https://doi.org/10.5281/zenodo.8089820</x:v>
      </x:c>
      <x:c r="I207" s="228" t="str">
        <x:v>Motor imagery (left/right hand) + user profiles</x:v>
      </x:c>
      <x:c r="J207" s="228" t="str">
        <x:v>87 (A60/B21/C6)</x:v>
      </x:c>
      <x:c r="K207" s="228" t="str">
        <x:v>27 (+EOG)</x:v>
      </x:c>
      <x:c r="L207" s="228" t="str">
        <x:v>512 Hz</x:v>
      </x:c>
      <x:c r="M207" s="228" t="str">
        <x:v>GDF (OpenViBE)</x:v>
      </x:c>
      <x:c r="N207" s="228" t="str">
        <x:v>Raw (+ questionnaires/performance)</x:v>
      </x:c>
      <x:c r="O207" s="228" t="str">
        <x:v>Open (Zenodo 8089820), CC-BY 4.0</x:v>
      </x:c>
      <x:c r="P207" s="228" t="str">
        <x:v>A large EEG database with users' profile information for motor imagery brain-computer interface research. Dreyer et al., 2023, Scientific Data 10:580.</x:v>
      </x:c>
      <x:c r="Q207" s="228" t="str">
        <x:v>06_Motor_and_Interaction/Motor_Imagery_and_Execution/Dreyer-MI</x:v>
      </x:c>
      <x:c r="R207" s="228" t="str">
        <x:v>存在公开仓库、官方入口或稳定数据访问号</x:v>
      </x:c>
      <x:c r="S207" s="228"/>
      <x:c r="T207" s="228"/>
      <x:c r="U207" s="205"/>
    </x:row>
    <x:row r="208" ht="60" customHeight="1">
      <x:c r="A208" s="262" t="str">
        <x:v>EEG-0383</x:v>
      </x:c>
      <x:c r="B208" s="263" t="str">
        <x:v>06_Motor_and_Interaction</x:v>
      </x:c>
      <x:c r="C208" s="263" t="str">
        <x:v>Motor_Imagery_and_Execution</x:v>
      </x:c>
      <x:c r="D208" s="263" t="str">
        <x:v>EEGMMIDB (PhysioNet-MI)</x:v>
      </x:c>
      <x:c r="E208" s="263"/>
      <x:c r="F208" s="263" t="str">
        <x:v>PhysioNet:eegmmidb</x:v>
      </x:c>
      <x:c r="G208" s="263" t="str">
        <x:v>DOWNLOAD_APPLICATION_REQUIRED</x:v>
      </x:c>
      <x:c r="H208" s="263" t="str">
        <x:v>https://physionet.org/content/eegmmidb/1.0.0/</x:v>
      </x:c>
      <x:c r="I208" s="263" t="str">
        <x:v>Motor imagery &amp; movement (OmniEEG: MI 4-class)</x:v>
      </x:c>
      <x:c r="J208" s="263" t="str">
        <x:v>109</x:v>
      </x:c>
      <x:c r="K208" s="263" t="str">
        <x:v>64</x:v>
      </x:c>
      <x:c r="L208" s="263" t="str">
        <x:v>160 Hz</x:v>
      </x:c>
      <x:c r="M208" s="263" t="str">
        <x:v>EDF+</x:v>
      </x:c>
      <x:c r="N208" s="263" t="str">
        <x:v>Raw</x:v>
      </x:c>
      <x:c r="O208" s="263" t="str">
        <x:v>Open, ODC-By v1.0, no application</x:v>
      </x:c>
      <x:c r="P208" s="263" t="str">
        <x:v>BCI2000: a general-purpose brain-computer interface (BCI) system. Schalk et al., 2004, IEEE TBME 51(6):1034-1043 (PhysioNet EEG Motor Movement/Imagery Database).</x:v>
      </x:c>
      <x:c r="Q208" s="263" t="str">
        <x:v>06_Motor_and_Interaction/Motor_Imagery_and_Execution/EEGMMIDB_PhysioNet-MI</x:v>
      </x:c>
      <x:c r="R208" s="263" t="str">
        <x:v>官方数据存在，但需申请、签署协议或获得权限</x:v>
      </x:c>
      <x:c r="S208" s="263"/>
      <x:c r="T208" s="263"/>
      <x:c r="U208" s="264"/>
    </x:row>
    <x:row r="209" ht="60" customHeight="1">
      <x:c r="A209" s="239" t="str">
        <x:v>EEG-0385</x:v>
      </x:c>
      <x:c r="B209" s="228" t="str">
        <x:v>06_Motor_and_Interaction</x:v>
      </x:c>
      <x:c r="C209" s="228" t="str">
        <x:v>Motor_Imagery_and_Execution</x:v>
      </x:c>
      <x:c r="D209" s="228" t="str">
        <x:v>free walking study</x:v>
      </x:c>
      <x:c r="E209" s="228"/>
      <x:c r="F209" s="228" t="str">
        <x:v>OpenNeuro:ds003039 | DOI:10.1111/ejn.14965</x:v>
      </x:c>
      <x:c r="G209" s="228" t="str">
        <x:v>DOWNLOAD_PUBLIC</x:v>
      </x:c>
      <x:c r="H209" s="228" t="str">
        <x:v>https://openneuro.org/datasets/ds003039</x:v>
      </x:c>
      <x:c r="I209" s="228" t="str">
        <x:v>outdoor mobile EEG gait task</x:v>
      </x:c>
      <x:c r="J209" s="228" t="str">
        <x:v>19</x:v>
      </x:c>
      <x:c r="K209" s="228" t="str">
        <x:v>64</x:v>
      </x:c>
      <x:c r="L209" s="228" t="str">
        <x:v>500 Hz</x:v>
      </x:c>
      <x:c r="M209" s="228" t="str">
        <x:v>BIDS</x:v>
      </x:c>
      <x:c r="N209" s="228" t="str">
        <x:v>RAW</x:v>
      </x:c>
      <x:c r="O209" s="228" t="str">
        <x:v>Fully open</x:v>
      </x:c>
      <x:c r="P209" s="228" t="str">
        <x:v>DOI: 10.1111/ejn.14965</x:v>
      </x:c>
      <x:c r="Q209" s="228" t="str">
        <x:v>06_Motor_and_Interaction/Motor_Imagery_and_Execution/free_walking_study</x:v>
      </x:c>
      <x:c r="R209" s="228" t="str">
        <x:v>存在公开仓库、官方入口或稳定数据访问号</x:v>
      </x:c>
      <x:c r="S209" s="228"/>
      <x:c r="T209" s="228"/>
      <x:c r="U209" s="205"/>
    </x:row>
    <x:row r="210" ht="60" customHeight="1">
      <x:c r="A210" s="262" t="str">
        <x:v>EEG-0386</x:v>
      </x:c>
      <x:c r="B210" s="263" t="str">
        <x:v>06_Motor_and_Interaction</x:v>
      </x:c>
      <x:c r="C210" s="263" t="str">
        <x:v>Motor_Imagery_and_Execution</x:v>
      </x:c>
      <x:c r="D210" s="263" t="str">
        <x:v>Grasp-and-Lift EEG Challenge</x:v>
      </x:c>
      <x:c r="E210" s="263"/>
      <x:c r="F210" s="263" t="str">
        <x:v>Figshare:988376</x:v>
      </x:c>
      <x:c r="G210" s="263" t="str">
        <x:v>DOWNLOAD_PUBLIC</x:v>
      </x:c>
      <x:c r="H210" s="263" t="str">
        <x:v>[Kaggle Grasp-and-Lift EEG Detection](https://www.kaggle.com/competitions/grasp-and-lift-eeg-detection/data)</x:v>
      </x:c>
      <x:c r="I210" s="263" t="str">
        <x:v>Grasp-and-lift event detection；常见事件包括 HandStart, FirstDigitTouch, BothStartLoadPhase, LiftOff, Replace, BothReleased</x:v>
      </x:c>
      <x:c r="J210" s="263" t="str">
        <x:v>12.0</x:v>
      </x:c>
      <x:c r="K210" s="263" t="str">
        <x:v>32.0</x:v>
      </x:c>
      <x:c r="L210" s="263" t="str">
        <x:v>500.0</x:v>
      </x:c>
      <x:c r="M210" s="263" t="str">
        <x:v>CSV (*_data.csv EEG + *_events.csv labels, Kaggle competition distribution)</x:v>
      </x:c>
      <x:c r="N210" s="263" t="str">
        <x:v>both</x:v>
      </x:c>
      <x:c r="O210" s="263"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210" s="263" t="str">
        <x:v>Luciw, Jarocka &amp; Edin (2014). Multi-channel EEG Recordings During 3,936 Grasp and Lift Trials with Varying Weight and Friction. Scientific Data, 1, 140047.</x:v>
      </x:c>
      <x:c r="Q210" s="263" t="str">
        <x:v>06_Motor_and_Interaction/Motor_Imagery_and_Execution/Grasp-and-Lift_EEG_Challenge</x:v>
      </x:c>
      <x:c r="R210" s="263" t="str">
        <x:v>存在公开仓库、官方入口或稳定数据访问号</x:v>
      </x:c>
      <x:c r="S210" s="263"/>
      <x:c r="T210" s="263"/>
      <x:c r="U210" s="264"/>
    </x:row>
    <x:row r="211" ht="60" customHeight="1">
      <x:c r="A211" s="239" t="str">
        <x:v>EEG-0390</x:v>
      </x:c>
      <x:c r="B211" s="228" t="str">
        <x:v>06_Motor_and_Interaction</x:v>
      </x:c>
      <x:c r="C211" s="228" t="str">
        <x:v>Motor_Imagery_and_Execution</x:v>
      </x:c>
      <x:c r="D211" s="228" t="str">
        <x:v>HD-SMR-BMI</x:v>
      </x:c>
      <x:c r="E211" s="228"/>
      <x:c r="F211" s="228" t="str">
        <x:v>OpenNeuro:ds004444</x:v>
      </x:c>
      <x:c r="G211" s="228" t="str">
        <x:v>DOWNLOAD_PUBLIC</x:v>
      </x:c>
      <x:c r="H211" s="228" t="str">
        <x:v>https://openneuro.org/datasets/ds004444</x:v>
      </x:c>
      <x:c r="I211" s="228" t="str">
        <x:v>Sensorimotor-rhythm BMI neurofeedback</x:v>
      </x:c>
      <x:c r="J211" s="228" t="str">
        <x:v>30 (138 across set*)</x:v>
      </x:c>
      <x:c r="K211" s="228" t="str">
        <x:v>128</x:v>
      </x:c>
      <x:c r="L211" s="228" t="str">
        <x:v>1000 Hz</x:v>
      </x:c>
      <x:c r="M211" s="228" t="str">
        <x:v>EDF / BIDS</x:v>
      </x:c>
      <x:c r="N211" s="228" t="str">
        <x:v>Raw (EDF, EEG-BIDS)</x:v>
      </x:c>
      <x:c r="O211" s="228" t="str">
        <x:v>Open (OpenNeuro ds004444), CC0</x:v>
      </x:c>
      <x:c r="P211" s="228" t="str">
        <x:v>High-density scalp electroencephalogram dataset during sensorimotor rhythm-based brain-computer interfacing. Iwama et al., 2023, Scientific Data 10:385.</x:v>
      </x:c>
      <x:c r="Q211" s="228" t="str">
        <x:v>06_Motor_and_Interaction/Motor_Imagery_and_Execution/HD-SMR-BMI</x:v>
      </x:c>
      <x:c r="R211" s="228" t="str">
        <x:v>存在公开仓库、官方入口或稳定数据访问号</x:v>
      </x:c>
      <x:c r="S211" s="228"/>
      <x:c r="T211" s="228"/>
      <x:c r="U211" s="205"/>
    </x:row>
    <x:row r="212" ht="60" customHeight="1">
      <x:c r="A212" s="262" t="str">
        <x:v>EEG-0392</x:v>
      </x:c>
      <x:c r="B212" s="263" t="str">
        <x:v>06_Motor_and_Interaction</x:v>
      </x:c>
      <x:c r="C212" s="263" t="str">
        <x:v>Motor_Imagery_and_Execution</x:v>
      </x:c>
      <x:c r="D212" s="263" t="str">
        <x:v>Kaya-MI</x:v>
      </x:c>
      <x:c r="E212" s="263" t="str">
        <x:v>Kaya (2017)</x:v>
      </x:c>
      <x:c r="F212" s="263" t="str">
        <x:v>Figshare:3917698 | DOI:10.6084/m9.figshare.c.3917698.v1</x:v>
      </x:c>
      <x:c r="G212" s="263" t="str">
        <x:v>DOWNLOAD_APPLICATION_REQUIRED</x:v>
      </x:c>
      <x:c r="H212" s="263" t="str">
        <x:v>https://figshare.com/collections/A_large_electroencephalographic_motor_imagery_dataset.../3917698</x:v>
      </x:c>
      <x:c r="I212" s="263" t="str">
        <x:v>Motor imagery (large 4-paradigm MI)</x:v>
      </x:c>
      <x:c r="J212" s="263" t="str">
        <x:v>13</x:v>
      </x:c>
      <x:c r="K212" s="263" t="str">
        <x:v>22 (19 EEG +A1/A2)</x:v>
      </x:c>
      <x:c r="L212" s="263" t="str">
        <x:v>1000/200 Hz</x:v>
      </x:c>
      <x:c r="M212" s="263" t="str">
        <x:v>MAT</x:v>
      </x:c>
      <x:c r="N212" s="263" t="str">
        <x:v>Both (raw ASCII-&gt;MAT + scripts)</x:v>
      </x:c>
      <x:c r="O212" s="263" t="str">
        <x:v>Open (figshare c.3917698), CC-BY</x:v>
      </x:c>
      <x:c r="P212" s="263" t="str">
        <x:v>A large electroencephalographic motor imagery dataset for electroencephalographic brain computer interfaces. Kaya et al., 2018, Scientific Data 5:180211.</x:v>
      </x:c>
      <x:c r="Q212" s="263" t="str">
        <x:v>06_Motor_and_Interaction/Motor_Imagery_and_Execution/Kaya-MI</x:v>
      </x:c>
      <x:c r="R212" s="263" t="str">
        <x:v>官方数据存在，但需申请、签署协议或获得权限</x:v>
      </x:c>
      <x:c r="S212" s="263"/>
      <x:c r="T212" s="263"/>
      <x:c r="U212" s="264"/>
    </x:row>
    <x:row r="213" ht="60" customHeight="1">
      <x:c r="A213" s="239" t="str">
        <x:v>EEG-0398</x:v>
      </x:c>
      <x:c r="B213" s="228" t="str">
        <x:v>06_Motor_and_Interaction</x:v>
      </x:c>
      <x:c r="C213" s="228" t="str">
        <x:v>Motor_Imagery_and_Execution</x:v>
      </x:c>
      <x:c r="D213" s="228" t="str">
        <x:v>Ma (2020)</x:v>
      </x:c>
      <x:c r="E213" s="228" t="str">
        <x:v>Ma2020</x:v>
      </x:c>
      <x:c r="F213" s="228" t="str">
        <x:v>BNCI:020-0535 | DOI:10.1038/s41597-020-0535-2,10.7910/DVN/RBN3XG</x:v>
      </x:c>
      <x:c r="G213" s="228" t="str">
        <x:v>DOWNLOAD_APPLICATION_REQUIRED</x:v>
      </x:c>
      <x:c r="H213" s="228" t="str">
        <x:v>https://doi.org/10.7910/DVN/RBN3XG</x:v>
      </x:c>
      <x:c r="I213" s="228" t="str">
        <x:v>MI</x:v>
      </x:c>
      <x:c r="J213" s="228" t="str">
        <x:v>25</x:v>
      </x:c>
      <x:c r="K213" s="228" t="str">
        <x:v>62 EEG data channels; 65 total electrodes, HEO/VEO/M2 dropped</x:v>
      </x:c>
      <x:c r="L213" s="228" t="str">
        <x:v>1000</x:v>
      </x:c>
      <x:c r="M213" s="228" t="str">
        <x:v>CNT(Neuroscan)</x:v>
      </x:c>
      <x:c r="N213" s="228" t="str">
        <x:v>All three: raw, preprocessed, and ready-to-use trial data + preprocessing code</x:v>
      </x:c>
      <x:c r="O213" s="228" t="str">
        <x:v>Open access on Harvard Dataverse, no application needed</x:v>
      </x:c>
      <x:c r="P213" s="228" t="str">
        <x:v>X. Ma, S. Qiu, C. Du, J. Xing, and H. He, "Multi-channel EEG recording during motor imagery of different joints from the same limb,"DOI: 10.1038/s41597-020-0535-2</x:v>
      </x:c>
      <x:c r="Q213" s="228" t="str">
        <x:v>06_Motor_and_Interaction/Motor_Imagery_and_Execution/Ma_2020</x:v>
      </x:c>
      <x:c r="R213" s="228" t="str">
        <x:v>官方数据存在，但需申请、签署协议或获得权限</x:v>
      </x:c>
      <x:c r="S213" s="228"/>
      <x:c r="T213" s="228"/>
      <x:c r="U213" s="205"/>
    </x:row>
    <x:row r="214" ht="60" customHeight="1">
      <x:c r="A214" s="262" t="str">
        <x:v>EEG-0399</x:v>
      </x:c>
      <x:c r="B214" s="263" t="str">
        <x:v>06_Motor_and_Interaction</x:v>
      </x:c>
      <x:c r="C214" s="263" t="str">
        <x:v>Motor_Imagery_and_Execution</x:v>
      </x:c>
      <x:c r="D214" s="263" t="str">
        <x:v>MI-Joints (EEG-fNIRS)</x:v>
      </x:c>
      <x:c r="E214" s="263" t="str">
        <x:v>Yi (2025) [EEG-0417]</x:v>
      </x:c>
      <x:c r="F214" s="263" t="str">
        <x:v>Figshare:24123303 | DOI:10.6084/m9.figshare.24123303 | DOI:10.1038/s41597-025-05286-0</x:v>
      </x:c>
      <x:c r="G214" s="263" t="str">
        <x:v>DOWNLOAD_PUBLIC</x:v>
      </x:c>
      <x:c r="H214" s="263" t="str">
        <x:v>https://doi.org/10.6084/m9.figshare.24123303 | https://figshare.com/articles/dataset/Data/24123303</x:v>
      </x:c>
      <x:c r="I214" s="263" t="str">
        <x:v>Motor imagery of multi-type joints (unilateral upper limb)；MI</x:v>
      </x:c>
      <x:c r="J214" s="263" t="str">
        <x:v>18</x:v>
      </x:c>
      <x:c r="K214" s="263" t="str">
        <x:v>64 (60 scalp)</x:v>
      </x:c>
      <x:c r="L214" s="263" t="str">
        <x:v>1000 Hz</x:v>
      </x:c>
      <x:c r="M214" s="263" t="str">
        <x:v>Neuroscan (.cnt)</x:v>
      </x:c>
      <x:c r="N214" s="263" t="str">
        <x:v>Both (raw .cnt/.wl + preprocessed .mat)</x:v>
      </x:c>
      <x:c r="O214" s="263" t="str">
        <x:v>Open (figshare 24123303); data CC BY 4.0</x:v>
      </x:c>
      <x:c r="P214" s="263"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214" s="263" t="str">
        <x:v>06_Motor_and_Interaction/Motor_Imagery_and_Execution/MI-Joints_EEG-fNIRS</x:v>
      </x:c>
      <x:c r="R214" s="263" t="str">
        <x:v>存在公开仓库、官方入口或稳定数据访问号；2026-08-04去重：EEG-0417并入EEG-0399（Figshare article 24123303）</x:v>
      </x:c>
      <x:c r="S214" s="263"/>
      <x:c r="T214" s="263"/>
      <x:c r="U214" s="264"/>
    </x:row>
    <x:row r="215" ht="60" customHeight="1">
      <x:c r="A215" s="239" t="str">
        <x:v>EEG-0400</x:v>
      </x:c>
      <x:c r="B215" s="228" t="str">
        <x:v>06_Motor_and_Interaction</x:v>
      </x:c>
      <x:c r="C215" s="228" t="str">
        <x:v>Motor_Imagery_and_Execution</x:v>
      </x:c>
      <x:c r="D215" s="228" t="str">
        <x:v>MI-Joints (same limb)</x:v>
      </x:c>
      <x:c r="E215" s="228"/>
      <x:c r="F215" s="228" t="str">
        <x:v>Figshare:12278444 | DOI:10.6084/m9.figshare.12278444</x:v>
      </x:c>
      <x:c r="G215" s="228" t="str">
        <x:v>DOWNLOAD_PUBLIC</x:v>
      </x:c>
      <x:c r="H215" s="228" t="str">
        <x:v>https://doi.org/10.6084/m9.figshare.12278444</x:v>
      </x:c>
      <x:c r="I215" s="228" t="str">
        <x:v>Motor imagery of different joints (same limb)</x:v>
      </x:c>
      <x:c r="J215" s="228" t="str">
        <x:v>25</x:v>
      </x:c>
      <x:c r="K215" s="228" t="str">
        <x:v>64</x:v>
      </x:c>
      <x:c r="L215" s="228" t="str">
        <x:v>500/1000 Hz</x:v>
      </x:c>
      <x:c r="M215" s="228" t="str">
        <x:v>Neuroscan</x:v>
      </x:c>
      <x:c r="N215" s="228" t="str">
        <x:v>Three stages: raw, preprocessed, trial data</x:v>
      </x:c>
      <x:c r="O215" s="228" t="str">
        <x:v>Open (figshare 12278444 / Dataverse)</x:v>
      </x:c>
      <x:c r="P215" s="228" t="str">
        <x:v>Multi-channel EEG recording during motor imagery of different joints from the same limb. Ma et al., 2020, Scientific Data 7:191.</x:v>
      </x:c>
      <x:c r="Q215" s="228" t="str">
        <x:v>06_Motor_and_Interaction/Motor_Imagery_and_Execution/MI-Joints_same_limb</x:v>
      </x:c>
      <x:c r="R215" s="228" t="str">
        <x:v>存在公开仓库、官方入口或稳定数据访问号</x:v>
      </x:c>
      <x:c r="S215" s="228"/>
      <x:c r="T215" s="228"/>
      <x:c r="U215" s="205"/>
    </x:row>
    <x:row r="216" ht="60" customHeight="1">
      <x:c r="A216" s="262" t="str">
        <x:v>EEG-0403</x:v>
      </x:c>
      <x:c r="B216" s="263" t="str">
        <x:v>06_Motor_and_Interaction</x:v>
      </x:c>
      <x:c r="C216" s="263" t="str">
        <x:v>Motor_Imagery_and_Execution</x:v>
      </x:c>
      <x:c r="D216" s="263" t="str">
        <x:v>Mimul-11</x:v>
      </x:c>
      <x:c r="E216" s="263"/>
      <x:c r="F216" s="263" t="str">
        <x:v>Zenodo:19021436</x:v>
      </x:c>
      <x:c r="G216" s="263" t="str">
        <x:v>DOWNLOAD_APPLICATION_REQUIRED</x:v>
      </x:c>
      <x:c r="H216" s="263" t="str">
        <x:v>https://zenodo.org/records/19021436</x:v>
      </x:c>
      <x:c r="I216" s="263" t="str">
        <x:v>3-class motor imagery in EEG-FM-Bench: reaching, grasping, twisting; original dataset covers 11 intuitive upper-limb movement tasks</x:v>
      </x:c>
      <x:c r="J216" s="263" t="str">
        <x:v>25.0</x:v>
      </x:c>
      <x:c r="K216" s="263" t="str">
        <x:v>60.0</x:v>
      </x:c>
      <x:c r="L216" s="263" t="str">
        <x:v>1000 Hz</x:v>
      </x:c>
      <x:c r="M216" s="263" t="str">
        <x:v>BrainVision (.vhdr/.vmrk/.eeg)</x:v>
      </x:c>
      <x:c r="N216" s="263" t="str">
        <x:v>raw / resampled public release</x:v>
      </x:c>
      <x:c r="O216" s="263" t="str">
        <x:v>Open dataset on Zenodo / MOABB; citation requested</x:v>
      </x:c>
      <x:c r="P216" s="263" t="str">
        <x:v>Jeong et al. (2020). Multimodal signal dataset for 11 intuitive movement tasks from single upper extremity during multiple recording sessions. GigaScience.</x:v>
      </x:c>
      <x:c r="Q216" s="263" t="str">
        <x:v>06_Motor_and_Interaction/Motor_Imagery_and_Execution/Mimul-11</x:v>
      </x:c>
      <x:c r="R216" s="263" t="str">
        <x:v>官方数据存在，但需申请、签署协议或获得权限</x:v>
      </x:c>
      <x:c r="S216" s="263"/>
      <x:c r="T216" s="263"/>
      <x:c r="U216" s="264"/>
    </x:row>
    <x:row r="217" ht="60" customHeight="1">
      <x:c r="A217" s="239" t="str">
        <x:v>EEG-0404</x:v>
      </x:c>
      <x:c r="B217" s="228" t="str">
        <x:v>06_Motor_and_Interaction</x:v>
      </x:c>
      <x:c r="C217" s="228" t="str">
        <x:v>Motor_Imagery_and_Execution</x:v>
      </x:c>
      <x:c r="D217" s="228" t="str">
        <x:v>MoBI Treadmill Walking BCI Dataset</x:v>
      </x:c>
      <x:c r="E217" s="228"/>
      <x:c r="F217" s="228" t="str">
        <x:v>DOI:10.6084/m9.figshare.c.3894013</x:v>
      </x:c>
      <x:c r="G217" s="228" t="str">
        <x:v>DOWNLOAD_APPLICATION_REQUIRED</x:v>
      </x:c>
      <x:c r="H217" s="228" t="str">
        <x:v>https://doi.org/10.6084/m9.figshare.c.3894013</x:v>
      </x:c>
      <x:c r="I217" s="228" t="str">
        <x:v>standing；treadmill walking；treadmill walking with closed-loop BCI；EEG-to-gait / joint-angle decoding；mobile BCI</x:v>
      </x:c>
      <x:c r="J217" s="228" t="str">
        <x:v>8</x:v>
      </x:c>
      <x:c r="K217" s="228" t="str">
        <x:v>60 EEG + 4 EOG</x:v>
      </x:c>
      <x:c r="L217" s="228" t="str">
        <x:v>100 Hz</x:v>
      </x:c>
      <x:c r="M217" s="228" t="str">
        <x:v>TXT files in Figshare zip</x:v>
      </x:c>
      <x:c r="N217" s="228" t="str">
        <x:v>raw synchronized EEG/EOG + goniometer joint-angle data</x:v>
      </x:c>
      <x:c r="O217" s="228" t="str">
        <x:v>Open access；data archived on Figshare；article under CC BY 4.0；authors request citation when using data</x:v>
      </x:c>
      <x:c r="P217" s="228" t="str">
        <x:v>He, Luu, Nathan, Nakagome &amp; Contreras-Vidal, Scientific Data, 2018</x:v>
      </x:c>
      <x:c r="Q217" s="228" t="str">
        <x:v>06_Motor_and_Interaction/Motor_Imagery_and_Execution/MoBI_Treadmill_Walking_BCI_Dataset</x:v>
      </x:c>
      <x:c r="R217" s="228" t="str">
        <x:v>官方数据存在，但需申请、签署协议或获得权限</x:v>
      </x:c>
      <x:c r="S217" s="228"/>
      <x:c r="T217" s="228"/>
      <x:c r="U217" s="205"/>
    </x:row>
    <x:row r="218" ht="60" customHeight="1">
      <x:c r="A218" s="262" t="str">
        <x:v>EEG-0405</x:v>
      </x:c>
      <x:c r="B218" s="263" t="str">
        <x:v>06_Motor_and_Interaction</x:v>
      </x:c>
      <x:c r="C218" s="263" t="str">
        <x:v>Motor_Imagery_and_Execution</x:v>
      </x:c>
      <x:c r="D218" s="263" t="str">
        <x:v>MoBI-Gait</x:v>
      </x:c>
      <x:c r="E218" s="263"/>
      <x:c r="F218" s="263" t="str">
        <x:v>OpenNeuro:ds001971</x:v>
      </x:c>
      <x:c r="G218" s="263" t="str">
        <x:v>DOWNLOAD_PUBLIC</x:v>
      </x:c>
      <x:c r="H218" s="263" t="str">
        <x:v>https://openneuro.org/datasets/ds001971</x:v>
      </x:c>
      <x:c r="I218" s="263" t="str">
        <x:v>Mobile brain/body imaging during auditory gait pacing (walking)</x:v>
      </x:c>
      <x:c r="J218" s="263" t="str">
        <x:v>20</x:v>
      </x:c>
      <x:c r="K218" s="263" t="str">
        <x:v>108</x:v>
      </x:c>
      <x:c r="L218" s="263" t="str">
        <x:v>512 Hz</x:v>
      </x:c>
      <x:c r="M218" s="263" t="str">
        <x:v>EEGLAB / BIDS</x:v>
      </x:c>
      <x:c r="N218" s="263" t="str">
        <x:v>Raw (BIDS)</x:v>
      </x:c>
      <x:c r="O218" s="263" t="str">
        <x:v>Open (OpenNeuro ds001971), CC0</x:v>
      </x:c>
      <x:c r="P218" s="263" t="str">
        <x:v>High-density EEG mobile brain/body imaging data recorded during a challenging auditory gait pacing task. Wagner et al., 2019, Scientific Data 6:211.</x:v>
      </x:c>
      <x:c r="Q218" s="263" t="str">
        <x:v>06_Motor_and_Interaction/Motor_Imagery_and_Execution/MoBI-Gait</x:v>
      </x:c>
      <x:c r="R218" s="263" t="str">
        <x:v>存在公开仓库、官方入口或稳定数据访问号</x:v>
      </x:c>
      <x:c r="S218" s="263"/>
      <x:c r="T218" s="263"/>
      <x:c r="U218" s="264"/>
    </x:row>
    <x:row r="219" ht="60" customHeight="1">
      <x:c r="A219" s="239" t="str">
        <x:v>EEG-0411</x:v>
      </x:c>
      <x:c r="B219" s="228" t="str">
        <x:v>06_Motor_and_Interaction</x:v>
      </x:c>
      <x:c r="C219" s="228" t="str">
        <x:v>Motor_Imagery_and_Execution</x:v>
      </x:c>
      <x:c r="D219" s="228" t="str">
        <x:v>SHU-MI</x:v>
      </x:c>
      <x:c r="E219" s="228"/>
      <x:c r="F219" s="228" t="str">
        <x:v>Figshare:19228725 | DOI:10.6084/m9.figshare.19228725.v1</x:v>
      </x:c>
      <x:c r="G219" s="228" t="str">
        <x:v>DOWNLOAD_PUBLIC</x:v>
      </x:c>
      <x:c r="H219" s="228" t="str">
        <x:v>https://doi.org/10.6084/m9.figshare.19228725.v1</x:v>
      </x:c>
      <x:c r="I219" s="228" t="str">
        <x:v>Motor imagery (left/right hand, 2-class)</x:v>
      </x:c>
      <x:c r="J219" s="228" t="str">
        <x:v>25</x:v>
      </x:c>
      <x:c r="K219" s="228" t="str">
        <x:v>32</x:v>
      </x:c>
      <x:c r="L219" s="228" t="str">
        <x:v>250 Hz</x:v>
      </x:c>
      <x:c r="M219" s="228" t="str">
        <x:v>MAT / EDF</x:v>
      </x:c>
      <x:c r="N219" s="228" t="str">
        <x:v>Both (raw + preprocessed)</x:v>
      </x:c>
      <x:c r="O219" s="228" t="str">
        <x:v>Open (figshare 19228725), CC-BY</x:v>
      </x:c>
      <x:c r="P219" s="228" t="str">
        <x:v>A large EEG dataset for studying cross-session variability in motor imagery brain-computer interface. Ma et al., 2022, Scientific Data 9:531.</x:v>
      </x:c>
      <x:c r="Q219" s="228" t="str">
        <x:v>06_Motor_and_Interaction/Motor_Imagery_and_Execution/SHU-MI</x:v>
      </x:c>
      <x:c r="R219" s="228" t="str">
        <x:v>存在公开仓库、官方入口或稳定数据访问号</x:v>
      </x:c>
      <x:c r="S219" s="228"/>
      <x:c r="T219" s="228"/>
      <x:c r="U219" s="205"/>
    </x:row>
    <x:row r="220" ht="60" customHeight="1">
      <x:c r="A220" s="262" t="str">
        <x:v>EEG-0412</x:v>
      </x:c>
      <x:c r="B220" s="263" t="str">
        <x:v>06_Motor_and_Interaction</x:v>
      </x:c>
      <x:c r="C220" s="263" t="str">
        <x:v>Motor_Imagery_and_Execution</x:v>
      </x:c>
      <x:c r="D220" s="263" t="str">
        <x:v>SparrKULee</x:v>
      </x:c>
      <x:c r="E220" s="263"/>
      <x:c r="F220" s="263" t="str">
        <x:v>DOI:10.48804/K3VSND</x:v>
      </x:c>
      <x:c r="G220" s="263" t="str">
        <x:v>DOWNLOAD_APPLICATION_REQUIRED</x:v>
      </x:c>
      <x:c r="H220" s="263" t="str">
        <x:v>[KU Leuven RDR DOI](https://rdr.kuleuven.be/dataset.xhtml?persistentId=doi:10.48804/K3VSND)</x:v>
      </x:c>
      <x:c r="I220" s="263" t="str">
        <x:v>speech EEG encoding / decoding; match-mismatch; AAD</x:v>
      </x:c>
      <x:c r="J220" s="263" t="str">
        <x:v>85</x:v>
      </x:c>
      <x:c r="K220" s="263" t="str">
        <x:v>64</x:v>
      </x:c>
      <x:c r="L220" s="263" t="str">
        <x:v>8192Hz; preprocessed 64Hz</x:v>
      </x:c>
      <x:c r="M220" s="263" t="str">
        <x:v>BDF / TSV / NPZ / JSON / PKL</x:v>
      </x:c>
      <x:c r="N220" s="263" t="str">
        <x:v>raw + preprocessed</x:v>
      </x:c>
      <x:c r="O220" s="263" t="str">
        <x:v>KU Leuven RDR; CC-BY-NC-4.0; some restricted files require email request.</x:v>
      </x:c>
      <x:c r="P220" s="263" t="str">
        <x:v>Accou et al. (2024); Bollens et al. KU Leuven RDR (2023)</x:v>
      </x:c>
      <x:c r="Q220" s="263" t="str">
        <x:v>06_Motor_and_Interaction/Motor_Imagery_and_Execution/SparrKULee</x:v>
      </x:c>
      <x:c r="R220" s="263" t="str">
        <x:v>官方数据存在，但需申请、签署协议或获得权限</x:v>
      </x:c>
      <x:c r="S220" s="263"/>
      <x:c r="T220" s="263"/>
      <x:c r="U220" s="264"/>
    </x:row>
    <x:row r="221" ht="60" customHeight="1">
      <x:c r="A221" s="239" t="str">
        <x:v>EEG-0414</x:v>
      </x:c>
      <x:c r="B221" s="228" t="str">
        <x:v>06_Motor_and_Interaction</x:v>
      </x:c>
      <x:c r="C221" s="228" t="str">
        <x:v>Motor_Imagery_and_Execution</x:v>
      </x:c>
      <x:c r="D221" s="228" t="str">
        <x:v>WBCIC-MI</x:v>
      </x:c>
      <x:c r="E221" s="228"/>
      <x:c r="F221" s="228" t="str">
        <x:v>DOI:10.25452/figshare.plus.22671172</x:v>
      </x:c>
      <x:c r="G221" s="228" t="str">
        <x:v>DOWNLOAD_PUBLIC</x:v>
      </x:c>
      <x:c r="H221" s="228" t="str">
        <x:v>https://doi.org/10.25452/figshare.plus.22671172</x:v>
      </x:c>
      <x:c r="I221" s="228" t="str">
        <x:v>Multi-day motor imagery (2- &amp; 3-class)</x:v>
      </x:c>
      <x:c r="J221" s="228" t="str">
        <x:v>62 (51 in 2-class, 11 in 3-class)</x:v>
      </x:c>
      <x:c r="K221" s="228" t="str">
        <x:v>59 EEG (64-ch cap)</x:v>
      </x:c>
      <x:c r="L221" s="228" t="str">
        <x:v>1000 Hz (down 250)</x:v>
      </x:c>
      <x:c r="M221" s="228" t="str">
        <x:v>BDF (raw) / MAT</x:v>
      </x:c>
      <x:c r="N221" s="228" t="str">
        <x:v>Both (raw .bdf + preprocessed .mat)</x:v>
      </x:c>
      <x:c r="O221" s="228" t="str">
        <x:v>Open (figshare+ 22671172)</x:v>
      </x:c>
      <x:c r="P221" s="228" t="str">
        <x:v>A multi-day and high-quality EEG dataset for motor imagery brain-computer interface. Yang et al., 2025, Scientific Data 12:488.</x:v>
      </x:c>
      <x:c r="Q221" s="228" t="str">
        <x:v>06_Motor_and_Interaction/Motor_Imagery_and_Execution/WBCIC-MI</x:v>
      </x:c>
      <x:c r="R221" s="228" t="str">
        <x:v>存在公开仓库、官方入口或稳定数据访问号</x:v>
      </x:c>
      <x:c r="S221" s="228"/>
      <x:c r="T221" s="228"/>
      <x:c r="U221" s="205"/>
    </x:row>
    <x:row r="222" ht="60" customHeight="1">
      <x:c r="A222" s="262" t="str">
        <x:v>EEG-0415</x:v>
      </x:c>
      <x:c r="B222" s="263" t="str">
        <x:v>06_Motor_and_Interaction</x:v>
      </x:c>
      <x:c r="C222" s="263" t="str">
        <x:v>Motor_Imagery_and_Execution</x:v>
      </x:c>
      <x:c r="D222" s="263" t="str">
        <x:v>Weibo 2014 (Yi 2014) Motor Imagery Dataset</x:v>
      </x:c>
      <x:c r="E222" s="263"/>
      <x:c r="F222" s="263" t="str">
        <x:v>Zenodo:14188593 | DOI:10.5281/zenodo.14188593</x:v>
      </x:c>
      <x:c r="G222" s="263" t="str">
        <x:v>DOWNLOAD_PUBLIC</x:v>
      </x:c>
      <x:c r="H222" s="263" t="str">
        <x:v>https://doi.org/10.5281/zenodo.14188593</x:v>
      </x:c>
      <x:c r="I222" s="263" t="str">
        <x:v>Simple and compound limb motor imagery</x:v>
      </x:c>
      <x:c r="J222" s="263" t="str">
        <x:v>10</x:v>
      </x:c>
      <x:c r="K222" s="263" t="str">
        <x:v>60 EEG channels</x:v>
      </x:c>
      <x:c r="L222" s="263" t="str">
        <x:v>200 Hz</x:v>
      </x:c>
      <x:c r="M222" s="263" t="str">
        <x:v>MAT</x:v>
      </x:c>
      <x:c r="N222" s="263" t="str">
        <x:v>Raw EEG</x:v>
      </x:c>
      <x:c r="O222" s="263" t="str">
        <x:v>Open Access</x:v>
      </x:c>
      <x:c r="P222" s="263" t="str">
        <x:v>Yi et al. 2014</x:v>
      </x:c>
      <x:c r="Q222" s="263" t="str">
        <x:v>06_Motor_and_Interaction/Motor_Imagery_and_Execution/Weibo_2014_Yi_2014_Motor_Imagery_Dataset</x:v>
      </x:c>
      <x:c r="R222" s="263" t="str">
        <x:v>存在公开仓库、官方入口或稳定数据访问号</x:v>
      </x:c>
      <x:c r="S222" s="263"/>
      <x:c r="T222" s="263"/>
      <x:c r="U222" s="264"/>
    </x:row>
    <x:row r="223" ht="60" customHeight="1">
      <x:c r="A223" s="239" t="str">
        <x:v>EEG-0418</x:v>
      </x:c>
      <x:c r="B223" s="228" t="str">
        <x:v>06_Motor_and_Interaction</x:v>
      </x:c>
      <x:c r="C223" s="228" t="str">
        <x:v>Motor_Imagery_and_Execution</x:v>
      </x:c>
      <x:c r="D223" s="228" t="str">
        <x:v>Zhou 2016 Motor Imagery Dataset</x:v>
      </x:c>
      <x:c r="E223" s="228" t="str">
        <x:v>Zhou2016</x:v>
      </x:c>
      <x:c r="F223" s="228" t="str">
        <x:v>Figshare:1490216</x:v>
      </x:c>
      <x:c r="G223" s="228" t="str">
        <x:v>DOWNLOAD_PUBLIC</x:v>
      </x:c>
      <x:c r="H223" s="228" t="str">
        <x:v>https://figshare.com/articles/EEG_data/1490216</x:v>
      </x:c>
      <x:c r="I223" s="228" t="str">
        <x:v>Motor imagery</x:v>
      </x:c>
      <x:c r="J223" s="228" t="str">
        <x:v>4</x:v>
      </x:c>
      <x:c r="K223" s="228" t="str">
        <x:v>14 EEG channels</x:v>
      </x:c>
      <x:c r="L223" s="228" t="str">
        <x:v>250 Hz</x:v>
      </x:c>
      <x:c r="M223" s="228" t="str">
        <x:v>MAT</x:v>
      </x:c>
      <x:c r="N223" s="228" t="str">
        <x:v>Raw EEG</x:v>
      </x:c>
      <x:c r="O223" s="228" t="str">
        <x:v>Open Access</x:v>
      </x:c>
      <x:c r="P223" s="228" t="str">
        <x:v>Zhou et al. 2016</x:v>
      </x:c>
      <x:c r="Q223" s="228" t="str">
        <x:v>06_Motor_and_Interaction/Motor_Imagery_and_Execution/Zhou_2016_Motor_Imagery_Dataset</x:v>
      </x:c>
      <x:c r="R223" s="228" t="str">
        <x:v>存在公开仓库、官方入口或稳定数据访问号</x:v>
      </x:c>
      <x:c r="S223" s="228"/>
      <x:c r="T223" s="228"/>
      <x:c r="U223" s="205"/>
    </x:row>
    <x:row r="224" ht="60" customHeight="1">
      <x:c r="A224" s="262" t="str">
        <x:v>EEG-0420</x:v>
      </x:c>
      <x:c r="B224" s="263" t="str">
        <x:v>06_Motor_and_Interaction</x:v>
      </x:c>
      <x:c r="C224" s="263" t="str">
        <x:v>SSVEP_and_Evoked_BCI</x:v>
      </x:c>
      <x:c r="D224" s="263" t="str">
        <x:v>BETA SSVEP Dataset</x:v>
      </x:c>
      <x:c r="E224" s="263" t="str">
        <x:v>BETA (SSVEP); Tsinghua BETA SSVEP [EEG-0450]</x:v>
      </x:c>
      <x:c r="F224" s="263" t="str">
        <x:v>Figshare:12264401</x:v>
      </x:c>
      <x:c r="G224" s="263" t="str">
        <x:v>DOWNLOAD_PUBLIC</x:v>
      </x:c>
      <x:c r="H224" s="263" t="str">
        <x:v>[The BETA database Figshare](https://figshare.com/articles/dataset/The_BETA_database/12264401) | http://bci.med.tsinghua.edu.cn/download.html</x:v>
      </x:c>
      <x:c r="I224" s="263" t="str">
        <x:v>40-class SSVEP target identification；SSVEP (40-target spelling)</x:v>
      </x:c>
      <x:c r="J224" s="263" t="str">
        <x:v>70</x:v>
      </x:c>
      <x:c r="K224" s="263" t="str">
        <x:v>64</x:v>
      </x:c>
      <x:c r="L224" s="263" t="str">
        <x:v>250Hz</x:v>
      </x:c>
      <x:c r="M224" s="263" t="str">
        <x:v>MAT</x:v>
      </x:c>
      <x:c r="N224" s="263" t="str">
        <x:v>raw MAT</x:v>
      </x:c>
      <x:c r="O224" s="263" t="str">
        <x:v>公开下载：The BETA database Figshare (https://figshare.com/articles/dataset/The_BETA_database/12264401)；也可从 Tsinghua BCI Lab download (http://bci.med.tsinghua.edu.cn/download.html) 获取。</x:v>
      </x:c>
      <x:c r="P224" s="263" t="str">
        <x:v>Liu et al. (2020)；Liu et al. 2020, Tsinghua</x:v>
      </x:c>
      <x:c r="Q224" s="263" t="str">
        <x:v>06_Motor_and_Interaction/SSVEP_and_Evoked_BCI/BETA_SSVEP_Dataset</x:v>
      </x:c>
      <x:c r="R224" s="263" t="str">
        <x:v>存在公开仓库、官方入口或稳定数据访问号；2026-08-04去重：EEG-0450并入EEG-0420（BETA SSVEP official dataset / Figshare 12264401）</x:v>
      </x:c>
      <x:c r="S224" s="263"/>
      <x:c r="T224" s="263"/>
      <x:c r="U224" s="264"/>
    </x:row>
    <x:row r="225" ht="60" customHeight="1">
      <x:c r="A225" s="239" t="str">
        <x:v>EEG-0421</x:v>
      </x:c>
      <x:c r="B225" s="228" t="str">
        <x:v>06_Motor_and_Interaction</x:v>
      </x:c>
      <x:c r="C225" s="228" t="str">
        <x:v>SSVEP_and_Evoked_BCI</x:v>
      </x:c>
      <x:c r="D225" s="228" t="str">
        <x:v>BNCI 007-2015 (Motion VEP Speller)</x:v>
      </x:c>
      <x:c r="E225" s="228" t="str">
        <x:v>BNCI2015_007 (mVEP Speller)</x:v>
      </x:c>
      <x:c r="F225" s="228" t="str">
        <x:v>BNCI:BNCI 007-2015</x:v>
      </x:c>
      <x:c r="G225" s="228" t="str">
        <x:v>DOWNLOAD_APPLICATION_REQUIRED</x:v>
      </x:c>
      <x:c r="H225" s="228" t="str">
        <x:v>http://bnci-horizon-2020.eu/database/data-sets</x:v>
      </x:c>
      <x:c r="I225" s="228" t="str">
        <x:v>Motion Visual Evoked Potential (mVEP) speller spelling</x:v>
      </x:c>
      <x:c r="J225" s="228" t="str">
        <x:v>16</x:v>
      </x:c>
      <x:c r="K225" s="228" t="str">
        <x:v>63 EEG channels</x:v>
      </x:c>
      <x:c r="L225" s="228" t="str">
        <x:v>250 Hz</x:v>
      </x:c>
      <x:c r="M225" s="228" t="str">
        <x:v>MAT</x:v>
      </x:c>
      <x:c r="N225" s="228" t="str">
        <x:v>Raw EEG</x:v>
      </x:c>
      <x:c r="O225" s="228" t="str">
        <x:v>Open, CC BY-NC-ND 4.0, no application</x:v>
      </x:c>
      <x:c r="P225" s="228" t="str">
        <x:v>TU Berlin Neurotech Group</x:v>
      </x:c>
      <x:c r="Q225" s="228" t="str">
        <x:v>06_Motor_and_Interaction/SSVEP_and_Evoked_BCI/BNCI_007-2015_Motion_VEP_Speller</x:v>
      </x:c>
      <x:c r="R225" s="228" t="str">
        <x:v>官方数据存在，但需申请、签署协议或获得权限</x:v>
      </x:c>
      <x:c r="S225" s="228"/>
      <x:c r="T225" s="228"/>
      <x:c r="U225" s="205"/>
    </x:row>
    <x:row r="226" ht="60" customHeight="1">
      <x:c r="A226" s="262" t="str">
        <x:v>EEG-0429</x:v>
      </x:c>
      <x:c r="B226" s="263" t="str">
        <x:v>06_Motor_and_Interaction</x:v>
      </x:c>
      <x:c r="C226" s="263" t="str">
        <x:v>SSVEP_and_Evoked_BCI</x:v>
      </x:c>
      <x:c r="D226" s="263" t="str">
        <x:v>Dong2023</x:v>
      </x:c>
      <x:c r="E226" s="263" t="str">
        <x:v>Dong2023 - SSVEP EEG Dataset [EEG-0430]</x:v>
      </x:c>
      <x:c r="F226" s="263" t="str">
        <x:v>Zenodo:18847318 | DOI:10.26599/BSA.2023.9050020</x:v>
      </x:c>
      <x:c r="G226" s="263" t="str">
        <x:v>DOWNLOAD_PUBLIC</x:v>
      </x:c>
      <x:c r="H226" s="263" t="str">
        <x:v>https://moabb.neurotechx.com/docs/generated/moabb.datasets.Dong2023.html | https://zenodo.org/records/18847318</x:v>
      </x:c>
      <x:c r="I226" s="263" t="str">
        <x:v>40-class SSVEP target identification；40-target SSVEP BCI speller / steady-state visual evoked potential brain-computer interface task</x:v>
      </x:c>
      <x:c r="J226" s="263" t="str">
        <x:v>59</x:v>
      </x:c>
      <x:c r="K226" s="263" t="str">
        <x:v>8</x:v>
      </x:c>
      <x:c r="L226" s="263" t="str">
        <x:v>250 Hz</x:v>
      </x:c>
      <x:c r="M226" s="263" t="str">
        <x:v>MOABB-supported / 原始格式</x:v>
      </x:c>
      <x:c r="N226" s="263" t="str">
        <x:v>raw / 原始发布数据</x:v>
      </x:c>
      <x:c r="O226" s="263" t="str">
        <x:v>Open, CC BY-NC 4.0, no application</x:v>
      </x:c>
      <x:c r="P226" s="263" t="str">
        <x:v>Yue Dong, Jiangsu JITRI；DOI：10.26599/BSA.2023.9050020</x:v>
      </x:c>
      <x:c r="Q226" s="263" t="str">
        <x:v>06_Motor_and_Interaction/SSVEP_and_Evoked_BCI/Dong2023</x:v>
      </x:c>
      <x:c r="R226" s="263" t="str">
        <x:v>官方数据存在，但需申请、签署协议或获得权限；2026-08-04去重：EEG-0430并入EEG-0429（Dong2023 MOABB wrapper and Zenodo 18847318）</x:v>
      </x:c>
      <x:c r="S226" s="263"/>
      <x:c r="T226" s="263"/>
      <x:c r="U226" s="264"/>
    </x:row>
    <x:row r="227" ht="60" customHeight="1">
      <x:c r="A227" s="239" t="str">
        <x:v>EEG-0432</x:v>
      </x:c>
      <x:c r="B227" s="228" t="str">
        <x:v>06_Motor_and_Interaction</x:v>
      </x:c>
      <x:c r="C227" s="228" t="str">
        <x:v>SSVEP_and_Evoked_BCI</x:v>
      </x:c>
      <x:c r="D227" s="228" t="str">
        <x:v>Dual-Frequency SSVEP</x:v>
      </x:c>
      <x:c r="E227" s="228" t="str">
        <x:v>Dual-Freq-SSVEP</x:v>
      </x:c>
      <x:c r="F227" s="228" t="str">
        <x:v>DOI:10.5524/102563</x:v>
      </x:c>
      <x:c r="G227" s="228" t="str">
        <x:v>DOWNLOAD_PUBLIC</x:v>
      </x:c>
      <x:c r="H227" s="228" t="str">
        <x:v>http://dx.doi.org/10.5524/102563</x:v>
      </x:c>
      <x:c r="I227" s="228" t="str">
        <x:v>Dual-frequency SSVEP 40-target</x:v>
      </x:c>
      <x:c r="J227" s="228" t="str">
        <x:v>14 (set has 100+ across paradigms*)</x:v>
      </x:c>
      <x:c r="K227" s="228" t="str">
        <x:v>64</x:v>
      </x:c>
      <x:c r="L227" s="228" t="str">
        <x:v>N.A.</x:v>
      </x:c>
      <x:c r="M227" s="228" t="str">
        <x:v>MAT</x:v>
      </x:c>
      <x:c r="N227" s="228" t="str">
        <x:v>N.A.</x:v>
      </x:c>
      <x:c r="O227" s="228" t="str">
        <x:v>Open (GigaDB), CC</x:v>
      </x:c>
      <x:c r="P227" s="228" t="str">
        <x:v>A dual-frequency SSVEP EEG dataset (GigaDB 102563). Sun et al., 2024, GigaScience.</x:v>
      </x:c>
      <x:c r="Q227" s="228" t="str">
        <x:v>06_Motor_and_Interaction/SSVEP_and_Evoked_BCI/Dual-Frequency_SSVEP</x:v>
      </x:c>
      <x:c r="R227" s="228" t="str">
        <x:v>存在公开仓库、官方入口或稳定数据访问号</x:v>
      </x:c>
      <x:c r="S227" s="228"/>
      <x:c r="T227" s="228"/>
      <x:c r="U227" s="205"/>
    </x:row>
    <x:row r="228" ht="60" customHeight="1">
      <x:c r="A228" s="262" t="str">
        <x:v>EEG-0433</x:v>
      </x:c>
      <x:c r="B228" s="263" t="str">
        <x:v>06_Motor_and_Interaction</x:v>
      </x:c>
      <x:c r="C228" s="263" t="str">
        <x:v>SSVEP_and_Evoked_BCI</x:v>
      </x:c>
      <x:c r="D228" s="263" t="str">
        <x:v>eldBETA</x:v>
      </x:c>
      <x:c r="E228" s="263" t="str">
        <x:v>Liu2022EldBETA (elderly BETA)
eldBETA Database</x:v>
      </x:c>
      <x:c r="F228" s="263" t="str">
        <x:v>Figshare:18032669 | DOI:10.6084/m9.figshare.18032669</x:v>
      </x:c>
      <x:c r="G228" s="263" t="str">
        <x:v>DOWNLOAD_APPLICATION_REQUIRED</x:v>
      </x:c>
      <x:c r="H228" s="263" t="str">
        <x:v>https://doi.org/10.6084/m9.figshare.18032669</x:v>
      </x:c>
      <x:c r="I228" s="263" t="str">
        <x:v>SSVEP BCI (elderly benchmark, 9 targets)</x:v>
      </x:c>
      <x:c r="J228" s="263" t="str">
        <x:v>100</x:v>
      </x:c>
      <x:c r="K228" s="263" t="str">
        <x:v>64</x:v>
      </x:c>
      <x:c r="L228" s="263" t="str">
        <x:v>1000 Hz (epochs 250)</x:v>
      </x:c>
      <x:c r="M228" s="263" t="str">
        <x:v>EDF / MAT</x:v>
      </x:c>
      <x:c r="N228" s="263" t="str">
        <x:v>Both (epoched .mat + raw .edf)</x:v>
      </x:c>
      <x:c r="O228" s="263" t="str">
        <x:v>Open (figshare 18032669 / Tsinghua mirror), CC BY 4.0</x:v>
      </x:c>
      <x:c r="P228" s="263" t="str">
        <x:v>eldBETA: A large eldercare-oriented benchmark database of SSVEP-BCI for the aging population. Liu et al., 2022, Scientific Data 9:252.</x:v>
      </x:c>
      <x:c r="Q228" s="263" t="str">
        <x:v>06_Motor_and_Interaction/SSVEP_and_Evoked_BCI/eldBETA</x:v>
      </x:c>
      <x:c r="R228" s="263" t="str">
        <x:v>官方数据存在，但需申请、签署协议或获得权限</x:v>
      </x:c>
      <x:c r="S228" s="263"/>
      <x:c r="T228" s="263"/>
      <x:c r="U228" s="264"/>
    </x:row>
    <x:row r="229" ht="60" customHeight="1">
      <x:c r="A229" s="239" t="str">
        <x:v>EEG-0435</x:v>
      </x:c>
      <x:c r="B229" s="228" t="str">
        <x:v>06_Motor_and_Interaction</x:v>
      </x:c>
      <x:c r="C229" s="228" t="str">
        <x:v>SSVEP_and_Evoked_BCI</x:v>
      </x:c>
      <x:c r="D229" s="228" t="str">
        <x:v>Gu (2024)</x:v>
      </x:c>
      <x:c r="E229" s="228" t="str">
        <x:v>Gu2024</x:v>
      </x:c>
      <x:c r="F229" s="228" t="str">
        <x:v>DOI:10.6084/m9.figshare.c.6752910.v1</x:v>
      </x:c>
      <x:c r="G229" s="228" t="str">
        <x:v>DOWNLOAD_APPLICATION_REQUIRED</x:v>
      </x:c>
      <x:c r="H229" s="228" t="str">
        <x:v>https://doi.org/10.6084/m9.figshare.c.6752910.v1</x:v>
      </x:c>
      <x:c r="I229" s="228" t="str">
        <x:v>SSVEP</x:v>
      </x:c>
      <x:c r="J229" s="228" t="str">
        <x:v>30</x:v>
      </x:c>
      <x:c r="K229" s="228" t="str">
        <x:v>64</x:v>
      </x:c>
      <x:c r="L229" s="228" t="str">
        <x:v>1000</x:v>
      </x:c>
      <x:c r="M229" s="228" t="str">
        <x:v>EDF, MAT</x:v>
      </x:c>
      <x:c r="N229" s="228" t="str">
        <x:v>Raw EEG (2 file formats) + questionnaire results + MATLAB processing/validation code</x:v>
      </x:c>
      <x:c r="O229" s="228" t="str">
        <x:v>Open access on Figshare, no application needed</x:v>
      </x:c>
      <x:c r="P229" s="228" t="str">
        <x:v>M. Gu et al., “An open dataset for human SSVEPs in the frequency range of 1-60 Hz,” Sci. Data, vol. 11, no. 1, p. 196, 2024.</x:v>
      </x:c>
      <x:c r="Q229" s="228" t="str">
        <x:v>06_Motor_and_Interaction/SSVEP_and_Evoked_BCI/Gu_2024</x:v>
      </x:c>
      <x:c r="R229" s="228" t="str">
        <x:v>官方数据存在，但需申请、签署协议或获得权限</x:v>
      </x:c>
      <x:c r="S229" s="228"/>
      <x:c r="T229" s="228"/>
      <x:c r="U229" s="205"/>
    </x:row>
    <x:row r="230" ht="60" customHeight="1">
      <x:c r="A230" s="262" t="str">
        <x:v>EEG-0441</x:v>
      </x:c>
      <x:c r="B230" s="263" t="str">
        <x:v>06_Motor_and_Interaction</x:v>
      </x:c>
      <x:c r="C230" s="263" t="str">
        <x:v>SSVEP_and_Evoked_BCI</x:v>
      </x:c>
      <x:c r="D230" s="263" t="str">
        <x:v>MAMEM EEG SSVEP Dataset</x:v>
      </x:c>
      <x:c r="E230" s="263" t="str">
        <x:v>MAMEM SSVEP I
MAMEM1</x:v>
      </x:c>
      <x:c r="F230" s="263" t="str">
        <x:v>Figshare:2068677,PhysioNet:mssvepdb | DOI:10.6084/m9.figshare.2068677</x:v>
      </x:c>
      <x:c r="G230" s="263" t="str">
        <x:v>DOWNLOAD_APPLICATION_REQUIRED</x:v>
      </x:c>
      <x:c r="H230" s="263" t="str">
        <x:v>https://doi.org/10.6084/m9.figshare.2068677</x:v>
      </x:c>
      <x:c r="I230" s="263" t="str">
        <x:v>SSVEP BCI with 5 visual flicker frequencies (6.66, 7.50, 8.57, 10.00, 12.00 Hz)</x:v>
      </x:c>
      <x:c r="J230" s="263" t="str">
        <x:v>11</x:v>
      </x:c>
      <x:c r="K230" s="263" t="str">
        <x:v>256 EEG channels (Dataset I &amp; II) / 14 channels (Dataset III)</x:v>
      </x:c>
      <x:c r="L230" s="263" t="str">
        <x:v>250 Hz</x:v>
      </x:c>
      <x:c r="M230" s="263" t="str">
        <x:v>MAT / CSV</x:v>
      </x:c>
      <x:c r="N230" s="263" t="str">
        <x:v>Raw EEG with frequency stimulus triggers</x:v>
      </x:c>
      <x:c r="O230" s="263" t="str">
        <x:v>Open Access (Figshare + Zenodo)</x:v>
      </x:c>
      <x:c r="P230" s="263" t="str">
        <x:v>Oikonomou et al. 2016</x:v>
      </x:c>
      <x:c r="Q230" s="263" t="str">
        <x:v>06_Motor_and_Interaction/SSVEP_and_Evoked_BCI/MAMEM_EEG_SSVEP_Dataset</x:v>
      </x:c>
      <x:c r="R230" s="263" t="str">
        <x:v>官方数据存在，但需申请、签署协议或获得权限</x:v>
      </x:c>
      <x:c r="S230" s="263"/>
      <x:c r="T230" s="263"/>
      <x:c r="U230" s="264"/>
    </x:row>
    <x:row r="231" ht="60" customHeight="1">
      <x:c r="A231" s="239" t="str">
        <x:v>EEG-0446</x:v>
      </x:c>
      <x:c r="B231" s="228" t="str">
        <x:v>06_Motor_and_Interaction</x:v>
      </x:c>
      <x:c r="C231" s="228" t="str">
        <x:v>SSVEP_and_Evoked_BCI</x:v>
      </x:c>
      <x:c r="D231" s="228" t="str">
        <x:v>Human SSVEPs 1-60 Hz - Complete Collection</x:v>
      </x:c>
      <x:c r="E231" s="228" t="str">
        <x:v>Human SSVEPs 1–60 Hz Dataset [EEG-0437]</x:v>
      </x:c>
      <x:c r="F231" s="228" t="str">
        <x:v>DOI:10.6084/m9.figshare.c.6752910 | Figshare:23641017</x:v>
      </x:c>
      <x:c r="G231" s="228" t="str">
        <x:v>DOWNLOAD_PUBLIC</x:v>
      </x:c>
      <x:c r="H231" s="228" t="str">
        <x:v>https://doi.org/10.6084/m9.figshare.c.6752910 | [Figshare 1–60 Hz SSVEP dataset](https://figshare.com/articles/dataset/An_open_dataset_for_human_SSVEPs_in_the_frequency_range_of_1-60_Hz/23641017)</x:v>
      </x:c>
      <x:c r="I231" s="228" t="str">
        <x:v>ERP oddball / wide-band SSVEP (1-60 Hz)；SSVEP frequency decoding；1–60 Hz wide-frequency response；frequency generalization</x:v>
      </x:c>
      <x:c r="J231" s="228" t="str">
        <x:v>30 (s1-s30)</x:v>
      </x:c>
      <x:c r="K231" s="228" t="str">
        <x:v>64</x:v>
      </x:c>
      <x:c r="L231" s="228" t="str">
        <x:v>1000 Hz (epochs 250)</x:v>
      </x:c>
      <x:c r="M231" s="228" t="str">
        <x:v>Continuous BIDS/EDF + segmented MAT</x:v>
      </x:c>
      <x:c r="N231" s="228" t="str">
        <x:v>Both (raw EDF + segmented .mat)</x:v>
      </x:c>
      <x:c r="O231" s="228" t="str">
        <x:v>Open (figshare c.6752910), CC-BY 4.0</x:v>
      </x:c>
      <x:c r="P231" s="228" t="str">
        <x:v>An open dataset for human SSVEPs in the frequency range of 1-60 Hz. Gu et al., 2024, Scientific Data 11:196.；Gu et al. (2024)</x:v>
      </x:c>
      <x:c r="Q231" s="228" t="str">
        <x:v>06_Motor_and_Interaction/SSVEP_and_Evoked_BCI/SSVEP-1-60Hz</x:v>
      </x:c>
      <x:c r="R231" s="228" t="str">
        <x:v>Formal complete 2024 collection. EEG-0437/Figshare 23641017 is the early 15-subject partial release and has been merged into this canonical entry.</x:v>
      </x:c>
      <x:c r="S231" s="228"/>
      <x:c r="T231" s="228"/>
      <x:c r="U231" s="205"/>
    </x:row>
    <x:row r="232" ht="60" customHeight="1">
      <x:c r="A232" s="262" t="str">
        <x:v>EEG-0447</x:v>
      </x:c>
      <x:c r="B232" s="263" t="str">
        <x:v>06_Motor_and_Interaction</x:v>
      </x:c>
      <x:c r="C232" s="263" t="str">
        <x:v>SSVEP_and_Evoked_BCI</x:v>
      </x:c>
      <x:c r="D232" s="263" t="str">
        <x:v>SSVEP-9-ch</x:v>
      </x:c>
      <x:c r="E232" s="263"/>
      <x:c r="F232" s="263" t="str">
        <x:v>DOI:10.1088/1741-2552/ac0bfa</x:v>
      </x:c>
      <x:c r="G232" s="263" t="str">
        <x:v>DOWNLOAD_APPLICATION_REQUIRED</x:v>
      </x:c>
      <x:c r="H232" s="263" t="str">
        <x:v>https://iopscience.iop.org/article/10.1088/1741-2552/ac0bfa (data on request)</x:v>
      </x:c>
      <x:c r="I232" s="263" t="str">
        <x:v>SSVEP 160-target speller (FBCCA, calibration-free)</x:v>
      </x:c>
      <x:c r="J232" s="263" t="str">
        <x:v>20 (8 offline + 12 online)</x:v>
      </x:c>
      <x:c r="K232" s="263" t="str">
        <x:v>9</x:v>
      </x:c>
      <x:c r="L232" s="263" t="str">
        <x:v>250 Hz</x:v>
      </x:c>
      <x:c r="M232" s="263" t="str">
        <x:v>MAT (likely)</x:v>
      </x:c>
      <x:c r="N232" s="263" t="str">
        <x:v>N.A.</x:v>
      </x:c>
      <x:c r="O232" s="263" t="str">
        <x:v>On request (contact authors)</x:v>
      </x:c>
      <x:c r="P232" s="263" t="str">
        <x:v>A 160-target SSVEP-based BCI speller. Chen et al., 2021, Journal of Neural Engineering 18(4):046094.</x:v>
      </x:c>
      <x:c r="Q232" s="263" t="str">
        <x:v>06_Motor_and_Interaction/SSVEP_and_Evoked_BCI/SSVEP-9-ch</x:v>
      </x:c>
      <x:c r="R232" s="263" t="str">
        <x:v>官方数据存在，但需申请、签署协议或获得权限</x:v>
      </x:c>
      <x:c r="S232" s="263"/>
      <x:c r="T232" s="263"/>
      <x:c r="U232" s="264"/>
    </x:row>
    <x:row r="233" ht="60" customHeight="1">
      <x:c r="A233" s="239" t="str">
        <x:v>EEG-0453</x:v>
      </x:c>
      <x:c r="B233" s="228" t="str">
        <x:v>06_Motor_and_Interaction</x:v>
      </x:c>
      <x:c r="C233" s="228" t="str">
        <x:v>Interaction_and_Control</x:v>
      </x:c>
      <x:c r="D233" s="228" t="str">
        <x:v>Adaptive P300-Based Brain-Computer Interface for Attention Training</x:v>
      </x:c>
      <x:c r="E233" s="228"/>
      <x:c r="F233" s="228" t="str">
        <x:v>Zenodo:8183397 | DOI:10.1088/1741-2552/ad2c9e</x:v>
      </x:c>
      <x:c r="G233" s="228" t="str">
        <x:v>DOWNLOAD_PUBLIC</x:v>
      </x:c>
      <x:c r="H233" s="228" t="str">
        <x:v>https://zenodo.org/records/8183397</x:v>
      </x:c>
      <x:c r="I233" s="228" t="str">
        <x:v>neurofeedback task</x:v>
      </x:c>
      <x:c r="J233" s="228" t="str">
        <x:v>47</x:v>
      </x:c>
      <x:c r="K233" s="228" t="str">
        <x:v>32</x:v>
      </x:c>
      <x:c r="L233" s="228" t="str">
        <x:v>500 Hz</x:v>
      </x:c>
      <x:c r="M233" s="228" t="str">
        <x:v>.mat</x:v>
      </x:c>
      <x:c r="N233" s="228" t="str">
        <x:v>Both</x:v>
      </x:c>
      <x:c r="O233" s="228" t="str">
        <x:v>Fully open</x:v>
      </x:c>
      <x:c r="P233" s="228" t="str">
        <x:v>DOI: 10.1088/1741-2552/ad2c9e</x:v>
      </x:c>
      <x:c r="Q233" s="228" t="str">
        <x:v>06_Motor_and_Interaction/Interaction_and_Control/Adaptive_P300-Based_Brain-Computer_Interface_for_Attention_Training</x:v>
      </x:c>
      <x:c r="R233" s="228" t="str">
        <x:v>存在公开仓库、官方入口或稳定数据访问号</x:v>
      </x:c>
      <x:c r="S233" s="228"/>
      <x:c r="T233" s="228"/>
      <x:c r="U233" s="205"/>
    </x:row>
    <x:row r="234" ht="60" customHeight="1">
      <x:c r="A234" s="262" t="str">
        <x:v>EEG-0454</x:v>
      </x:c>
      <x:c r="B234" s="263" t="str">
        <x:v>06_Motor_and_Interaction</x:v>
      </x:c>
      <x:c r="C234" s="263" t="str">
        <x:v>Interaction_and_Control</x:v>
      </x:c>
      <x:c r="D234" s="263" t="str">
        <x:v>An EEG dataset for cross-session mental workload estimation: Passive BCI competition of the Neuroergonomics Conference 2021</x:v>
      </x:c>
      <x:c r="E234" s="263"/>
      <x:c r="F234" s="263" t="str">
        <x:v>Zenodo:5055046 | DOI:10.1038/s41597-022-01898-y</x:v>
      </x:c>
      <x:c r="G234" s="263" t="str">
        <x:v>DOWNLOAD_PUBLIC</x:v>
      </x:c>
      <x:c r="H234" s="263" t="str">
        <x:v>https://zenodo.org/records/5055046</x:v>
      </x:c>
      <x:c r="I234" s="263" t="str">
        <x:v>MATB-II mental workload estimation</x:v>
      </x:c>
      <x:c r="J234" s="263" t="str">
        <x:v>15</x:v>
      </x:c>
      <x:c r="K234" s="263" t="str">
        <x:v>62</x:v>
      </x:c>
      <x:c r="L234" s="263" t="str">
        <x:v>500 Hz</x:v>
      </x:c>
      <x:c r="M234" s="263" t="str">
        <x:v>.set .fdt</x:v>
      </x:c>
      <x:c r="N234" s="263" t="str">
        <x:v>RAW</x:v>
      </x:c>
      <x:c r="O234" s="263" t="str">
        <x:v>Fully open</x:v>
      </x:c>
      <x:c r="P234" s="263" t="str">
        <x:v>DOI: 10.1038/s41597-022-01898-y;</x:v>
      </x:c>
      <x:c r="Q234" s="263" t="str">
        <x:v>06_Motor_and_Interaction/Interaction_and_Control/An_EEG_dataset_for_cross-session_mental_workload_estimation_Passive_BCI_competition_of_the</x:v>
      </x:c>
      <x:c r="R234" s="263" t="str">
        <x:v>存在公开仓库、官方入口或稳定数据访问号</x:v>
      </x:c>
      <x:c r="S234" s="263"/>
      <x:c r="T234" s="263"/>
      <x:c r="U234" s="264"/>
    </x:row>
    <x:row r="235" ht="60" customHeight="1">
      <x:c r="A235" s="239" t="str">
        <x:v>EEG-0461</x:v>
      </x:c>
      <x:c r="B235" s="228" t="str">
        <x:v>06_Motor_and_Interaction</x:v>
      </x:c>
      <x:c r="C235" s="228" t="str">
        <x:v>Interaction_and_Control</x:v>
      </x:c>
      <x:c r="D235" s="228" t="str">
        <x:v>BI.EEG.2012-GIPSA (Brain Invaders 2012)</x:v>
      </x:c>
      <x:c r="E235" s="228"/>
      <x:c r="F235" s="228" t="str">
        <x:v>Zenodo:2649069 | DOI:10.5281/zenodo.2649069</x:v>
      </x:c>
      <x:c r="G235" s="228" t="str">
        <x:v>DOWNLOAD_PUBLIC</x:v>
      </x:c>
      <x:c r="H235" s="228" t="str">
        <x:v>https://doi.org/10.5281/zenodo.2649069</x:v>
      </x:c>
      <x:c r="I235" s="228" t="str">
        <x:v>Visual P300 BCI (Brain Invaders oddball paradigm; target vs non-target)</x:v>
      </x:c>
      <x:c r="J235" s="228" t="str">
        <x:v>25</x:v>
      </x:c>
      <x:c r="K235" s="228" t="str">
        <x:v>16 EEG channels</x:v>
      </x:c>
      <x:c r="L235" s="228" t="str">
        <x:v>512 Hz</x:v>
      </x:c>
      <x:c r="M235" s="228" t="str">
        <x:v>MAT / CSV</x:v>
      </x:c>
      <x:c r="N235" s="228" t="str">
        <x:v>Raw EEG with event markers</x:v>
      </x:c>
      <x:c r="O235" s="228" t="str">
        <x:v>Open Access (Zenodo)</x:v>
      </x:c>
      <x:c r="P235" s="228" t="str">
        <x:v>Van Veen et al. 2019</x:v>
      </x:c>
      <x:c r="Q235" s="228" t="str">
        <x:v>06_Motor_and_Interaction/Interaction_and_Control/BI.EEG.2012-GIPSA_Brain_Invaders_2012</x:v>
      </x:c>
      <x:c r="R235" s="228" t="str">
        <x:v>存在公开仓库、官方入口或稳定数据访问号</x:v>
      </x:c>
      <x:c r="S235" s="228"/>
      <x:c r="T235" s="228"/>
      <x:c r="U235" s="205"/>
    </x:row>
    <x:row r="236" ht="60" customHeight="1">
      <x:c r="A236" s="262" t="str">
        <x:v>EEG-0462</x:v>
      </x:c>
      <x:c r="B236" s="263" t="str">
        <x:v>06_Motor_and_Interaction</x:v>
      </x:c>
      <x:c r="C236" s="263" t="str">
        <x:v>Interaction_and_Control</x:v>
      </x:c>
      <x:c r="D236" s="263" t="str">
        <x:v>BI.EEG.2013-GIPSA (Brain Invaders 2013)</x:v>
      </x:c>
      <x:c r="E236" s="263"/>
      <x:c r="F236" s="263" t="str">
        <x:v>Zenodo:1494163 | DOI:10.5281/zenodo.1494163</x:v>
      </x:c>
      <x:c r="G236" s="263" t="str">
        <x:v>DOWNLOAD_PUBLIC</x:v>
      </x:c>
      <x:c r="H236" s="263" t="str">
        <x:v>https://doi.org/10.5281/zenodo.1494163</x:v>
      </x:c>
      <x:c r="I236" s="263" t="str">
        <x:v>Visual P300 BCI (Brain Invaders; adaptive vs non-adaptive calibration)</x:v>
      </x:c>
      <x:c r="J236" s="263" t="str">
        <x:v>24</x:v>
      </x:c>
      <x:c r="K236" s="263" t="str">
        <x:v>16 EEG channels</x:v>
      </x:c>
      <x:c r="L236" s="263" t="str">
        <x:v>512 Hz</x:v>
      </x:c>
      <x:c r="M236" s="263" t="str">
        <x:v>MAT / CSV</x:v>
      </x:c>
      <x:c r="N236" s="263" t="str">
        <x:v>Raw EEG with event markers</x:v>
      </x:c>
      <x:c r="O236" s="263" t="str">
        <x:v>Open Access (Zenodo)</x:v>
      </x:c>
      <x:c r="P236" s="263" t="str">
        <x:v>Vaineau et al. 2019</x:v>
      </x:c>
      <x:c r="Q236" s="263" t="str">
        <x:v>06_Motor_and_Interaction/Interaction_and_Control/BI.EEG.2013-GIPSA_Brain_Invaders_2013</x:v>
      </x:c>
      <x:c r="R236" s="263" t="str">
        <x:v>存在公开仓库、官方入口或稳定数据访问号</x:v>
      </x:c>
      <x:c r="S236" s="263"/>
      <x:c r="T236" s="263"/>
      <x:c r="U236" s="264"/>
    </x:row>
    <x:row r="237" ht="60" customHeight="1">
      <x:c r="A237" s="239" t="str">
        <x:v>EEG-0468</x:v>
      </x:c>
      <x:c r="B237" s="228" t="str">
        <x:v>06_Motor_and_Interaction</x:v>
      </x:c>
      <x:c r="C237" s="228" t="str">
        <x:v>Interaction_and_Control</x:v>
      </x:c>
      <x:c r="D237" s="228" t="str">
        <x:v>BNCI 003-2015 (Visual P300 speller)</x:v>
      </x:c>
      <x:c r="E237" s="228" t="str">
        <x:v>BNCI2015_003 [EEG-0477]</x:v>
      </x:c>
      <x:c r="F237" s="228" t="str">
        <x:v>BNCI:BNCI 003-2015</x:v>
      </x:c>
      <x:c r="G237" s="228" t="str">
        <x:v>DOWNLOAD_PUBLIC</x:v>
      </x:c>
      <x:c r="H237" s="228" t="str">
        <x:v>http://bnci-horizon-2020.eu/database/data-sets | [MOABB BNCI2015_003](https://moabb.neurotechx.com/docs/generated/moabb.datasets.BNCI2015_003.html)</x:v>
      </x:c>
      <x:c r="I237" s="228" t="str">
        <x:v>Visual P300 speller row/column spelling task；auditory BCI speller / AMUSE P300; Target vs NonTarget</x:v>
      </x:c>
      <x:c r="J237" s="228" t="str">
        <x:v>10</x:v>
      </x:c>
      <x:c r="K237" s="228" t="str">
        <x:v>8 EEG channels</x:v>
      </x:c>
      <x:c r="L237" s="228" t="str">
        <x:v>256 Hz</x:v>
      </x:c>
      <x:c r="M237" s="228" t="str">
        <x:v>MAT</x:v>
      </x:c>
      <x:c r="N237" s="228" t="str">
        <x:v>Raw EEG</x:v>
      </x:c>
      <x:c r="O237" s="228" t="str">
        <x:v>Open, CC BY-NC-ND 4.0, no application</x:v>
      </x:c>
      <x:c r="P237" s="228" t="str">
        <x:v>g.tec medical engineering；Schreuder et al. (2011); REVE Appendix B</x:v>
      </x:c>
      <x:c r="Q237" s="228" t="str">
        <x:v>06_Motor_and_Interaction/Interaction_and_Control/BNCI_003-2015_Visual_P300_speller</x:v>
      </x:c>
      <x:c r="R237" s="228" t="str">
        <x:v>官方数据存在，但需申请、签署协议或获得权限；2026-08-04去重：EEG-0477并入EEG-0468（BNCI 003-2015 / BNCI2015_003）</x:v>
      </x:c>
      <x:c r="S237" s="228"/>
      <x:c r="T237" s="228"/>
      <x:c r="U237" s="205"/>
    </x:row>
    <x:row r="238" ht="60" customHeight="1">
      <x:c r="A238" s="262" t="str">
        <x:v>EEG-0469</x:v>
      </x:c>
      <x:c r="B238" s="263" t="str">
        <x:v>06_Motor_and_Interaction</x:v>
      </x:c>
      <x:c r="C238" s="263" t="str">
        <x:v>Interaction_and_Control</x:v>
      </x:c>
      <x:c r="D238" s="263" t="str">
        <x:v>BNCI 006-2015 (Music BCI)</x:v>
      </x:c>
      <x:c r="E238" s="263" t="str">
        <x:v>BNCI2015_006 (Music BCI)</x:v>
      </x:c>
      <x:c r="F238" s="263" t="str">
        <x:v>BNCI:BNCI 006-2015</x:v>
      </x:c>
      <x:c r="G238" s="263" t="str">
        <x:v>DOWNLOAD_APPLICATION_REQUIRED</x:v>
      </x:c>
      <x:c r="H238" s="263" t="str">
        <x:v>http://bnci-horizon-2020.eu/database/data-sets</x:v>
      </x:c>
      <x:c r="I238" s="263" t="str">
        <x:v>Music-based visual BCI speller spelling</x:v>
      </x:c>
      <x:c r="J238" s="263" t="str">
        <x:v>11</x:v>
      </x:c>
      <x:c r="K238" s="263" t="str">
        <x:v>64 EEG channels</x:v>
      </x:c>
      <x:c r="L238" s="263" t="str">
        <x:v>250 Hz</x:v>
      </x:c>
      <x:c r="M238" s="263" t="str">
        <x:v>MAT</x:v>
      </x:c>
      <x:c r="N238" s="263" t="str">
        <x:v>Raw EEG</x:v>
      </x:c>
      <x:c r="O238" s="263" t="str">
        <x:v>Open Access</x:v>
      </x:c>
      <x:c r="P238" s="263" t="str">
        <x:v>Sturm et al. 2014</x:v>
      </x:c>
      <x:c r="Q238" s="263" t="str">
        <x:v>06_Motor_and_Interaction/Interaction_and_Control/BNCI_006-2015_Music_BCI</x:v>
      </x:c>
      <x:c r="R238" s="263" t="str">
        <x:v>官方数据存在，但需申请、签署协议或获得权限</x:v>
      </x:c>
      <x:c r="S238" s="263"/>
      <x:c r="T238" s="263"/>
      <x:c r="U238" s="264"/>
    </x:row>
    <x:row r="239" ht="60" customHeight="1">
      <x:c r="A239" s="239" t="str">
        <x:v>EEG-0470</x:v>
      </x:c>
      <x:c r="B239" s="228" t="str">
        <x:v>06_Motor_and_Interaction</x:v>
      </x:c>
      <x:c r="C239" s="228" t="str">
        <x:v>Interaction_and_Control</x:v>
      </x:c>
      <x:c r="D239" s="228" t="str">
        <x:v>BNCI 008-2015 (Center Speller)</x:v>
      </x:c>
      <x:c r="E239" s="228" t="str">
        <x:v>BNCI2015_008 (Center Speller)</x:v>
      </x:c>
      <x:c r="F239" s="228" t="str">
        <x:v>BNCI:BNCI 008-2015</x:v>
      </x:c>
      <x:c r="G239" s="228" t="str">
        <x:v>DOWNLOAD_APPLICATION_REQUIRED</x:v>
      </x:c>
      <x:c r="H239" s="228" t="str">
        <x:v>http://bnci-horizon-2020.eu/database/data-sets</x:v>
      </x:c>
      <x:c r="I239" s="228" t="str">
        <x:v>Gaze-independent Center Speller item selection</x:v>
      </x:c>
      <x:c r="J239" s="228" t="str">
        <x:v>13</x:v>
      </x:c>
      <x:c r="K239" s="228" t="str">
        <x:v>63 EEG channels</x:v>
      </x:c>
      <x:c r="L239" s="228" t="str">
        <x:v>250 Hz</x:v>
      </x:c>
      <x:c r="M239" s="228" t="str">
        <x:v>MAT</x:v>
      </x:c>
      <x:c r="N239" s="228" t="str">
        <x:v>Raw EEG</x:v>
      </x:c>
      <x:c r="O239" s="228" t="str">
        <x:v>Open, CC BY-NC-ND 4.0, no application</x:v>
      </x:c>
      <x:c r="P239" s="228" t="str">
        <x:v>Treder/Blankertz, TU Berlin</x:v>
      </x:c>
      <x:c r="Q239" s="228" t="str">
        <x:v>06_Motor_and_Interaction/Interaction_and_Control/BNCI_008-2015_Center_Speller</x:v>
      </x:c>
      <x:c r="R239" s="228" t="str">
        <x:v>官方数据存在，但需申请、签署协议或获得权限</x:v>
      </x:c>
      <x:c r="S239" s="228"/>
      <x:c r="T239" s="228"/>
      <x:c r="U239" s="205"/>
    </x:row>
    <x:row r="240" ht="60" customHeight="1">
      <x:c r="A240" s="262" t="str">
        <x:v>EEG-0471</x:v>
      </x:c>
      <x:c r="B240" s="263" t="str">
        <x:v>06_Motor_and_Interaction</x:v>
      </x:c>
      <x:c r="C240" s="263" t="str">
        <x:v>Interaction_and_Control</x:v>
      </x:c>
      <x:c r="D240" s="263" t="str">
        <x:v>BNCI 009-2014 (Covert and overt ERP)</x:v>
      </x:c>
      <x:c r="E240" s="263" t="str">
        <x:v>BNCI2014_009 [EEG-0476]</x:v>
      </x:c>
      <x:c r="F240" s="263" t="str">
        <x:v>BNCI:BNCI 009-2014</x:v>
      </x:c>
      <x:c r="G240" s="263" t="str">
        <x:v>DOWNLOAD_PUBLIC</x:v>
      </x:c>
      <x:c r="H240" s="263" t="str">
        <x:v>http://bnci-horizon-2020.eu/database/data-sets | [MOABB BNCI2014_009](https://moabb.neurotechx.com/docs/generated/moabb.datasets.BNCI2014_009.html)</x:v>
      </x:c>
      <x:c r="I240" s="263" t="str">
        <x:v>Visual speller overt vs covert attention spelling；P300 / ERP target vs non-target; P300 speller / GeoSpell</x:v>
      </x:c>
      <x:c r="J240" s="263" t="str">
        <x:v>10</x:v>
      </x:c>
      <x:c r="K240" s="263" t="str">
        <x:v>16 EEG channels</x:v>
      </x:c>
      <x:c r="L240" s="263" t="str">
        <x:v>256 Hz</x:v>
      </x:c>
      <x:c r="M240" s="263" t="str">
        <x:v>MAT</x:v>
      </x:c>
      <x:c r="N240" s="263" t="str">
        <x:v>Raw EEG</x:v>
      </x:c>
      <x:c r="O240" s="263" t="str">
        <x:v>Open, CC BY-NC-ND 4.0, no application</x:v>
      </x:c>
      <x:c r="P240" s="263" t="str">
        <x:v>Aloise/Riccio, IRCCS Santa Lucia；Arico et al.; Aloise et al.; EEG-FM-Compass Table IV (2026)</x:v>
      </x:c>
      <x:c r="Q240" s="263" t="str">
        <x:v>06_Motor_and_Interaction/Interaction_and_Control/BNCI_009-2014_Covert_and_overt_ERP</x:v>
      </x:c>
      <x:c r="R240" s="263" t="str">
        <x:v>官方数据存在，但需申请、签署协议或获得权限；2026-08-04去重：EEG-0476并入EEG-0471（BNCI 009-2014 / BNCI2014_009）</x:v>
      </x:c>
      <x:c r="S240" s="263"/>
      <x:c r="T240" s="263"/>
      <x:c r="U240" s="264"/>
    </x:row>
    <x:row r="241" ht="60" customHeight="1">
      <x:c r="A241" s="239" t="str">
        <x:v>EEG-0472</x:v>
      </x:c>
      <x:c r="B241" s="228" t="str">
        <x:v>06_Motor_and_Interaction</x:v>
      </x:c>
      <x:c r="C241" s="228" t="str">
        <x:v>Interaction_and_Control</x:v>
      </x:c>
      <x:c r="D241" s="228" t="str">
        <x:v>BNCI 009-2015 (AMUSE auditory speller)</x:v>
      </x:c>
      <x:c r="E241" s="228" t="str">
        <x:v>BNCI2015_009 (AMUSE auditory ERP)</x:v>
      </x:c>
      <x:c r="F241" s="228" t="str">
        <x:v>BNCI:BNCI 009-2015</x:v>
      </x:c>
      <x:c r="G241" s="228" t="str">
        <x:v>DOWNLOAD_APPLICATION_REQUIRED</x:v>
      </x:c>
      <x:c r="H241" s="228" t="str">
        <x:v>http://bnci-horizon-2020.eu/database/data-sets</x:v>
      </x:c>
      <x:c r="I241" s="228" t="str">
        <x:v>Auditory speller gaze-independent spelling</x:v>
      </x:c>
      <x:c r="J241" s="228" t="str">
        <x:v>21</x:v>
      </x:c>
      <x:c r="K241" s="228" t="str">
        <x:v>62 EEG channels</x:v>
      </x:c>
      <x:c r="L241" s="228" t="str">
        <x:v>250 Hz</x:v>
      </x:c>
      <x:c r="M241" s="228" t="str">
        <x:v>MAT</x:v>
      </x:c>
      <x:c r="N241" s="228" t="str">
        <x:v>Raw EEG</x:v>
      </x:c>
      <x:c r="O241" s="228" t="str">
        <x:v>Open, CC BY-NC-ND 4.0, no application</x:v>
      </x:c>
      <x:c r="P241" s="228" t="str">
        <x:v>Schreuder et al., TU Berlin</x:v>
      </x:c>
      <x:c r="Q241" s="228" t="str">
        <x:v>06_Motor_and_Interaction/Interaction_and_Control/BNCI_009-2015_AMUSE_auditory_speller</x:v>
      </x:c>
      <x:c r="R241" s="228" t="str">
        <x:v>官方数据存在，但需申请、签署协议或获得权限</x:v>
      </x:c>
      <x:c r="S241" s="228"/>
      <x:c r="T241" s="228"/>
      <x:c r="U241" s="205"/>
    </x:row>
    <x:row r="242" ht="60" customHeight="1">
      <x:c r="A242" s="262" t="str">
        <x:v>EEG-0473</x:v>
      </x:c>
      <x:c r="B242" s="263" t="str">
        <x:v>06_Motor_and_Interaction</x:v>
      </x:c>
      <x:c r="C242" s="263" t="str">
        <x:v>Interaction_and_Control</x:v>
      </x:c>
      <x:c r="D242" s="263" t="str">
        <x:v>BNCI 010-2015 (RSVP speller)</x:v>
      </x:c>
      <x:c r="E242" s="263" t="str">
        <x:v>BNCI2015_010 (RSVP speller)</x:v>
      </x:c>
      <x:c r="F242" s="263" t="str">
        <x:v>BNCI:BNCI 010-2015</x:v>
      </x:c>
      <x:c r="G242" s="263" t="str">
        <x:v>DOWNLOAD_APPLICATION_REQUIRED</x:v>
      </x:c>
      <x:c r="H242" s="263" t="str">
        <x:v>http://bnci-horizon-2020.eu/database/data-sets</x:v>
      </x:c>
      <x:c r="I242" s="263" t="str">
        <x:v>Rapid Serial Visual Presentation (RSVP) speller spelling</x:v>
      </x:c>
      <x:c r="J242" s="263" t="str">
        <x:v>12</x:v>
      </x:c>
      <x:c r="K242" s="263" t="str">
        <x:v>63 EEG channels</x:v>
      </x:c>
      <x:c r="L242" s="263" t="str">
        <x:v>250 Hz</x:v>
      </x:c>
      <x:c r="M242" s="263" t="str">
        <x:v>MAT</x:v>
      </x:c>
      <x:c r="N242" s="263" t="str">
        <x:v>Raw EEG</x:v>
      </x:c>
      <x:c r="O242" s="263" t="str">
        <x:v>Open, CC BY-NC-ND 4.0, no application</x:v>
      </x:c>
      <x:c r="P242" s="263" t="str">
        <x:v>Acqualagna/Blankertz, TU Berlin</x:v>
      </x:c>
      <x:c r="Q242" s="263" t="str">
        <x:v>06_Motor_and_Interaction/Interaction_and_Control/BNCI_010-2015_RSVP_speller</x:v>
      </x:c>
      <x:c r="R242" s="263" t="str">
        <x:v>官方数据存在，但需申请、签署协议或获得权限</x:v>
      </x:c>
      <x:c r="S242" s="263"/>
      <x:c r="T242" s="263"/>
      <x:c r="U242" s="264"/>
    </x:row>
    <x:row r="243" ht="60" customHeight="1">
      <x:c r="A243" s="239" t="str">
        <x:v>EEG-0474</x:v>
      </x:c>
      <x:c r="B243" s="228" t="str">
        <x:v>06_Motor_and_Interaction</x:v>
      </x:c>
      <x:c r="C243" s="228" t="str">
        <x:v>Interaction_and_Control</x:v>
      </x:c>
      <x:c r="D243" s="228" t="str">
        <x:v>BNCI 011-2015 (ECoG-based BCI based on cognitive control)</x:v>
      </x:c>
      <x:c r="E243" s="228"/>
      <x:c r="F243" s="228" t="str">
        <x:v>BNCI:BNCI 011-2015</x:v>
      </x:c>
      <x:c r="G243" s="228" t="str">
        <x:v>DOWNLOAD_PUBLIC</x:v>
      </x:c>
      <x:c r="H243" s="228" t="str">
        <x:v>http://bnci-horizon-2020.eu/database/data-sets</x:v>
      </x:c>
      <x:c r="I243" s="228" t="str">
        <x:v>DLPFC gamma-power modulation for ECoG cursor control</x:v>
      </x:c>
      <x:c r="J243" s="228" t="str">
        <x:v>1</x:v>
      </x:c>
      <x:c r="K243" s="228" t="str">
        <x:v>Subdural ECoG grid electrodes</x:v>
      </x:c>
      <x:c r="L243" s="228" t="str">
        <x:v>512 Hz</x:v>
      </x:c>
      <x:c r="M243" s="228" t="str">
        <x:v>MAT</x:v>
      </x:c>
      <x:c r="N243" s="228" t="str">
        <x:v>Raw ECoG</x:v>
      </x:c>
      <x:c r="O243" s="228" t="str">
        <x:v>Open Access</x:v>
      </x:c>
      <x:c r="P243" s="228" t="str">
        <x:v>Vansteensel et al. 2010</x:v>
      </x:c>
      <x:c r="Q243" s="228" t="str">
        <x:v>06_Motor_and_Interaction/Interaction_and_Control/BNCI_011-2015_ECoG-based_BCI_based_on_cognitive_control</x:v>
      </x:c>
      <x:c r="R243" s="228" t="str">
        <x:v>存在公开仓库、官方入口或稳定数据访问号</x:v>
      </x:c>
      <x:c r="S243" s="228"/>
      <x:c r="T243" s="228"/>
      <x:c r="U243" s="205"/>
    </x:row>
    <x:row r="244" ht="60" customHeight="1">
      <x:c r="A244" s="262" t="str">
        <x:v>EEG-0475</x:v>
      </x:c>
      <x:c r="B244" s="263" t="str">
        <x:v>06_Motor_and_Interaction</x:v>
      </x:c>
      <x:c r="C244" s="263" t="str">
        <x:v>Interaction_and_Control</x:v>
      </x:c>
      <x:c r="D244" s="263" t="str">
        <x:v>BNCI 012-2015 (PASS2D auditory ERP Speller)</x:v>
      </x:c>
      <x:c r="E244" s="263" t="str">
        <x:v>BNCI2015_012 (PASS2D auditory ERP)</x:v>
      </x:c>
      <x:c r="F244" s="263" t="str">
        <x:v>BNCI:BNCI 012-2015</x:v>
      </x:c>
      <x:c r="G244" s="263" t="str">
        <x:v>DOWNLOAD_APPLICATION_REQUIRED</x:v>
      </x:c>
      <x:c r="H244" s="263" t="str">
        <x:v>http://bnci-horizon-2020.eu/database/data-sets</x:v>
      </x:c>
      <x:c r="I244" s="263" t="str">
        <x:v>Auditory spatial speller gaze-independent spelling</x:v>
      </x:c>
      <x:c r="J244" s="263" t="str">
        <x:v>10</x:v>
      </x:c>
      <x:c r="K244" s="263" t="str">
        <x:v>63 EEG channels</x:v>
      </x:c>
      <x:c r="L244" s="263" t="str">
        <x:v>250 Hz</x:v>
      </x:c>
      <x:c r="M244" s="263" t="str">
        <x:v>MAT</x:v>
      </x:c>
      <x:c r="N244" s="263" t="str">
        <x:v>Raw EEG</x:v>
      </x:c>
      <x:c r="O244" s="263" t="str">
        <x:v>Open, CC BY-NC-ND 4.0, no application</x:v>
      </x:c>
      <x:c r="P244" s="263" t="str">
        <x:v>TU Berlin Neurotech Group</x:v>
      </x:c>
      <x:c r="Q244" s="263" t="str">
        <x:v>06_Motor_and_Interaction/Interaction_and_Control/BNCI_012-2015_PASS2D_auditory_ERP_Speller</x:v>
      </x:c>
      <x:c r="R244" s="263" t="str">
        <x:v>官方数据存在，但需申请、签署协议或获得权限</x:v>
      </x:c>
      <x:c r="S244" s="263"/>
      <x:c r="T244" s="263"/>
      <x:c r="U244" s="264"/>
    </x:row>
    <x:row r="245" ht="60" customHeight="1">
      <x:c r="A245" s="239" t="str">
        <x:v>EEG-0480</x:v>
      </x:c>
      <x:c r="B245" s="228" t="str">
        <x:v>06_Motor_and_Interaction</x:v>
      </x:c>
      <x:c r="C245" s="228" t="str">
        <x:v>Interaction_and_Control</x:v>
      </x:c>
      <x:c r="D245" s="228" t="str">
        <x:v>Dataset of an EEG-based BCI experiment in Virtual Reality and on a Personal Computer</x:v>
      </x:c>
      <x:c r="E245" s="228"/>
      <x:c r="F245" s="228" t="str">
        <x:v>Zenodo:2605205 | DOI:10.48550/arXiv.1903.11297</x:v>
      </x:c>
      <x:c r="G245" s="228" t="str">
        <x:v>DOWNLOAD_PUBLIC</x:v>
      </x:c>
      <x:c r="H245" s="228" t="str">
        <x:v>https://zenodo.org/records/2605205</x:v>
      </x:c>
      <x:c r="I245" s="228" t="str">
        <x:v>Visual P300 BCI task</x:v>
      </x:c>
      <x:c r="J245" s="228" t="str">
        <x:v>21</x:v>
      </x:c>
      <x:c r="K245" s="228" t="str">
        <x:v>16</x:v>
      </x:c>
      <x:c r="L245" s="228" t="str">
        <x:v>512 Hz</x:v>
      </x:c>
      <x:c r="M245" s="228" t="str">
        <x:v>.mat</x:v>
      </x:c>
      <x:c r="N245" s="228" t="str">
        <x:v>Raw</x:v>
      </x:c>
      <x:c r="O245" s="228" t="str">
        <x:v>Fully open</x:v>
      </x:c>
      <x:c r="P245" s="228" t="str">
        <x:v>DOI: 10.48550/arXiv.1903.11297</x:v>
      </x:c>
      <x:c r="Q245" s="228" t="str">
        <x:v>06_Motor_and_Interaction/Interaction_and_Control/Dataset_of_an_EEG-based_BCI_experiment_in_Virtual_Reality_and_on_a_Personal_Computer</x:v>
      </x:c>
      <x:c r="R245" s="228" t="str">
        <x:v>存在公开仓库、官方入口或稳定数据访问号</x:v>
      </x:c>
      <x:c r="S245" s="228"/>
      <x:c r="T245" s="228"/>
      <x:c r="U245" s="205"/>
    </x:row>
    <x:row r="246" ht="60" customHeight="1">
      <x:c r="A246" s="262" t="str">
        <x:v>EEG-0481</x:v>
      </x:c>
      <x:c r="B246" s="263" t="str">
        <x:v>06_Motor_and_Interaction</x:v>
      </x:c>
      <x:c r="C246" s="263" t="str">
        <x:v>Interaction_and_Control</x:v>
      </x:c>
      <x:c r="D246" s="263" t="str">
        <x:v>EEG Data for Emotive Response to Robot Facial Expressions</x:v>
      </x:c>
      <x:c r="E246" s="263"/>
      <x:c r="F246" s="263" t="str">
        <x:v>Zenodo:5784856 | DOI:10.1109/JIOT.2021.3097592</x:v>
      </x:c>
      <x:c r="G246" s="263" t="str">
        <x:v>DOWNLOAD_PUBLIC</x:v>
      </x:c>
      <x:c r="H246" s="263" t="str">
        <x:v>https://zenodo.org/records/5784856</x:v>
      </x:c>
      <x:c r="I246" s="263" t="str">
        <x:v>Visual human–robot interaction</x:v>
      </x:c>
      <x:c r="J246" s="263" t="str">
        <x:v>10</x:v>
      </x:c>
      <x:c r="K246" s="263" t="str">
        <x:v>16</x:v>
      </x:c>
      <x:c r="L246" s="263" t="str">
        <x:v>128 Hz</x:v>
      </x:c>
      <x:c r="M246" s="263" t="str">
        <x:v>.mat</x:v>
      </x:c>
      <x:c r="N246" s="263" t="str">
        <x:v>RAW</x:v>
      </x:c>
      <x:c r="O246" s="263" t="str">
        <x:v>Fully open</x:v>
      </x:c>
      <x:c r="P246" s="263" t="str">
        <x:v>DOI: 10.1109/JIOT.2021.3097592</x:v>
      </x:c>
      <x:c r="Q246" s="263" t="str">
        <x:v>06_Motor_and_Interaction/Interaction_and_Control/EEG_Data_for_Emotive_Response_to_Robot_Facial_Expressions</x:v>
      </x:c>
      <x:c r="R246" s="263" t="str">
        <x:v>存在公开仓库、官方入口或稳定数据访问号</x:v>
      </x:c>
      <x:c r="S246" s="263"/>
      <x:c r="T246" s="263"/>
      <x:c r="U246" s="264"/>
    </x:row>
    <x:row r="247" ht="60" customHeight="1">
      <x:c r="A247" s="239" t="str">
        <x:v>EEG-0482</x:v>
      </x:c>
      <x:c r="B247" s="228" t="str">
        <x:v>06_Motor_and_Interaction</x:v>
      </x:c>
      <x:c r="C247" s="228" t="str">
        <x:v>Interaction_and_Control</x:v>
      </x:c>
      <x:c r="D247" s="228" t="str">
        <x:v>EEG data recorded during spoken and imagined speech interaction with a simulated robot</x:v>
      </x:c>
      <x:c r="E247" s="228"/>
      <x:c r="F247" s="228" t="str">
        <x:v>Zenodo:15516012 | DOI:10.1109/SMC53654.2022.9945447</x:v>
      </x:c>
      <x:c r="G247" s="228" t="str">
        <x:v>DOWNLOAD_PUBLIC</x:v>
      </x:c>
      <x:c r="H247" s="228" t="str">
        <x:v>https://zenodo.org/records/15516012</x:v>
      </x:c>
      <x:c r="I247" s="228" t="str">
        <x:v>Visual/Auditory object recognition</x:v>
      </x:c>
      <x:c r="J247" s="228" t="str">
        <x:v>15</x:v>
      </x:c>
      <x:c r="K247" s="228" t="str">
        <x:v>64</x:v>
      </x:c>
      <x:c r="L247" s="228" t="str">
        <x:v>500 Hz</x:v>
      </x:c>
      <x:c r="M247" s="228" t="str">
        <x:v>FIF</x:v>
      </x:c>
      <x:c r="N247" s="228" t="str">
        <x:v>Raw data</x:v>
      </x:c>
      <x:c r="O247" s="228" t="str">
        <x:v>Fully open</x:v>
      </x:c>
      <x:c r="P247" s="228" t="str">
        <x:v>DOI： 10.1109/SMC53654.2022.9945447</x:v>
      </x:c>
      <x:c r="Q247" s="228" t="str">
        <x:v>06_Motor_and_Interaction/Interaction_and_Control/EEG_data_recorded_during_spoken_and_imagined_speech_interaction_with_a_simulated_robot</x:v>
      </x:c>
      <x:c r="R247" s="228" t="str">
        <x:v>存在公开仓库、官方入口或稳定数据访问号</x:v>
      </x:c>
      <x:c r="S247" s="228"/>
      <x:c r="T247" s="228"/>
      <x:c r="U247" s="205"/>
    </x:row>
    <x:row r="248" ht="60" customHeight="1">
      <x:c r="A248" s="262" t="str">
        <x:v>EEG-0485</x:v>
      </x:c>
      <x:c r="B248" s="263" t="str">
        <x:v>06_Motor_and_Interaction</x:v>
      </x:c>
      <x:c r="C248" s="263" t="str">
        <x:v>Interaction_and_Control</x:v>
      </x:c>
      <x:c r="D248" s="263" t="str">
        <x:v>Inner-Speech (Thinking-Out-Loud)</x:v>
      </x:c>
      <x:c r="E248" s="263" t="str">
        <x:v>Thinking Out Loud (Inner Speech EEG-based BCI dataset)
Thinking Out Loud Inner Speech dataset (Nieto et al., 2022)</x:v>
      </x:c>
      <x:c r="F248" s="263" t="str">
        <x:v>OpenNeuro:ds003626</x:v>
      </x:c>
      <x:c r="G248" s="263" t="str">
        <x:v>DOWNLOAD_PUBLIC</x:v>
      </x:c>
      <x:c r="H248" s="263" t="str">
        <x:v>https://openneuro.org/datasets/ds003626</x:v>
      </x:c>
      <x:c r="I248" s="263" t="str">
        <x:v>Inner speech BCI (Thinking out loud)</x:v>
      </x:c>
      <x:c r="J248" s="263" t="str">
        <x:v>10</x:v>
      </x:c>
      <x:c r="K248" s="263" t="str">
        <x:v>128 (+8 ext)</x:v>
      </x:c>
      <x:c r="L248" s="263" t="str">
        <x:v>1024 Hz</x:v>
      </x:c>
      <x:c r="M248" s="263" t="str">
        <x:v>Biosemi (.bdf) / .fif</x:v>
      </x:c>
      <x:c r="N248" s="263" t="str">
        <x:v>Both (raw .bdf + processed .fif)</x:v>
      </x:c>
      <x:c r="O248" s="263" t="str">
        <x:v>Open (OpenNeuro ds003626), CC</x:v>
      </x:c>
      <x:c r="P248" s="263" t="str">
        <x:v>Thinking out loud, an open-access EEG-based BCI dataset for inner speech recognition. Nieto et al., 2022, Scientific Data 9:52.</x:v>
      </x:c>
      <x:c r="Q248" s="263" t="str">
        <x:v>06_Motor_and_Interaction/Interaction_and_Control/Inner-Speech_Thinking-Out-Loud</x:v>
      </x:c>
      <x:c r="R248" s="263" t="str">
        <x:v>存在公开仓库、官方入口或稳定数据访问号</x:v>
      </x:c>
      <x:c r="S248" s="263"/>
      <x:c r="T248" s="263"/>
      <x:c r="U248" s="264"/>
    </x:row>
    <x:row r="249" ht="60" customHeight="1">
      <x:c r="A249" s="239" t="str">
        <x:v>EEG-0487</x:v>
      </x:c>
      <x:c r="B249" s="228" t="str">
        <x:v>06_Motor_and_Interaction</x:v>
      </x:c>
      <x:c r="C249" s="228" t="str">
        <x:v>Interaction_and_Control</x:v>
      </x:c>
      <x:c r="D249" s="228" t="str">
        <x:v>KUL-AAD-NFB: Dataset of Auditory Attention Decoding with Neurofeedback, KU Leuven</x:v>
      </x:c>
      <x:c r="E249" s="228"/>
      <x:c r="F249" s="228" t="str">
        <x:v>Zenodo:20442638 | DOI:10.64898/2026.04.28.721343</x:v>
      </x:c>
      <x:c r="G249" s="228" t="str">
        <x:v>DOWNLOAD_PUBLIC</x:v>
      </x:c>
      <x:c r="H249" s="228" t="str">
        <x:v>https://zenodo.org/records/20442638</x:v>
      </x:c>
      <x:c r="I249" s="228" t="str">
        <x:v>uditory Attention Decoding (AAD) with neurofeedback</x:v>
      </x:c>
      <x:c r="J249" s="228" t="str">
        <x:v>19</x:v>
      </x:c>
      <x:c r="K249" s="228" t="str">
        <x:v>64</x:v>
      </x:c>
      <x:c r="L249" s="228" t="str">
        <x:v>64 Hz -1024 Hz</x:v>
      </x:c>
      <x:c r="M249" s="228" t="str">
        <x:v>.bdf</x:v>
      </x:c>
      <x:c r="N249" s="228" t="str">
        <x:v>Both</x:v>
      </x:c>
      <x:c r="O249" s="228" t="str">
        <x:v>Fully open</x:v>
      </x:c>
      <x:c r="P249" s="228" t="str">
        <x:v>DOI: 10.64898/2026.04.28.721343</x:v>
      </x:c>
      <x:c r="Q249" s="228" t="str">
        <x:v>06_Motor_and_Interaction/Interaction_and_Control/KUL-AAD-NFB_Dataset_of_Auditory_Attention_Decoding_with_Neurofeedback_KU_Leuven</x:v>
      </x:c>
      <x:c r="R249" s="228" t="str">
        <x:v>存在公开仓库、官方入口或稳定数据访问号</x:v>
      </x:c>
      <x:c r="S249" s="228"/>
      <x:c r="T249" s="228"/>
      <x:c r="U249" s="205"/>
    </x:row>
    <x:row r="250" ht="60" customHeight="1">
      <x:c r="A250" s="262" t="str">
        <x:v>EEG-0490</x:v>
      </x:c>
      <x:c r="B250" s="263" t="str">
        <x:v>06_Motor_and_Interaction</x:v>
      </x:c>
      <x:c r="C250" s="263" t="str">
        <x:v>Interaction_and_Control</x:v>
      </x:c>
      <x:c r="D250" s="263" t="str">
        <x:v>RSVP &amp; P300 Speller</x:v>
      </x:c>
      <x:c r="E250" s="263" t="str">
        <x:v>Won (2022)
Won2022</x:v>
      </x:c>
      <x:c r="F250" s="263" t="str">
        <x:v>Figshare:5769449 | DOI:10.6084/m9.figshare.c.5769449.v1</x:v>
      </x:c>
      <x:c r="G250" s="263" t="str">
        <x:v>DOWNLOAD_APPLICATION_REQUIRED</x:v>
      </x:c>
      <x:c r="H250" s="263" t="str">
        <x:v>https://springernature.figshare.com/collections/EEG_Dataset_for_RSVP_and_P300_Speller_Brain-Computer_Interfaces/5769449</x:v>
      </x:c>
      <x:c r="I250" s="263" t="str">
        <x:v>P300 / RSVP speller</x:v>
      </x:c>
      <x:c r="J250" s="263" t="str">
        <x:v>55</x:v>
      </x:c>
      <x:c r="K250" s="263" t="str">
        <x:v>32</x:v>
      </x:c>
      <x:c r="L250" s="263" t="str">
        <x:v>512 Hz</x:v>
      </x:c>
      <x:c r="M250" s="263" t="str">
        <x:v>EEGLAB / MAT</x:v>
      </x:c>
      <x:c r="N250" s="263" t="str">
        <x:v>Both (raw .mat)</x:v>
      </x:c>
      <x:c r="O250" s="263" t="str">
        <x:v>Open (figshare c.5769449), CC-BY 4.0</x:v>
      </x:c>
      <x:c r="P250" s="263" t="str">
        <x:v>EEG dataset for RSVP and P300 speller brain-computer interfaces. Won et al., 2022, Scientific Data 9:388.</x:v>
      </x:c>
      <x:c r="Q250" s="263" t="str">
        <x:v>06_Motor_and_Interaction/Interaction_and_Control/RSVP_P300_Speller</x:v>
      </x:c>
      <x:c r="R250" s="263" t="str">
        <x:v>官方数据存在，但需申请、签署协议或获得权限</x:v>
      </x:c>
      <x:c r="S250" s="263"/>
      <x:c r="T250" s="263"/>
      <x:c r="U250" s="264"/>
    </x:row>
    <x:row r="251" ht="60" customHeight="1">
      <x:c r="A251" s="239" t="str">
        <x:v>EEG-0493</x:v>
      </x:c>
      <x:c r="B251" s="228" t="str">
        <x:v>02_Healthcare_and_Disease</x:v>
      </x:c>
      <x:c r="C251" s="228" t="str">
        <x:v>Cross_Diagnostic_Clinical</x:v>
      </x:c>
      <x:c r="D251" s="228" t="str">
        <x:v>ADSZ</x:v>
      </x:c>
      <x:c r="E251" s="228"/>
      <x:c r="F251" s="228" t="str">
        <x:v>Figshare:19091771</x:v>
      </x:c>
      <x:c r="G251" s="228" t="str">
        <x:v>DOWNLOAD_PUBLIC</x:v>
      </x:c>
      <x:c r="H251" s="228" t="str">
        <x:v>[Figshare ADSZ](https://figshare.com/articles/dataset/Alzheimer_s_disease_and_Schizophrenia/19091771)</x:v>
      </x:c>
      <x:c r="I251" s="228" t="str">
        <x:v>AD vs healthy elderly resting-state EEG subset; eyes-open and eyes-closed</x:v>
      </x:c>
      <x:c r="J251" s="228" t="str">
        <x:v>48</x:v>
      </x:c>
      <x:c r="K251" s="228" t="str">
        <x:v>19</x:v>
      </x:c>
      <x:c r="L251" s="228" t="str">
        <x:v>128Hz</x:v>
      </x:c>
      <x:c r="M251" s="228" t="str">
        <x:v>Figshare files; format release-dependent</x:v>
      </x:c>
      <x:c r="N251" s="228" t="str">
        <x:v>processed / artifact-cleaned</x:v>
      </x:c>
      <x:c r="O251" s="228" t="str">
        <x:v>public Figshare dataset; cite original paper</x:v>
      </x:c>
      <x:c r="P251" s="228" t="str">
        <x:v>Alves et al. (2022); LEAD (2026)</x:v>
      </x:c>
      <x:c r="Q251" s="228" t="str">
        <x:v>03_Consciousness_and_State/Resting_State/ADSZ</x:v>
      </x:c>
      <x:c r="R251" s="228" t="str">
        <x:v>存在公开仓库、官方入口或稳定数据访问号</x:v>
      </x:c>
      <x:c r="S251" s="228"/>
      <x:c r="T251" s="228"/>
      <x:c r="U251" s="205"/>
    </x:row>
    <x:row r="252" ht="60" customHeight="1">
      <x:c r="A252" s="262" t="str">
        <x:v>EEG-0495</x:v>
      </x:c>
      <x:c r="B252" s="263" t="str">
        <x:v>03_Consciousness_and_State</x:v>
      </x:c>
      <x:c r="C252" s="263" t="str">
        <x:v>Resting_State</x:v>
      </x:c>
      <x:c r="D252" s="263" t="str">
        <x:v>BNCI 001-2017 (Upper limb movement decoding)</x:v>
      </x:c>
      <x:c r="E252" s="263"/>
      <x:c r="F252" s="263" t="str">
        <x:v>BNCI:BNCI 001-2017</x:v>
      </x:c>
      <x:c r="G252" s="263" t="str">
        <x:v>DOWNLOAD_APPLICATION_REQUIRED</x:v>
      </x:c>
      <x:c r="H252" s="263" t="str">
        <x:v>http://bnci-horizon-2020.eu/database/data-sets</x:v>
      </x:c>
      <x:c r="I252" s="263" t="str">
        <x:v>Decoding 6 upper limb movement classes vs rest</x:v>
      </x:c>
      <x:c r="J252" s="263" t="str">
        <x:v>15</x:v>
      </x:c>
      <x:c r="K252" s="263" t="str">
        <x:v>61 EEG + 3 EOG channels</x:v>
      </x:c>
      <x:c r="L252" s="263" t="str">
        <x:v>256 Hz</x:v>
      </x:c>
      <x:c r="M252" s="263" t="str">
        <x:v>MAT</x:v>
      </x:c>
      <x:c r="N252" s="263" t="str">
        <x:v>Raw EEG + EOG</x:v>
      </x:c>
      <x:c r="O252" s="263" t="str">
        <x:v>Open, CC BY 4.0, no application</x:v>
      </x:c>
      <x:c r="P252" s="263" t="str">
        <x:v>Ofner et al., TU Graz</x:v>
      </x:c>
      <x:c r="Q252" s="263" t="str">
        <x:v>03_Consciousness_and_State/Resting_State/BNCI_001-2017_Upper_limb_movement_decoding</x:v>
      </x:c>
      <x:c r="R252" s="263" t="str">
        <x:v>官方数据存在，但需申请、签署协议或获得权限</x:v>
      </x:c>
      <x:c r="S252" s="263"/>
      <x:c r="T252" s="263"/>
      <x:c r="U252" s="264"/>
    </x:row>
    <x:row r="253" ht="60" customHeight="1">
      <x:c r="A253" s="239" t="str">
        <x:v>EEG-0499</x:v>
      </x:c>
      <x:c r="B253" s="228" t="str">
        <x:v>03_Consciousness_and_State</x:v>
      </x:c>
      <x:c r="C253" s="228" t="str">
        <x:v>Resting_State</x:v>
      </x:c>
      <x:c r="D253" s="228" t="str">
        <x:v>Delving into the relationship between regular physical exercise and cardiac interoception in two cross-sectional studies</x:v>
      </x:c>
      <x:c r="E253" s="228"/>
      <x:c r="F253" s="228" t="str">
        <x:v>Zenodo:8130405 | DOI:10.1016/j.neuropsychologia.2024.108867</x:v>
      </x:c>
      <x:c r="G253" s="228" t="str">
        <x:v>DOWNLOAD_PUBLIC</x:v>
      </x:c>
      <x:c r="H253" s="228" t="str">
        <x:v>https://zenodo.org/records/8130405</x:v>
      </x:c>
      <x:c r="I253" s="228" t="str">
        <x:v>resting-state EEG</x:v>
      </x:c>
      <x:c r="J253" s="228" t="str">
        <x:v>210</x:v>
      </x:c>
      <x:c r="K253" s="228" t="str">
        <x:v>64</x:v>
      </x:c>
      <x:c r="L253" s="228" t="str">
        <x:v>256 Hz–1024 Hz</x:v>
      </x:c>
      <x:c r="M253" s="228" t="str">
        <x:v>.set .fdt</x:v>
      </x:c>
      <x:c r="N253" s="228" t="str">
        <x:v>RAW</x:v>
      </x:c>
      <x:c r="O253" s="228" t="str">
        <x:v>Fully open</x:v>
      </x:c>
      <x:c r="P253" s="228" t="str">
        <x:v>DOI: 10.1016/j.neuropsychologia.2024.108867</x:v>
      </x:c>
      <x:c r="Q253" s="228" t="str">
        <x:v>03_Consciousness_and_State/Resting_State/Delving_into_the_relationship_between_regular_physical_exercise_and_cardiac_interoception_</x:v>
      </x:c>
      <x:c r="R253" s="228" t="str">
        <x:v>存在公开仓库、官方入口或稳定数据访问号</x:v>
      </x:c>
      <x:c r="S253" s="228"/>
      <x:c r="T253" s="228"/>
      <x:c r="U253" s="205"/>
    </x:row>
    <x:row r="254" ht="60" customHeight="1">
      <x:c r="A254" s="262" t="str">
        <x:v>EEG-0500</x:v>
      </x:c>
      <x:c r="B254" s="263" t="str">
        <x:v>03_Consciousness_and_State</x:v>
      </x:c>
      <x:c r="C254" s="263" t="str">
        <x:v>Resting_State</x:v>
      </x:c>
      <x:c r="D254" s="263" t="str">
        <x:v>EEG Pre</x:v>
      </x:c>
      <x:c r="E254" s="263"/>
      <x:c r="F254" s="263" t="str">
        <x:v>OpenNeuro:ds007558</x:v>
      </x:c>
      <x:c r="G254" s="263" t="str">
        <x:v>DOWNLOAD_PUBLIC</x:v>
      </x:c>
      <x:c r="H254" s="263" t="str">
        <x:v>[OpenNeuro ds007558](https://openneuro.org/datasets/ds007558/versions/1.0.0)</x:v>
      </x:c>
      <x:c r="I254" s="263" t="str">
        <x:v>pre/post intervention resting-state EEG；longitudinal clinical change</x:v>
      </x:c>
      <x:c r="J254" s="263" t="str">
        <x:v>67</x:v>
      </x:c>
      <x:c r="K254" s="263" t="str">
        <x:v>19</x:v>
      </x:c>
      <x:c r="L254" s="263" t="str">
        <x:v>200Hz</x:v>
      </x:c>
      <x:c r="M254" s="263" t="str">
        <x:v>BIDS</x:v>
      </x:c>
      <x:c r="N254" s="263" t="str">
        <x:v>raw BIDS</x:v>
      </x:c>
      <x:c r="O254" s="263" t="str">
        <x:v>公开下载：OpenNeuro ds007558 v1.0.0；CC0，可网页、OpenNeuro CLI 或 DataLad 获取。</x:v>
      </x:c>
      <x:c r="P254" s="263" t="str">
        <x:v>Mengsha Qi</x:v>
      </x:c>
      <x:c r="Q254" s="263" t="str">
        <x:v>03_Consciousness_and_State/Resting_State/EEG_Pre</x:v>
      </x:c>
      <x:c r="R254" s="263" t="str">
        <x:v>存在公开仓库、官方入口或稳定数据访问号</x:v>
      </x:c>
      <x:c r="S254" s="263"/>
      <x:c r="T254" s="263"/>
      <x:c r="U254" s="264"/>
    </x:row>
    <x:row r="255" ht="60" customHeight="1">
      <x:c r="A255" s="239" t="str">
        <x:v>EEG-0501</x:v>
      </x:c>
      <x:c r="B255" s="228" t="str">
        <x:v>03_Consciousness_and_State</x:v>
      </x:c>
      <x:c r="C255" s="228" t="str">
        <x:v>Resting_State</x:v>
      </x:c>
      <x:c r="D255" s="228" t="str">
        <x:v>Fractionation of parietal function in bistable perception probed with concurrent TMS-EEG</x:v>
      </x:c>
      <x:c r="E255" s="228"/>
      <x:c r="F255" s="228" t="str">
        <x:v>Zenodo:4990628 | DOI:10.1038/sdata.2016.65</x:v>
      </x:c>
      <x:c r="G255" s="228" t="str">
        <x:v>DOWNLOAD_PUBLIC</x:v>
      </x:c>
      <x:c r="H255" s="228" t="str">
        <x:v>https://zenodo.org/records/4990628</x:v>
      </x:c>
      <x:c r="I255" s="228" t="str">
        <x:v>ambiguous/bistable rotating sphere、disambiguated replay sphere、resting-state fixation</x:v>
      </x:c>
      <x:c r="J255" s="228" t="str">
        <x:v>16</x:v>
      </x:c>
      <x:c r="K255" s="228" t="str">
        <x:v>64</x:v>
      </x:c>
      <x:c r="L255" s="228" t="str">
        <x:v>2048 Hz</x:v>
      </x:c>
      <x:c r="M255" s="228" t="str">
        <x:v>.mat</x:v>
      </x:c>
      <x:c r="N255" s="228" t="str">
        <x:v>Processed Data</x:v>
      </x:c>
      <x:c r="O255" s="228" t="str">
        <x:v>Fully open</x:v>
      </x:c>
      <x:c r="P255" s="228" t="str">
        <x:v>DOI: 10.1038/sdata.2016.65</x:v>
      </x:c>
      <x:c r="Q255" s="228" t="str">
        <x:v>03_Consciousness_and_State/Resting_State/Fractionation_of_parietal_function_in_bistable_perception_probed_with_concurrent_TMS-EEG</x:v>
      </x:c>
      <x:c r="R255" s="228" t="str">
        <x:v>存在公开仓库、官方入口或稳定数据访问号</x:v>
      </x:c>
      <x:c r="S255" s="228"/>
      <x:c r="T255" s="228"/>
      <x:c r="U255" s="205"/>
    </x:row>
    <x:row r="256" ht="60" customHeight="1">
      <x:c r="A256" s="262" t="str">
        <x:v>EEG-0504</x:v>
      </x:c>
      <x:c r="B256" s="263" t="str">
        <x:v>03_Consciousness_and_State</x:v>
      </x:c>
      <x:c r="C256" s="263" t="str">
        <x:v>Resting_State</x:v>
      </x:c>
      <x:c r="D256" s="263" t="str">
        <x:v>MCEF-RS</x:v>
      </x:c>
      <x:c r="E256" s="263"/>
      <x:c r="F256" s="263" t="str">
        <x:v>OpenNeuro:ds005305</x:v>
      </x:c>
      <x:c r="G256" s="263" t="str">
        <x:v>DOWNLOAD_PUBLIC</x:v>
      </x:c>
      <x:c r="H256" s="263" t="str">
        <x:v>[OpenNeuro ds005305](https://openneuro.org/datasets/ds005305/versions/1.0.1)</x:v>
      </x:c>
      <x:c r="I256" s="263" t="str">
        <x:v>resting-state microstates；executive-function correlates</x:v>
      </x:c>
      <x:c r="J256" s="263" t="str">
        <x:v>165</x:v>
      </x:c>
      <x:c r="K256" s="263" t="str">
        <x:v>64</x:v>
      </x:c>
      <x:c r="L256" s="263" t="str">
        <x:v>512Hz</x:v>
      </x:c>
      <x:c r="M256" s="263" t="str">
        <x:v>EEGLAB SET</x:v>
      </x:c>
      <x:c r="N256" s="263" t="str">
        <x:v>raw / release-dependent</x:v>
      </x:c>
      <x:c r="O256" s="263" t="str">
        <x:v>Reported by LEAD; public acquisition route needs manual confirmation.</x:v>
      </x:c>
      <x:c r="P256" s="263" t="str">
        <x:v>Chenot Quentin; Hamery Caroline; Truninger Moritz; De Boissezon Xavier; Langer Nicolas; Scannella Sébastien</x:v>
      </x:c>
      <x:c r="Q256" s="263" t="str">
        <x:v>03_Consciousness_and_State/Resting_State/MCEF-RS</x:v>
      </x:c>
      <x:c r="R256" s="263" t="str">
        <x:v>存在公开仓库、官方入口或稳定数据访问号</x:v>
      </x:c>
      <x:c r="S256" s="263"/>
      <x:c r="T256" s="263"/>
      <x:c r="U256" s="264"/>
    </x:row>
    <x:row r="257" ht="60" customHeight="1">
      <x:c r="A257" s="239" t="str">
        <x:v>EEG-0505</x:v>
      </x:c>
      <x:c r="B257" s="228" t="str">
        <x:v>03_Consciousness_and_State</x:v>
      </x:c>
      <x:c r="C257" s="228" t="str">
        <x:v>Resting_State</x:v>
      </x:c>
      <x:c r="D257" s="228" t="str">
        <x:v>Moffa (2022)</x:v>
      </x:c>
      <x:c r="E257" s="228" t="str">
        <x:v>TBS TMS-EEG (prefrontal)</x:v>
      </x:c>
      <x:c r="F257" s="228" t="str">
        <x:v>Figshare:5910329 | DOI:10.25452/figshare.plus.c.5910329</x:v>
      </x:c>
      <x:c r="G257" s="228" t="str">
        <x:v>DOWNLOAD_APPLICATION_REQUIRED</x:v>
      </x:c>
      <x:c r="H257" s="228" t="str">
        <x:v>https://doi.org/10.25452/figshare.plus.c.5910329</x:v>
      </x:c>
      <x:c r="I257" s="228" t="str">
        <x:v>TMS-EEG + eyes-open resting-state</x:v>
      </x:c>
      <x:c r="J257" s="228" t="str">
        <x:v>24</x:v>
      </x:c>
      <x:c r="K257" s="228" t="str">
        <x:v>64 EEG channels + ECG + HEOG + VEOG + trigger (68 total)</x:v>
      </x:c>
      <x:c r="L257" s="228" t="str">
        <x:v>2048</x:v>
      </x:c>
      <x:c r="M257" s="228" t="str">
        <x:v>MAT</x:v>
      </x:c>
      <x:c r="N257" s="228" t="str">
        <x:v>Raw EEG/ECG + structural MRI/DTI, BIDS-EEG format</x:v>
      </x:c>
      <x:c r="O257" s="228" t="str">
        <x:v>Open access on Figshare+, no application needed</x:v>
      </x:c>
      <x:c r="P257" s="228" t="str">
        <x:v>A. H. Moffa et al., “Neuromodulatory effects of theta burst stimulation to the prefrontal cortex,” Sci. Data, vol. 9, no. 1, p. 717, 2022.</x:v>
      </x:c>
      <x:c r="Q257" s="228" t="str">
        <x:v>03_Consciousness_and_State/Resting_State/Moffa_2022</x:v>
      </x:c>
      <x:c r="R257" s="228" t="str">
        <x:v>官方数据存在，但需申请、签署协议或获得权限</x:v>
      </x:c>
      <x:c r="S257" s="228"/>
      <x:c r="T257" s="228"/>
      <x:c r="U257" s="205"/>
    </x:row>
    <x:row r="258" ht="60" customHeight="1">
      <x:c r="A258" s="262" t="str">
        <x:v>EEG-0507</x:v>
      </x:c>
      <x:c r="B258" s="263" t="str">
        <x:v>03_Consciousness_and_State</x:v>
      </x:c>
      <x:c r="C258" s="263" t="str">
        <x:v>Resting_State</x:v>
      </x:c>
      <x:c r="D258" s="263" t="str">
        <x:v>Multi-session simultaneous EEG-fMRI with experience sampling</x:v>
      </x:c>
      <x:c r="E258" s="263"/>
      <x:c r="F258" s="263" t="str">
        <x:v>OpenNeuro:ds007216</x:v>
      </x:c>
      <x:c r="G258" s="263" t="str">
        <x:v>DOWNLOAD_PUBLIC</x:v>
      </x:c>
      <x:c r="H258" s="263" t="str">
        <x:v>[OpenNeuro ds007216](https://openneuro.org/datasets/ds007216/versions/1.0.0)</x:v>
      </x:c>
      <x:c r="I258" s="263" t="str">
        <x:v>online experience sampling；rest / cognition；EEG-fMRI coupling</x:v>
      </x:c>
      <x:c r="J258" s="263" t="str">
        <x:v>24</x:v>
      </x:c>
      <x:c r="K258" s="263" t="str">
        <x:v>31</x:v>
      </x:c>
      <x:c r="L258" s="263" t="str">
        <x:v>5000Hz</x:v>
      </x:c>
      <x:c r="M258" s="263" t="str">
        <x:v>BIDS</x:v>
      </x:c>
      <x:c r="N258" s="263" t="str">
        <x:v>raw BIDS</x:v>
      </x:c>
      <x:c r="O258" s="263" t="str">
        <x:v>公开下载：OpenNeuro ds007216 v1.0.0；可网页、OpenNeuro CLI 或 DataLad 获取。</x:v>
      </x:c>
      <x:c r="P258" s="263" t="str">
        <x:v>Aaron Kucyi; Lotus Shareef-Trudeau; David Braun; Huiling Peng; Tiara Bounyarith; Janet Z. Li</x:v>
      </x:c>
      <x:c r="Q258" s="263" t="str">
        <x:v>03_Consciousness_and_State/Resting_State/Multi-session_simultaneous_EEG-fMRI_with_experience_sampling</x:v>
      </x:c>
      <x:c r="R258" s="263" t="str">
        <x:v>存在公开仓库、官方入口或稳定数据访问号</x:v>
      </x:c>
      <x:c r="S258" s="263" t="str">
        <x:v>2</x:v>
      </x:c>
      <x:c r="T258" s="263" t="str">
        <x:v>GradCPT ~632/run; experience sampling ~603/run; ~4880 total/subject</x:v>
      </x:c>
      <x:c r="U258" s="264" t="str">
        <x:v>8 BOLD runs/subject (4 runs x 2 sessions)</x:v>
      </x:c>
    </x:row>
    <x:row r="259" ht="60" customHeight="1">
      <x:c r="A259" s="239" t="str">
        <x:v>EEG-0508</x:v>
      </x:c>
      <x:c r="B259" s="228" t="str">
        <x:v>03_Consciousness_and_State</x:v>
      </x:c>
      <x:c r="C259" s="228" t="str">
        <x:v>Resting_State</x:v>
      </x:c>
      <x:c r="D259" s="228" t="str">
        <x:v>Oklahoma Resting EEG</x:v>
      </x:c>
      <x:c r="E259" s="228"/>
      <x:c r="F259" s="228" t="str">
        <x:v>OpenNeuro:ds006525</x:v>
      </x:c>
      <x:c r="G259" s="228" t="str">
        <x:v>DOWNLOAD_PUBLIC</x:v>
      </x:c>
      <x:c r="H259" s="228" t="str">
        <x:v>[OpenNeuro ds006525](https://openneuro.org/datasets/ds006525/versions/1.0.0)</x:v>
      </x:c>
      <x:c r="I259" s="228" t="str">
        <x:v>resting-state EEG；group-level resting biomarkers</x:v>
      </x:c>
      <x:c r="J259" s="228" t="str">
        <x:v>34</x:v>
      </x:c>
      <x:c r="K259" s="228" t="str">
        <x:v>128</x:v>
      </x:c>
      <x:c r="L259" s="228" t="str">
        <x:v>250Hz</x:v>
      </x:c>
      <x:c r="M259" s="228" t="str">
        <x:v>BIDS</x:v>
      </x:c>
      <x:c r="N259" s="228" t="str">
        <x:v>raw BIDS</x:v>
      </x:c>
      <x:c r="O259" s="228" t="str">
        <x:v>公开下载：OpenNeuro ds006525 v1.0.0；CC0，可网页、OpenNeuro CLI 或 DataLad 获取。</x:v>
      </x:c>
      <x:c r="P259" s="228" t="str">
        <x:v>Computational Neuroimaging and Neuroengineering Lab, University of Oklahoma</x:v>
      </x:c>
      <x:c r="Q259" s="228" t="str">
        <x:v>03_Consciousness_and_State/Resting_State/Oklahoma_Resting_EEG</x:v>
      </x:c>
      <x:c r="R259" s="228" t="str">
        <x:v>存在公开仓库、官方入口或稳定数据访问号</x:v>
      </x:c>
      <x:c r="S259" s="228"/>
      <x:c r="T259" s="228"/>
      <x:c r="U259" s="205"/>
    </x:row>
    <x:row r="260" ht="60" customHeight="1">
      <x:c r="A260" s="262" t="str">
        <x:v>EEG-0512</x:v>
      </x:c>
      <x:c r="B260" s="263" t="str">
        <x:v>03_Consciousness_and_State</x:v>
      </x:c>
      <x:c r="C260" s="263" t="str">
        <x:v>Resting_State</x:v>
      </x:c>
      <x:c r="D260" s="263" t="str">
        <x:v>Resting-State EEG Dataset (Trujillo 2017)</x:v>
      </x:c>
      <x:c r="E260" s="263"/>
      <x:c r="F260" s="263" t="str">
        <x:v>DOI:10.18738/T8/EG0LJI</x:v>
      </x:c>
      <x:c r="G260" s="263" t="str">
        <x:v>DOWNLOAD_PUBLIC</x:v>
      </x:c>
      <x:c r="H260" s="263" t="str">
        <x:v>https://doi.org/10.18738/T8/EG0LJI</x:v>
      </x:c>
      <x:c r="I260" s="263" t="str">
        <x:v>Resting-state eyes-open / eyes-closed EEG</x:v>
      </x:c>
      <x:c r="J260" s="263" t="str">
        <x:v>21</x:v>
      </x:c>
      <x:c r="K260" s="263" t="str">
        <x:v>72 EEG channels</x:v>
      </x:c>
      <x:c r="L260" s="263" t="str">
        <x:v>256 Hz (originally 2048 Hz)</x:v>
      </x:c>
      <x:c r="M260" s="263" t="str">
        <x:v>MAT</x:v>
      </x:c>
      <x:c r="N260" s="263" t="str">
        <x:v>Raw resting-state EEG recordings</x:v>
      </x:c>
      <x:c r="O260" s="263" t="str">
        <x:v>Open Access (Texas Data Repository)</x:v>
      </x:c>
      <x:c r="P260" s="263" t="str">
        <x:v>Trujillo et al. 2017</x:v>
      </x:c>
      <x:c r="Q260" s="263" t="str">
        <x:v>03_Consciousness_and_State/Resting_State/Resting-State_EEG_Dataset_Trujillo_2017</x:v>
      </x:c>
      <x:c r="R260" s="263" t="str">
        <x:v>存在公开仓库、官方入口或稳定数据访问号</x:v>
      </x:c>
      <x:c r="S260" s="263"/>
      <x:c r="T260" s="263"/>
      <x:c r="U260" s="264"/>
    </x:row>
    <x:row r="261" ht="60" customHeight="1">
      <x:c r="A261" s="239" t="str">
        <x:v>EEG-0514</x:v>
      </x:c>
      <x:c r="B261" s="228" t="str">
        <x:v>03_Consciousness_and_State</x:v>
      </x:c>
      <x:c r="C261" s="228" t="str">
        <x:v>Resting_State</x:v>
      </x:c>
      <x:c r="D261" s="228" t="str">
        <x:v>RSEEG</x:v>
      </x:c>
      <x:c r="E261" s="228"/>
      <x:c r="F261" s="228" t="str">
        <x:v>DOI:10.18738/T8/QVPRMX</x:v>
      </x:c>
      <x:c r="G261" s="228" t="str">
        <x:v>DOWNLOAD_PUBLIC</x:v>
      </x:c>
      <x:c r="H261" s="228" t="str">
        <x:v>[Texas Data Repository RSEEG](https://dataverse.tdl.org/dataset.xhtml?persistentId=doi:10.18738/T8/QVPRMX)</x:v>
      </x:c>
      <x:c r="I261" s="228" t="str">
        <x:v>resting-state eyes-open/eyes-closed; EEG reference / complexity / integration</x:v>
      </x:c>
      <x:c r="J261" s="228" t="str">
        <x:v>22</x:v>
      </x:c>
      <x:c r="K261" s="228" t="str">
        <x:v>72</x:v>
      </x:c>
      <x:c r="L261" s="228" t="str">
        <x:v>2048Hz raw; 256Hz online-downsampled</x:v>
      </x:c>
      <x:c r="M261" s="228" t="str">
        <x:v>MAT / repository files</x:v>
      </x:c>
      <x:c r="N261" s="228" t="str">
        <x:v>processed empirical EEG / raw-derived</x:v>
      </x:c>
      <x:c r="O261" s="228" t="str">
        <x:v>Texas Data Repository public dataset; cite Frontiers paper.</x:v>
      </x:c>
      <x:c r="P261" s="228" t="str">
        <x:v>Trujillo et al. (2017); LaBraM/NeuroLM dataset table</x:v>
      </x:c>
      <x:c r="Q261" s="228" t="str">
        <x:v>03_Consciousness_and_State/Resting_State/RSEEG</x:v>
      </x:c>
      <x:c r="R261" s="228" t="str">
        <x:v>存在公开仓库、官方入口或稳定数据访问号</x:v>
      </x:c>
      <x:c r="S261" s="228"/>
      <x:c r="T261" s="228"/>
      <x:c r="U261" s="205"/>
    </x:row>
    <x:row r="262" ht="60" customHeight="1">
      <x:c r="A262" s="262" t="str">
        <x:v>EEG-0515</x:v>
      </x:c>
      <x:c r="B262" s="263" t="str">
        <x:v>03_Consciousness_and_State</x:v>
      </x:c>
      <x:c r="C262" s="263" t="str">
        <x:v>Resting_State</x:v>
      </x:c>
      <x:c r="D262" s="263" t="str">
        <x:v>Sensitive period for the plasticity of alpha activity in humans</x:v>
      </x:c>
      <x:c r="E262" s="263"/>
      <x:c r="F262" s="263" t="str">
        <x:v>Zenodo:5547291 | DOI:10.1016/j.dcn.2021.100965</x:v>
      </x:c>
      <x:c r="G262" s="263" t="str">
        <x:v>DOWNLOAD_PUBLIC</x:v>
      </x:c>
      <x:c r="H262" s="263" t="str">
        <x:v>https://zenodo.org/records/5547291</x:v>
      </x:c>
      <x:c r="I262" s="263" t="str">
        <x:v>Resting-state EEG spectral power analysis</x:v>
      </x:c>
      <x:c r="J262" s="263" t="str">
        <x:v>126</x:v>
      </x:c>
      <x:c r="K262" s="263" t="str">
        <x:v>72</x:v>
      </x:c>
      <x:c r="L262" s="263" t="str">
        <x:v>512 Hz</x:v>
      </x:c>
      <x:c r="M262" s="263" t="str">
        <x:v>EDF</x:v>
      </x:c>
      <x:c r="N262" s="263" t="str">
        <x:v>RAW</x:v>
      </x:c>
      <x:c r="O262" s="263" t="str">
        <x:v>Fully open</x:v>
      </x:c>
      <x:c r="P262" s="263" t="str">
        <x:v>DOI：10.1016/j.dcn.2021.100965</x:v>
      </x:c>
      <x:c r="Q262" s="263" t="str">
        <x:v>03_Consciousness_and_State/Resting_State/Sensitive_period_for_the_plasticity_of_alpha_activity_in_humans</x:v>
      </x:c>
      <x:c r="R262" s="263" t="str">
        <x:v>存在公开仓库、官方入口或稳定数据访问号</x:v>
      </x:c>
      <x:c r="S262" s="263"/>
      <x:c r="T262" s="263"/>
      <x:c r="U262" s="264"/>
    </x:row>
    <x:row r="263" ht="60" customHeight="1">
      <x:c r="A263" s="239" t="str">
        <x:v>EEG-0519</x:v>
      </x:c>
      <x:c r="B263" s="228" t="str">
        <x:v>08_Health_and_Population</x:v>
      </x:c>
      <x:c r="C263" s="228" t="str">
        <x:v>Lifespan_and_Normative</x:v>
      </x:c>
      <x:c r="D263" s="228" t="str">
        <x:v>Cuban Human Brain Mapping Project (CHBMP)</x:v>
      </x:c>
      <x:c r="E263" s="228" t="str">
        <x:v>Valdes-Sosa (2021) [EEG-0147]; CHBMP [EEG-0498]</x:v>
      </x:c>
      <x:c r="F263" s="228" t="str">
        <x:v>Synapse:syn22324937 | DOI:10.1038/s41597-021-00829-7</x:v>
      </x:c>
      <x:c r="G263" s="228" t="str">
        <x:v>DOWNLOAD_APPLICATION_REQUIRED</x:v>
      </x:c>
      <x:c r="H263" s="228" t="str">
        <x:v>https://chbmp-open.loris.ca/ | https://www.synapse.org/Synapse:syn22324937</x:v>
      </x:c>
      <x:c r="I263" s="228"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263" s="228" t="str">
        <x:v>282</x:v>
      </x:c>
      <x:c r="K263" s="228" t="str">
        <x:v>64 or 120 (MEDICID-5)</x:v>
      </x:c>
      <x:c r="L263" s="228" t="str">
        <x:v>200 Hz</x:v>
      </x:c>
      <x:c r="M263" s="228" t="str">
        <x:v>EDF</x:v>
      </x:c>
      <x:c r="N263" s="228" t="str">
        <x:v>Raw (annotated by neurologists)</x:v>
      </x:c>
      <x:c r="O263" s="228" t="str">
        <x:v>公开下载：注册获取：CHBMP LORIS portal (https://chbmp-open.loris.ca/)；需注册账号，通过 LORIS 下载 EEG / MRI / cognition 数据。</x:v>
      </x:c>
      <x:c r="P263" s="228"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263" s="228" t="str">
        <x:v>02_Biometrics_and_Disease/Development_and_Lifespan/Cuban_Human_Brain_Mapping_Project_CHBMP</x:v>
      </x:c>
      <x:c r="R263" s="228" t="str">
        <x:v>Same CHBMP download unit as EEG-0147 and EEG-0498; account/registration required</x:v>
      </x:c>
      <x:c r="S263" s="228"/>
      <x:c r="T263" s="228"/>
      <x:c r="U263" s="205"/>
    </x:row>
    <x:row r="264" ht="60" customHeight="1">
      <x:c r="A264" s="262" t="str">
        <x:v>EEG-0520</x:v>
      </x:c>
      <x:c r="B264" s="263" t="str">
        <x:v>08_Health_and_Population</x:v>
      </x:c>
      <x:c r="C264" s="263" t="str">
        <x:v>Lifespan_and_Normative</x:v>
      </x:c>
      <x:c r="D264" s="263" t="str">
        <x:v>Infant First-year Resting EEG Dataset</x:v>
      </x:c>
      <x:c r="E264" s="263"/>
      <x:c r="F264" s="263" t="str">
        <x:v>OpenNeuro:ds004577</x:v>
      </x:c>
      <x:c r="G264" s="263" t="str">
        <x:v>DOWNLOAD_PUBLIC</x:v>
      </x:c>
      <x:c r="H264" s="263" t="str">
        <x:v>https://openneuro.org/datasets/ds004577</x:v>
      </x:c>
      <x:c r="I264" s="263" t="str">
        <x:v>resting EEG across first year of life；developmental normative EEG</x:v>
      </x:c>
      <x:c r="J264" s="263" t="str">
        <x:v>103</x:v>
      </x:c>
      <x:c r="K264" s="263" t="str">
        <x:v>19</x:v>
      </x:c>
      <x:c r="L264" s="263" t="str">
        <x:v>200Hz</x:v>
      </x:c>
      <x:c r="M264" s="263" t="str">
        <x:v>BIDS</x:v>
      </x:c>
      <x:c r="N264" s="263" t="str">
        <x:v>raw BIDS</x:v>
      </x:c>
      <x:c r="O264" s="263" t="str">
        <x:v>公开下载：OpenNeuro ds004577 v1.0.1；CC0，可网页、OpenNeuro CLI 或 DataLad 获取。</x:v>
      </x:c>
      <x:c r="P264" s="263" t="str">
        <x:v>Thalía Harmony; Gloria Otero-Ojeda; Eduardo Aubert; Thalía Fernández; Lourdes Cubero-Rego</x:v>
      </x:c>
      <x:c r="Q264" s="263" t="str">
        <x:v>02_Biometrics_and_Disease/Development_and_Lifespan/Infant_First-year_Resting_EEG_Dataset</x:v>
      </x:c>
      <x:c r="R264" s="263" t="str">
        <x:v>存在公开仓库、官方入口或稳定数据访问号</x:v>
      </x:c>
      <x:c r="S264" s="263"/>
      <x:c r="T264" s="263"/>
      <x:c r="U264" s="264"/>
    </x:row>
    <x:row r="265" ht="60" customHeight="1">
      <x:c r="A265" s="239" t="str">
        <x:v>EEG-0523</x:v>
      </x:c>
      <x:c r="B265" s="228" t="str">
        <x:v>02_Healthcare_and_Disease</x:v>
      </x:c>
      <x:c r="C265" s="228" t="str">
        <x:v>Development_and_Lifespan</x:v>
      </x:c>
      <x:c r="D265" s="228" t="str">
        <x:v>SFARI_EEG multi-paradigm dataset</x:v>
      </x:c>
      <x:c r="E265" s="228"/>
      <x:c r="F265" s="228" t="str">
        <x:v>OpenNeuro:ds006780</x:v>
      </x:c>
      <x:c r="G265" s="228" t="str">
        <x:v>DOWNLOAD_PUBLIC</x:v>
      </x:c>
      <x:c r="H265" s="228" t="str">
        <x:v>[OpenNeuro ds006780](https://openneuro.org/datasets/ds006780/versions/1.0.0)</x:v>
      </x:c>
      <x:c r="I265" s="228" t="str">
        <x:v>ASSR, AVSRT, Beep-Flash, FAST and other developmental EEG paradigms</x:v>
      </x:c>
      <x:c r="J265" s="228" t="str">
        <x:v>136</x:v>
      </x:c>
      <x:c r="K265" s="228" t="str">
        <x:v>64</x:v>
      </x:c>
      <x:c r="L265" s="228" t="str">
        <x:v>512Hz</x:v>
      </x:c>
      <x:c r="M265" s="228" t="str">
        <x:v>BIDS</x:v>
      </x:c>
      <x:c r="N265" s="228" t="str">
        <x:v>raw BIDS</x:v>
      </x:c>
      <x:c r="O265" s="228" t="str">
        <x:v>公开下载：OpenNeuro ds006780 v1.0.0；CC0，可网页、OpenNeuro CLI 或 DataLad 获取。</x:v>
      </x:c>
      <x:c r="P265" s="228" t="str">
        <x:v>Sophie Molholm; Theo Vanneau; John J. Foxe</x:v>
      </x:c>
      <x:c r="Q265" s="228" t="str">
        <x:v>02_Biometrics_and_Disease/Development_and_Lifespan/SFARI_EEG_multi-paradigm_dataset</x:v>
      </x:c>
      <x:c r="R265" s="228" t="str">
        <x:v>存在公开仓库、官方入口或稳定数据访问号</x:v>
      </x:c>
      <x:c r="S265" s="228"/>
      <x:c r="T265" s="228"/>
      <x:c r="U265" s="205"/>
    </x:row>
    <x:row r="266" ht="60" customHeight="1">
      <x:c r="A266" s="262" t="str">
        <x:v>EEG-0525</x:v>
      </x:c>
      <x:c r="B266" s="263" t="str">
        <x:v>07_General-purpose_and_Multi-paradigm</x:v>
      </x:c>
      <x:c r="C266" s="263" t="str">
        <x:v>Multi-task_EEG</x:v>
      </x:c>
      <x:c r="D266" s="263" t="str">
        <x:v>Average Task Value</x:v>
      </x:c>
      <x:c r="E266" s="263"/>
      <x:c r="F266" s="263" t="str">
        <x:v>OpenNeuro:ds004147 | DOI:10.18112/openneuro.ds004147.v1.0.2</x:v>
      </x:c>
      <x:c r="G266" s="263" t="str">
        <x:v>DOWNLOAD_PUBLIC</x:v>
      </x:c>
      <x:c r="H266" s="263" t="str">
        <x:v>[OpenNeuro ds004147](https://openneuro.org/datasets/ds004147/versions/1.0.2)</x:v>
      </x:c>
      <x:c r="I266" s="263" t="str">
        <x:v>casinos</x:v>
      </x:c>
      <x:c r="J266" s="263" t="str">
        <x:v>12</x:v>
      </x:c>
      <x:c r="K266" s="263" t="str">
        <x:v>31</x:v>
      </x:c>
      <x:c r="L266" s="263" t="str">
        <x:v>1000Hz</x:v>
      </x:c>
      <x:c r="M266" s="263" t="str">
        <x:v>BIDS</x:v>
      </x:c>
      <x:c r="N266" s="263" t="str">
        <x:v>raw BIDS</x:v>
      </x:c>
      <x:c r="O266" s="263" t="str">
        <x:v>OpenNeuro public download; ds004147 v1.0.2; license CC0; use web / OpenNeuro CLI / DataLad.</x:v>
      </x:c>
      <x:c r="P266" s="263" t="str">
        <x:v>Cameron D. Hassall; Laurence T. Hunt; Clay B. Holroyd; doi:10.18112/openneuro.ds004147.v1.0.2</x:v>
      </x:c>
      <x:c r="Q266" s="263" t="str">
        <x:v>07_General-purpose_and_Multi-paradigm/Multi-task_EEG/Average_Task_Value</x:v>
      </x:c>
      <x:c r="R266" s="263" t="str">
        <x:v>存在公开仓库、官方入口或稳定数据访问号</x:v>
      </x:c>
      <x:c r="S266" s="263"/>
      <x:c r="T266" s="263"/>
      <x:c r="U266" s="264"/>
    </x:row>
    <x:row r="267" ht="60" customHeight="1">
      <x:c r="A267" s="239" t="str">
        <x:v>EEG-0530</x:v>
      </x:c>
      <x:c r="B267" s="228" t="str">
        <x:v>07_General-purpose_and_Multi-paradigm</x:v>
      </x:c>
      <x:c r="C267" s="228" t="str">
        <x:v>Multi-task_EEG</x:v>
      </x:c>
      <x:c r="D267" s="228" t="str">
        <x:v>Braille letters - EEG</x:v>
      </x:c>
      <x:c r="E267" s="228"/>
      <x:c r="F267" s="228" t="str">
        <x:v>OpenNeuro:ds004951 | DOI:10.18112/openneuro.ds004951.v1.0.0</x:v>
      </x:c>
      <x:c r="G267" s="228" t="str">
        <x:v>DOWNLOAD_PUBLIC</x:v>
      </x:c>
      <x:c r="H267" s="228" t="str">
        <x:v>[OpenNeuro ds004951](https://openneuro.org/datasets/ds004951/versions/1.0.0)</x:v>
      </x:c>
      <x:c r="I267" s="228" t="str">
        <x:v>letters</x:v>
      </x:c>
      <x:c r="J267" s="228" t="str">
        <x:v>11</x:v>
      </x:c>
      <x:c r="K267" s="228" t="str">
        <x:v>63</x:v>
      </x:c>
      <x:c r="L267" s="228" t="str">
        <x:v>1000Hz</x:v>
      </x:c>
      <x:c r="M267" s="228" t="str">
        <x:v>BIDS</x:v>
      </x:c>
      <x:c r="N267" s="228" t="str">
        <x:v>raw BIDS</x:v>
      </x:c>
      <x:c r="O267" s="228" t="str">
        <x:v>OpenNeuro public download; ds004951 v1.0.0; license CC0; use web / OpenNeuro CLI / DataLad.</x:v>
      </x:c>
      <x:c r="P267" s="228" t="str">
        <x:v>Marleen Haupt; Monika Graumann; Santani Teng; Carina Kaltenbach; Radoslaw M. Cichy; doi:10.18112/openneuro.ds004951.v1.0.0</x:v>
      </x:c>
      <x:c r="Q267" s="228" t="str">
        <x:v>07_General-purpose_and_Multi-paradigm/Multi-task_EEG/Braille_letters_-_EEG</x:v>
      </x:c>
      <x:c r="R267" s="228" t="str">
        <x:v>存在公开仓库、官方入口或稳定数据访问号</x:v>
      </x:c>
      <x:c r="S267" s="228"/>
      <x:c r="T267" s="228"/>
      <x:c r="U267" s="205"/>
    </x:row>
    <x:row r="268" ht="60" customHeight="1">
      <x:c r="A268" s="262" t="str">
        <x:v>EEG-0531</x:v>
      </x:c>
      <x:c r="B268" s="263" t="str">
        <x:v>07_General-purpose_and_Multi-paradigm</x:v>
      </x:c>
      <x:c r="C268" s="263" t="str">
        <x:v>Multi-task_EEG</x:v>
      </x:c>
      <x:c r="D268" s="263" t="str">
        <x:v>Capacity for movement is an organisational principle in object representations: EEG data from Experiment 1</x:v>
      </x:c>
      <x:c r="E268" s="263"/>
      <x:c r="F268" s="263" t="str">
        <x:v>OpenNeuro:ds003885 | DOI:10.18112/openneuro.ds003885.v1.0.8</x:v>
      </x:c>
      <x:c r="G268" s="263" t="str">
        <x:v>DOWNLOAD_PUBLIC</x:v>
      </x:c>
      <x:c r="H268" s="263" t="str">
        <x:v>[OpenNeuro ds003885](https://openneuro.org/datasets/ds003885/versions/1.0.8)</x:v>
      </x:c>
      <x:c r="I268" s="263" t="str">
        <x:v>movement</x:v>
      </x:c>
      <x:c r="J268" s="263" t="str">
        <x:v>24</x:v>
      </x:c>
      <x:c r="K268" s="263" t="str">
        <x:v>128</x:v>
      </x:c>
      <x:c r="L268" s="263" t="str">
        <x:v>1000Hz</x:v>
      </x:c>
      <x:c r="M268" s="263" t="str">
        <x:v>BIDS</x:v>
      </x:c>
      <x:c r="N268" s="263" t="str">
        <x:v>raw BIDS</x:v>
      </x:c>
      <x:c r="O268" s="263" t="str">
        <x:v>OpenNeuro public download; ds003885 v1.0.8; license CC0; use web / OpenNeuro CLI / DataLad.</x:v>
      </x:c>
      <x:c r="P268" s="263" t="str">
        <x:v>Shatek, Sophia M.; Robinson, Amanda K.; Grootswagers, Tijl; Carlson, Thomas A.; doi:10.18112/openneuro.ds003885.v1.0.8</x:v>
      </x:c>
      <x:c r="Q268" s="263" t="str">
        <x:v>07_General-purpose_and_Multi-paradigm/Multi-task_EEG/Capacity_for_movement_is_an_organisational_principle_in_object_representations_EEG_data_fr</x:v>
      </x:c>
      <x:c r="R268" s="263" t="str">
        <x:v>存在公开仓库、官方入口或稳定数据访问号</x:v>
      </x:c>
      <x:c r="S268" s="263"/>
      <x:c r="T268" s="263"/>
      <x:c r="U268" s="264"/>
    </x:row>
    <x:row r="269" ht="60" customHeight="1">
      <x:c r="A269" s="239" t="str">
        <x:v>EEG-0532</x:v>
      </x:c>
      <x:c r="B269" s="228" t="str">
        <x:v>07_General-purpose_and_Multi-paradigm</x:v>
      </x:c>
      <x:c r="C269" s="228" t="str">
        <x:v>Multi-task_EEG</x:v>
      </x:c>
      <x:c r="D269" s="228" t="str">
        <x:v>Capacity for movement is an organisational principle in object representations: EEG data from Experiment 2</x:v>
      </x:c>
      <x:c r="E269" s="228"/>
      <x:c r="F269" s="228" t="str">
        <x:v>OpenNeuro:ds003887 | DOI:10.18112/openneuro.ds003887.v1.2.3</x:v>
      </x:c>
      <x:c r="G269" s="228" t="str">
        <x:v>DOWNLOAD_PUBLIC</x:v>
      </x:c>
      <x:c r="H269" s="228" t="str">
        <x:v>[OpenNeuro ds003887](https://openneuro.org/datasets/ds003887/versions/1.2.3)</x:v>
      </x:c>
      <x:c r="I269" s="228" t="str">
        <x:v>movement</x:v>
      </x:c>
      <x:c r="J269" s="228" t="str">
        <x:v>24</x:v>
      </x:c>
      <x:c r="K269" s="228" t="str">
        <x:v>128</x:v>
      </x:c>
      <x:c r="L269" s="228" t="str">
        <x:v>1000Hz</x:v>
      </x:c>
      <x:c r="M269" s="228" t="str">
        <x:v>BIDS</x:v>
      </x:c>
      <x:c r="N269" s="228" t="str">
        <x:v>raw BIDS</x:v>
      </x:c>
      <x:c r="O269" s="228" t="str">
        <x:v>OpenNeuro public download; ds003887 v1.2.3; license CC0; use web / OpenNeuro CLI / DataLad.</x:v>
      </x:c>
      <x:c r="P269" s="228" t="str">
        <x:v>Shatek, Sophia M.; Robinson, Amanda K.; Grootswagers, Tijl; Carlson, Thomas A.; doi:10.18112/openneuro.ds003887.v1.2.3</x:v>
      </x:c>
      <x:c r="Q269" s="228" t="str">
        <x:v>07_General-purpose_and_Multi-paradigm/Multi-task_EEG/Capacity_for_movement_is_an_organisational_principle_in_object_representations_EEG_data_fr</x:v>
      </x:c>
      <x:c r="R269" s="228" t="str">
        <x:v>存在公开仓库、官方入口或稳定数据访问号</x:v>
      </x:c>
      <x:c r="S269" s="228"/>
      <x:c r="T269" s="228"/>
      <x:c r="U269" s="205"/>
    </x:row>
    <x:row r="270" ht="60" customHeight="1">
      <x:c r="A270" s="262" t="str">
        <x:v>EEG-0533</x:v>
      </x:c>
      <x:c r="B270" s="263" t="str">
        <x:v>07_General-purpose_and_Multi-paradigm</x:v>
      </x:c>
      <x:c r="C270" s="263" t="str">
        <x:v>Multi-task_EEG</x:v>
      </x:c>
      <x:c r="D270" s="263" t="str">
        <x:v>COVID-19 Survivors and Close Contacts EEG</x:v>
      </x:c>
      <x:c r="E270" s="263"/>
      <x:c r="F270" s="263" t="str">
        <x:v>OpenNeuro:ds007823</x:v>
      </x:c>
      <x:c r="G270" s="263" t="str">
        <x:v>DOWNLOAD_PUBLIC</x:v>
      </x:c>
      <x:c r="H270" s="263" t="str">
        <x:v>[OpenNeuro ds007823](https://openneuro.org/datasets/ds007823/versions/1.0.3)</x:v>
      </x:c>
      <x:c r="I270" s="263" t="str">
        <x:v>COVID survivor / close-contact EEG；post-COVID neurophysiology</x:v>
      </x:c>
      <x:c r="J270" s="263" t="str">
        <x:v>173</x:v>
      </x:c>
      <x:c r="K270" s="263" t="str">
        <x:v>21</x:v>
      </x:c>
      <x:c r="L270" s="263" t="str">
        <x:v>200Hz</x:v>
      </x:c>
      <x:c r="M270" s="263" t="str">
        <x:v>BIDS</x:v>
      </x:c>
      <x:c r="N270" s="263" t="str">
        <x:v>raw BIDS</x:v>
      </x:c>
      <x:c r="O270" s="263" t="str">
        <x:v>公开下载：OpenNeuro ds007823 v1.0.3；CC0，可网页、OpenNeuro CLI 或 DataLad 获取。</x:v>
      </x:c>
      <x:c r="P270" s="263" t="str">
        <x:v>Ana Calzada-Reyes; Eduardo Aubert-Vázquez; Lidice Galán-García; Maria Luisa Bringas-Vega; Trinidad Virués-Alba; Lidia Charroó-Ruiz; Yanely Acosta-Imás; Mitchell Valdés-Sosa</x:v>
      </x:c>
      <x:c r="Q270" s="263" t="str">
        <x:v>07_General-purpose_and_Multi-paradigm/Multi-task_EEG/COVID-19_Survivors_and_Close_Contacts_EEG</x:v>
      </x:c>
      <x:c r="R270" s="263" t="str">
        <x:v>存在公开仓库、官方入口或稳定数据访问号</x:v>
      </x:c>
      <x:c r="S270" s="263"/>
      <x:c r="T270" s="263"/>
      <x:c r="U270" s="264"/>
    </x:row>
    <x:row r="271" ht="60" customHeight="1">
      <x:c r="A271" s="239" t="str">
        <x:v>EEG-0536</x:v>
      </x:c>
      <x:c r="B271" s="228" t="str">
        <x:v>07_General-purpose_and_Multi-paradigm</x:v>
      </x:c>
      <x:c r="C271" s="228" t="str">
        <x:v>Multi-task_EEG</x:v>
      </x:c>
      <x:c r="D271" s="228" t="str">
        <x:v>eeg-neuroforecasting</x:v>
      </x:c>
      <x:c r="E271" s="228"/>
      <x:c r="F271" s="228" t="str">
        <x:v>OpenNeuro:ds004284 | DOI:10.18112/openneuro.ds004284.v1.0.0</x:v>
      </x:c>
      <x:c r="G271" s="228" t="str">
        <x:v>DOWNLOAD_PUBLIC</x:v>
      </x:c>
      <x:c r="H271" s="228" t="str">
        <x:v>[OpenNeuro ds004284](https://openneuro.org/datasets/ds004284/versions/1.0.0)</x:v>
      </x:c>
      <x:c r="I271" s="228" t="str">
        <x:v>kickstarter</x:v>
      </x:c>
      <x:c r="J271" s="228" t="str">
        <x:v>18</x:v>
      </x:c>
      <x:c r="K271" s="228" t="str">
        <x:v>129</x:v>
      </x:c>
      <x:c r="L271" s="228" t="str">
        <x:v>1000Hz</x:v>
      </x:c>
      <x:c r="M271" s="228" t="str">
        <x:v>BIDS</x:v>
      </x:c>
      <x:c r="N271" s="228" t="str">
        <x:v>processed BIDS</x:v>
      </x:c>
      <x:c r="O271" s="228" t="str">
        <x:v>OpenNeuro public download; ds004284 v1.0.0; license CC0; use web / OpenNeuro CLI / DataLad.</x:v>
      </x:c>
      <x:c r="P271" s="228" t="str">
        <x:v>Veillette, J.; Heald, S.; Wittenbrink, B.; Nusbaum, H.; doi:10.18112/openneuro.ds004284.v1.0.0</x:v>
      </x:c>
      <x:c r="Q271" s="228" t="str">
        <x:v>07_General-purpose_and_Multi-paradigm/Multi-task_EEG/eeg-neuroforecasting</x:v>
      </x:c>
      <x:c r="R271" s="228" t="str">
        <x:v>存在公开仓库、官方入口或稳定数据访问号</x:v>
      </x:c>
      <x:c r="S271" s="228"/>
      <x:c r="T271" s="228"/>
      <x:c r="U271" s="205"/>
    </x:row>
    <x:row r="272" ht="60" customHeight="1">
      <x:c r="A272" s="262" t="str">
        <x:v>EEG-0539</x:v>
      </x:c>
      <x:c r="B272" s="263" t="str">
        <x:v>07_General-purpose_and_Multi-paradigm</x:v>
      </x:c>
      <x:c r="C272" s="263" t="str">
        <x:v>Multi-task_EEG</x:v>
      </x:c>
      <x:c r="D272" s="263" t="str">
        <x:v>EEGEyeNet Large Grid — ocular-event segmentation subset</x:v>
      </x:c>
      <x:c r="E272" s="263"/>
      <x:c r="F272" s="263" t="str">
        <x:v>DOI:10.48550/arXiv.2111.05100</x:v>
      </x:c>
      <x:c r="G272" s="263" t="str">
        <x:v>DOWNLOAD_APPLICATION_REQUIRED</x:v>
      </x:c>
      <x:c r="H272" s="263" t="str">
        <x:v>http://www.eegeye.net</x:v>
      </x:c>
      <x:c r="I272" s="263" t="str">
        <x:v>eye-tracking</x:v>
      </x:c>
      <x:c r="J272" s="263" t="str">
        <x:v>356</x:v>
      </x:c>
      <x:c r="K272" s="263" t="str">
        <x:v>128</x:v>
      </x:c>
      <x:c r="L272" s="263" t="str">
        <x:v>500 Hz</x:v>
      </x:c>
      <x:c r="M272" s="263" t="str">
        <x:v>.mat</x:v>
      </x:c>
      <x:c r="N272" s="263" t="str">
        <x:v>Both</x:v>
      </x:c>
      <x:c r="O272" s="263" t="str">
        <x:v>Need apply</x:v>
      </x:c>
      <x:c r="P272" s="263" t="str">
        <x:v>DOI: 10.48550/arXiv.2111.05100</x:v>
      </x:c>
      <x:c r="Q272" s="263" t="str">
        <x:v>07_General-purpose_and_Multi-paradigm/Multi-task_EEG/EEGEyeNet_Large_Grid_ocular-event_segmentation_subset</x:v>
      </x:c>
      <x:c r="R272" s="263" t="str">
        <x:v>官方数据存在，但需申请、签署协议或获得权限</x:v>
      </x:c>
      <x:c r="S272" s="263"/>
      <x:c r="T272" s="263"/>
      <x:c r="U272" s="264"/>
    </x:row>
    <x:row r="273" ht="60" customHeight="1">
      <x:c r="A273" s="239" t="str">
        <x:v>EEG-0540</x:v>
      </x:c>
      <x:c r="B273" s="228" t="str">
        <x:v>07_General-purpose_and_Multi-paradigm</x:v>
      </x:c>
      <x:c r="C273" s="228" t="str">
        <x:v>Multi-task_EEG</x:v>
      </x:c>
      <x:c r="D273" s="228" t="str">
        <x:v>Electroencephalographic responses to the number of objects in partially occluded and uncovered scenes</x:v>
      </x:c>
      <x:c r="E273" s="228"/>
      <x:c r="F273" s="228" t="str">
        <x:v>OpenNeuro:ds005586 | DOI:10.18112/openneuro.ds005586.v2.0.0</x:v>
      </x:c>
      <x:c r="G273" s="228" t="str">
        <x:v>DOWNLOAD_PUBLIC</x:v>
      </x:c>
      <x:c r="H273" s="228" t="str">
        <x:v>[OpenNeuro ds005586](https://openneuro.org/datasets/ds005586/versions/2.0.0)</x:v>
      </x:c>
      <x:c r="I273" s="228" t="str">
        <x:v>PassiveViewing</x:v>
      </x:c>
      <x:c r="J273" s="228" t="str">
        <x:v>23</x:v>
      </x:c>
      <x:c r="K273" s="228" t="str">
        <x:v>60</x:v>
      </x:c>
      <x:c r="L273" s="228" t="str">
        <x:v>1000Hz</x:v>
      </x:c>
      <x:c r="M273" s="228" t="str">
        <x:v>BIDS</x:v>
      </x:c>
      <x:c r="N273" s="228" t="str">
        <x:v>raw BIDS</x:v>
      </x:c>
      <x:c r="O273" s="228" t="str">
        <x:v>OpenNeuro public download; ds005586 v2.0.0; license CC0; use web / OpenNeuro CLI / DataLad.</x:v>
      </x:c>
      <x:c r="P273" s="228" t="str">
        <x:v>Cemre Baykan; Alexander C. Schütz; doi:10.18112/openneuro.ds005586.v2.0.0</x:v>
      </x:c>
      <x:c r="Q273" s="228" t="str">
        <x:v>07_General-purpose_and_Multi-paradigm/Multi-task_EEG/Electroencephalographic_responses_to_the_number_of_objects_in_partially_occluded_and_uncov</x:v>
      </x:c>
      <x:c r="R273" s="228" t="str">
        <x:v>存在公开仓库、官方入口或稳定数据访问号</x:v>
      </x:c>
      <x:c r="S273" s="228"/>
      <x:c r="T273" s="228"/>
      <x:c r="U273" s="205"/>
    </x:row>
    <x:row r="274" ht="60" customHeight="1">
      <x:c r="A274" s="262" t="str">
        <x:v>EEG-0541</x:v>
      </x:c>
      <x:c r="B274" s="263" t="str">
        <x:v>07_General-purpose_and_Multi-paradigm</x:v>
      </x:c>
      <x:c r="C274" s="263" t="str">
        <x:v>Multi-task_EEG</x:v>
      </x:c>
      <x:c r="D274" s="263" t="str">
        <x:v>Evidence accumulation Perithreshold Tactile detection task with confidence</x:v>
      </x:c>
      <x:c r="E274" s="263"/>
      <x:c r="F274" s="263" t="str">
        <x:v>OpenNeuro:ds001785 | DOI:10.1038/s41467-021-23540-y</x:v>
      </x:c>
      <x:c r="G274" s="263" t="str">
        <x:v>DOWNLOAD_PUBLIC</x:v>
      </x:c>
      <x:c r="H274" s="263" t="str">
        <x:v>https://openneuro.org/datasets/ds001785</x:v>
      </x:c>
      <x:c r="I274" s="263" t="str">
        <x:v>perithreshold vibrotactile detection with confidence rating</x:v>
      </x:c>
      <x:c r="J274" s="263" t="str">
        <x:v>18</x:v>
      </x:c>
      <x:c r="K274" s="263" t="str">
        <x:v>62</x:v>
      </x:c>
      <x:c r="L274" s="263" t="str">
        <x:v>1024 Hz</x:v>
      </x:c>
      <x:c r="M274" s="263" t="str">
        <x:v>BIDS</x:v>
      </x:c>
      <x:c r="N274" s="263" t="str">
        <x:v>RAW</x:v>
      </x:c>
      <x:c r="O274" s="263" t="str">
        <x:v>Fully open</x:v>
      </x:c>
      <x:c r="P274" s="263" t="str">
        <x:v>DOI: 10.1038/s41467-021-23540-y</x:v>
      </x:c>
      <x:c r="Q274" s="263" t="str">
        <x:v>07_General-purpose_and_Multi-paradigm/Multi-task_EEG/Evidence_accumulation_Perithreshold_Tactile_detection_task_with_confidence</x:v>
      </x:c>
      <x:c r="R274" s="263" t="str">
        <x:v>存在公开仓库、官方入口或稳定数据访问号</x:v>
      </x:c>
      <x:c r="S274" s="263"/>
      <x:c r="T274" s="263"/>
      <x:c r="U274" s="264"/>
    </x:row>
    <x:row r="275" ht="60" customHeight="1">
      <x:c r="A275" s="239" t="str">
        <x:v>EEG-0542</x:v>
      </x:c>
      <x:c r="B275" s="228" t="str">
        <x:v>07_General-purpose_and_Multi-paradigm</x:v>
      </x:c>
      <x:c r="C275" s="228" t="str">
        <x:v>Multi-task_EEG</x:v>
      </x:c>
      <x:c r="D275" s="228" t="str">
        <x:v>Features-EEG</x:v>
      </x:c>
      <x:c r="E275" s="228"/>
      <x:c r="F275" s="228" t="str">
        <x:v>OpenNeuro:ds004357</x:v>
      </x:c>
      <x:c r="G275" s="228" t="str">
        <x:v>DOWNLOAD_PUBLIC</x:v>
      </x:c>
      <x:c r="H275" s="228" t="str">
        <x:v>[OpenNeuro ds004357](https://openneuro.org/datasets/ds004357/versions/1.0.1)</x:v>
      </x:c>
      <x:c r="I275" s="228" t="str">
        <x:v>Viewing oriented gratings varying on four feature dimensions; pretraining</x:v>
      </x:c>
      <x:c r="J275" s="228" t="str">
        <x:v>16.0</x:v>
      </x:c>
      <x:c r="K275" s="228" t="str">
        <x:v>128.0</x:v>
      </x:c>
      <x:c r="L275" s="228" t="str">
        <x:v>1000.0</x:v>
      </x:c>
      <x:c r="M275" s="228" t="str">
        <x:v>BrainVision (.eeg/.vhdr/.vmrk)</x:v>
      </x:c>
      <x:c r="N275" s="228" t="str">
        <x:v>raw BIDS</x:v>
      </x:c>
      <x:c r="O275" s="228" t="str">
        <x:v>OpenNeuro public download; ds004357 v1.0.1; license CC0; use web / OpenNeuro CLI / DataLad.</x:v>
      </x:c>
      <x:c r="P275" s="228" t="str">
        <x:v>Grootswagers, T., Robinson, A. K., Shatek, S. M., &amp; Carlson, T. A. (2024). Mapping the dynamics of visual feature coding: Insights into perception and integration. PLOS Computational Biology, 20(1), e1011760.</x:v>
      </x:c>
      <x:c r="Q275" s="228" t="str">
        <x:v>07_General-purpose_and_Multi-paradigm/Multi-task_EEG/Features-EEG</x:v>
      </x:c>
      <x:c r="R275" s="228" t="str">
        <x:v>存在公开仓库、官方入口或稳定数据访问号</x:v>
      </x:c>
      <x:c r="S275" s="228"/>
      <x:c r="T275" s="228"/>
      <x:c r="U275" s="205"/>
    </x:row>
    <x:row r="276" ht="60" customHeight="1">
      <x:c r="A276" s="262" t="str">
        <x:v>EEG-0543</x:v>
      </x:c>
      <x:c r="B276" s="263" t="str">
        <x:v>07_General-purpose_and_Multi-paradigm</x:v>
      </x:c>
      <x:c r="C276" s="263" t="str">
        <x:v>Multi-task_EEG</x:v>
      </x:c>
      <x:c r="D276" s="263" t="str">
        <x:v>Gebodh (2021)</x:v>
      </x:c>
      <x:c r="E276" s="263"/>
      <x:c r="F276" s="263" t="str">
        <x:v>Zenodo:4456079</x:v>
      </x:c>
      <x:c r="G276" s="263" t="str">
        <x:v>DOWNLOAD_PUBLIC</x:v>
      </x:c>
      <x:c r="H276" s="263" t="str">
        <x:v>https://zenodo.org/records/4456079</x:v>
      </x:c>
      <x:c r="I276" s="263" t="str">
        <x:v>Continuous Compensatory Tracking Task (CTT) under HD-tES stimulation</x:v>
      </x:c>
      <x:c r="J276" s="263" t="str">
        <x:v>20</x:v>
      </x:c>
      <x:c r="K276" s="263" t="str">
        <x:v>32</x:v>
      </x:c>
      <x:c r="L276" s="263" t="str">
        <x:v>2000</x:v>
      </x:c>
      <x:c r="M276" s="263" t="str">
        <x:v>EEGLAB</x:v>
      </x:c>
      <x:c r="N276" s="263" t="str">
        <x:v>Raw</x:v>
      </x:c>
      <x:c r="O276" s="263" t="str">
        <x:v>CC-BY 4.0</x:v>
      </x:c>
      <x:c r="P276" s="263" t="str">
        <x:v>N. Gebodh et al., “Dataset of concurrent EEG, ECG, and behavior with multiple doses of transcranial electrical stimulation,” Sci. Data, vol. 8, no. 1, p. 274, 2021.</x:v>
      </x:c>
      <x:c r="Q276" s="263" t="str">
        <x:v>07_General-purpose_and_Multi-paradigm/Multi-task_EEG/Gebodh_2021</x:v>
      </x:c>
      <x:c r="R276" s="263" t="str">
        <x:v>存在公开仓库、官方入口或稳定数据访问号</x:v>
      </x:c>
      <x:c r="S276" s="263"/>
      <x:c r="T276" s="263"/>
      <x:c r="U276" s="264"/>
    </x:row>
    <x:row r="277" ht="60" customHeight="1">
      <x:c r="A277" s="239" t="str">
        <x:v>EEG-0544</x:v>
      </x:c>
      <x:c r="B277" s="228" t="str">
        <x:v>07_General-purpose_and_Multi-paradigm</x:v>
      </x:c>
      <x:c r="C277" s="228" t="str">
        <x:v>Multi-task_EEG</x:v>
      </x:c>
      <x:c r="D277" s="228" t="str">
        <x:v>Go-nogo Categorization and Detection Task</x:v>
      </x:c>
      <x:c r="E277" s="228"/>
      <x:c r="F277" s="228" t="str">
        <x:v>OpenNeuro:ds002680</x:v>
      </x:c>
      <x:c r="G277" s="228" t="str">
        <x:v>DOWNLOAD_PUBLIC</x:v>
      </x:c>
      <x:c r="H277" s="228" t="str">
        <x:v>[OpenNeuro ds002680](https://openneuro.org/datasets/ds002680/versions/1.2.0)</x:v>
      </x:c>
      <x:c r="I277" s="228" t="str">
        <x:v>go/no-go categorization and detection；response inhibition</x:v>
      </x:c>
      <x:c r="J277" s="228" t="str">
        <x:v>14</x:v>
      </x:c>
      <x:c r="K277" s="228" t="str">
        <x:v>31</x:v>
      </x:c>
      <x:c r="L277" s="228" t="str">
        <x:v>1000Hz</x:v>
      </x:c>
      <x:c r="M277" s="228" t="str">
        <x:v>BIDS</x:v>
      </x:c>
      <x:c r="N277" s="228" t="str">
        <x:v>raw BIDS</x:v>
      </x:c>
      <x:c r="O277" s="228" t="str">
        <x:v>公开下载：OpenNeuro ds002680 v1.2.0；CC0，可网页、OpenNeuro CLI 或 DataLad 获取。</x:v>
      </x:c>
      <x:c r="P277" s="228" t="str">
        <x:v>Arnaud Delorme</x:v>
      </x:c>
      <x:c r="Q277" s="228" t="str">
        <x:v>07_General-purpose_and_Multi-paradigm/Multi-task_EEG/Go-nogo_Categorization_and_Detection_Task</x:v>
      </x:c>
      <x:c r="R277" s="228" t="str">
        <x:v>存在公开仓库、官方入口或稳定数据访问号</x:v>
      </x:c>
      <x:c r="S277" s="228"/>
      <x:c r="T277" s="228"/>
      <x:c r="U277" s="205"/>
    </x:row>
    <x:row r="278" ht="60" customHeight="1">
      <x:c r="A278" s="262" t="str">
        <x:v>EEG-0545</x:v>
      </x:c>
      <x:c r="B278" s="263" t="str">
        <x:v>07_General-purpose_and_Multi-paradigm</x:v>
      </x:c>
      <x:c r="C278" s="263" t="str">
        <x:v>Multi-task_EEG</x:v>
      </x:c>
      <x:c r="D278" s="263" t="str">
        <x:v>HD-EEG Naming/Spelling</x:v>
      </x:c>
      <x:c r="E278" s="263"/>
      <x:c r="F278" s="263" t="str">
        <x:v>OpenNeuro:ds003420</x:v>
      </x:c>
      <x:c r="G278" s="263" t="str">
        <x:v>DOWNLOAD_PUBLIC</x:v>
      </x:c>
      <x:c r="H278" s="263" t="str">
        <x:v>https://openneuro.org/datasets/ds003420</x:v>
      </x:c>
      <x:c r="I278" s="263" t="str">
        <x:v>Sub-second brain dynamics (visual naming/spelling)</x:v>
      </x:c>
      <x:c r="J278" s="263" t="str">
        <x:v>23</x:v>
      </x:c>
      <x:c r="K278" s="263" t="str">
        <x:v>256</x:v>
      </x:c>
      <x:c r="L278" s="263" t="str">
        <x:v>1000 Hz</x:v>
      </x:c>
      <x:c r="M278" s="263" t="str">
        <x:v>BrainVision / BIDS</x:v>
      </x:c>
      <x:c r="N278" s="263" t="str">
        <x:v>Raw (BIDS)</x:v>
      </x:c>
      <x:c r="O278" s="263" t="str">
        <x:v>Open (OpenNeuro ds003420), CC0</x:v>
      </x:c>
      <x:c r="P278" s="263" t="str">
        <x:v>HD-EEG for tracking sub-second brain dynamics during cognitive tasks. Mheich et al., 2021, Scientific Data 8:32.</x:v>
      </x:c>
      <x:c r="Q278" s="263" t="str">
        <x:v>07_General-purpose_and_Multi-paradigm/Multi-task_EEG/HD-EEG_Naming_Spelling</x:v>
      </x:c>
      <x:c r="R278" s="263" t="str">
        <x:v>存在公开仓库、官方入口或稳定数据访问号</x:v>
      </x:c>
      <x:c r="S278" s="263"/>
      <x:c r="T278" s="263"/>
      <x:c r="U278" s="264"/>
    </x:row>
    <x:row r="279" ht="60" customHeight="1">
      <x:c r="A279" s="239" t="str">
        <x:v>EEG-0547</x:v>
      </x:c>
      <x:c r="B279" s="228" t="str">
        <x:v>07_General-purpose_and_Multi-paradigm</x:v>
      </x:c>
      <x:c r="C279" s="228" t="str">
        <x:v>Multi-task_EEG</x:v>
      </x:c>
      <x:c r="D279" s="228" t="str">
        <x:v>Illusion of Agency over Electrically-Actuated Movements</x:v>
      </x:c>
      <x:c r="E279" s="228"/>
      <x:c r="F279" s="228" t="str">
        <x:v>OpenNeuro:ds004561 | DOI:10.18112/openneuro.ds004561.v1.0.0</x:v>
      </x:c>
      <x:c r="G279" s="228" t="str">
        <x:v>DOWNLOAD_PUBLIC</x:v>
      </x:c>
      <x:c r="H279" s="228" t="str">
        <x:v>[OpenNeuro ds004561](https://openneuro.org/datasets/ds004561/versions/1.0.0)</x:v>
      </x:c>
      <x:c r="I279" s="228" t="str">
        <x:v>agencyRT</x:v>
      </x:c>
      <x:c r="J279" s="228" t="str">
        <x:v>23</x:v>
      </x:c>
      <x:c r="K279" s="228" t="str">
        <x:v>62</x:v>
      </x:c>
      <x:c r="L279" s="228" t="str">
        <x:v>10000Hz</x:v>
      </x:c>
      <x:c r="M279" s="228" t="str">
        <x:v>BIDS</x:v>
      </x:c>
      <x:c r="N279" s="228" t="str">
        <x:v>processed BIDS</x:v>
      </x:c>
      <x:c r="O279" s="228" t="str">
        <x:v>OpenNeuro public download; ds004561 v1.0.0; license CC0; use web / OpenNeuro CLI / DataLad.</x:v>
      </x:c>
      <x:c r="P279" s="228" t="str">
        <x:v>John Veillette; Pedro Lopes; Howard Nusbaum; doi:10.18112/openneuro.ds004561.v1.0.0</x:v>
      </x:c>
      <x:c r="Q279" s="228" t="str">
        <x:v>07_General-purpose_and_Multi-paradigm/Multi-task_EEG/Illusion_of_Agency_over_Electrically-Actuated_Movements</x:v>
      </x:c>
      <x:c r="R279" s="228" t="str">
        <x:v>存在公开仓库、官方入口或稳定数据访问号</x:v>
      </x:c>
      <x:c r="S279" s="228"/>
      <x:c r="T279" s="228"/>
      <x:c r="U279" s="205"/>
    </x:row>
    <x:row r="280" ht="60" customHeight="1">
      <x:c r="A280" s="262" t="str">
        <x:v>EEG-0550</x:v>
      </x:c>
      <x:c r="B280" s="263" t="str">
        <x:v>07_General-purpose_and_Multi-paradigm</x:v>
      </x:c>
      <x:c r="C280" s="263" t="str">
        <x:v>Multi-task_EEG</x:v>
      </x:c>
      <x:c r="D280" s="263" t="str">
        <x:v>Neural representation of consciously seen and unseen information</x:v>
      </x:c>
      <x:c r="E280" s="263"/>
      <x:c r="F280" s="263" t="str">
        <x:v>OpenNeuro:ds005273 | DOI:10.18112/openneuro.ds005273.v1.0.0</x:v>
      </x:c>
      <x:c r="G280" s="263" t="str">
        <x:v>DOWNLOAD_PUBLIC</x:v>
      </x:c>
      <x:c r="H280" s="263" t="str">
        <x:v>[OpenNeuro ds005273](https://openneuro.org/datasets/ds005273/versions/1.0.0)</x:v>
      </x:c>
      <x:c r="I280" s="263" t="str">
        <x:v>1</x:v>
      </x:c>
      <x:c r="J280" s="263" t="str">
        <x:v>33</x:v>
      </x:c>
      <x:c r="K280" s="263" t="str">
        <x:v>63</x:v>
      </x:c>
      <x:c r="L280" s="263" t="str">
        <x:v>1000Hz</x:v>
      </x:c>
      <x:c r="M280" s="263" t="str">
        <x:v>BIDS</x:v>
      </x:c>
      <x:c r="N280" s="263" t="str">
        <x:v>raw BIDS</x:v>
      </x:c>
      <x:c r="O280" s="263" t="str">
        <x:v>OpenNeuro public download; ds005273 v1.0.0; license CC0; use web / OpenNeuro CLI / DataLad.</x:v>
      </x:c>
      <x:c r="P280" s="263" t="str">
        <x:v>Pablo Rodríguez-San Esteban; Ana B. Chica; José A. González-López; doi:10.18112/openneuro.ds005273.v1.0.0</x:v>
      </x:c>
      <x:c r="Q280" s="263" t="str">
        <x:v>07_General-purpose_and_Multi-paradigm/Multi-task_EEG/Neural_representation_of_consciously_seen_and_unseen_information</x:v>
      </x:c>
      <x:c r="R280" s="263" t="str">
        <x:v>存在公开仓库、官方入口或稳定数据访问号</x:v>
      </x:c>
      <x:c r="S280" s="263"/>
      <x:c r="T280" s="263"/>
      <x:c r="U280" s="264"/>
    </x:row>
    <x:row r="281" ht="60" customHeight="1">
      <x:c r="A281" s="239" t="str">
        <x:v>EEG-0553</x:v>
      </x:c>
      <x:c r="B281" s="228" t="str">
        <x:v>07_General-purpose_and_Multi-paradigm</x:v>
      </x:c>
      <x:c r="C281" s="228" t="str">
        <x:v>Multi-task_EEG</x:v>
      </x:c>
      <x:c r="D281" s="228" t="str">
        <x:v>OpenNeuro ds006171</x:v>
      </x:c>
      <x:c r="E281" s="228"/>
      <x:c r="F281" s="228" t="str">
        <x:v>OpenNeuro:ds006171</x:v>
      </x:c>
      <x:c r="G281" s="228" t="str">
        <x:v>DOWNLOAD_PUBLIC</x:v>
      </x:c>
      <x:c r="H281" s="228" t="str">
        <x:v>[OpenNeuro ds006171](https://openneuro.org/datasets/ds006171/versions/1.0.0)</x:v>
      </x:c>
      <x:c r="I281" s="228" t="str">
        <x:v>three near-threshold visual detection tasks</x:v>
      </x:c>
      <x:c r="J281" s="228" t="str">
        <x:v>55</x:v>
      </x:c>
      <x:c r="K281" s="228" t="str">
        <x:v>128</x:v>
      </x:c>
      <x:c r="L281" s="228" t="str">
        <x:v>1024Hz</x:v>
      </x:c>
      <x:c r="M281" s="228" t="str">
        <x:v>BIDS</x:v>
      </x:c>
      <x:c r="N281" s="228" t="str">
        <x:v>raw BIDS</x:v>
      </x:c>
      <x:c r="O281" s="228" t="str">
        <x:v>OpenNeuro public download; CC0; use web / OpenNeuro CLI / DataLad.</x:v>
      </x:c>
      <x:c r="P281" s="228" t="str">
        <x:v>OpenNeuro ds006171; DeeperBrain; Liu et al. (2026), EEG Foundation Models Tables VIII-XIV</x:v>
      </x:c>
      <x:c r="Q281" s="228" t="str">
        <x:v>07_General-purpose_and_Multi-paradigm/Multi-task_EEG/OpenNeuro_ds006171</x:v>
      </x:c>
      <x:c r="R281" s="228" t="str">
        <x:v>存在公开仓库、官方入口或稳定数据访问号</x:v>
      </x:c>
      <x:c r="S281" s="228"/>
      <x:c r="T281" s="228"/>
      <x:c r="U281" s="205"/>
    </x:row>
    <x:row r="282" ht="60" customHeight="1">
      <x:c r="A282" s="262" t="str">
        <x:v>EEG-0554</x:v>
      </x:c>
      <x:c r="B282" s="263" t="str">
        <x:v>07_General-purpose_and_Multi-paradigm</x:v>
      </x:c>
      <x:c r="C282" s="263" t="str">
        <x:v>Multi-task_EEG</x:v>
      </x:c>
      <x:c r="D282" s="263" t="str">
        <x:v>OpenNeuro ds006437</x:v>
      </x:c>
      <x:c r="E282" s="263"/>
      <x:c r="F282" s="263" t="str">
        <x:v>OpenNeuro:ds006437</x:v>
      </x:c>
      <x:c r="G282" s="263" t="str">
        <x:v>DOWNLOAD_PUBLIC</x:v>
      </x:c>
      <x:c r="H282" s="263" t="str">
        <x:v>[OpenNeuro ds006437](https://openneuro.org/datasets/ds006437)</x:v>
      </x:c>
      <x:c r="I282" s="263" t="str">
        <x:v>EEG source reported by DeeperBrain</x:v>
      </x:c>
      <x:c r="J282" s="263" t="str">
        <x:v>9</x:v>
      </x:c>
      <x:c r="K282" s="263" t="str">
        <x:v>64</x:v>
      </x:c>
      <x:c r="L282" s="263" t="str">
        <x:v>256Hz</x:v>
      </x:c>
      <x:c r="M282" s="263" t="str">
        <x:v>BIDS</x:v>
      </x:c>
      <x:c r="N282" s="263" t="str">
        <x:v>raw BIDS</x:v>
      </x:c>
      <x:c r="O282" s="263" t="str">
        <x:v>OpenNeuro public dataset if accession is active; metadata needs manual confirmation.</x:v>
      </x:c>
      <x:c r="P282" s="263" t="str">
        <x:v>OpenNeuro ds006437; DeeperBrain; Liu et al. (2026), EEG Foundation Models Tables VIII-XIV</x:v>
      </x:c>
      <x:c r="Q282" s="263" t="str">
        <x:v>07_General-purpose_and_Multi-paradigm/Multi-task_EEG/OpenNeuro_ds006437</x:v>
      </x:c>
      <x:c r="R282" s="263" t="str">
        <x:v>存在公开仓库、官方入口或稳定数据访问号</x:v>
      </x:c>
      <x:c r="S282" s="263"/>
      <x:c r="T282" s="263"/>
      <x:c r="U282" s="264"/>
    </x:row>
    <x:row r="283" ht="60" customHeight="1">
      <x:c r="A283" s="239" t="str">
        <x:v>EEG-0555</x:v>
      </x:c>
      <x:c r="B283" s="228" t="str">
        <x:v>07_General-purpose_and_Multi-paradigm</x:v>
      </x:c>
      <x:c r="C283" s="228" t="str">
        <x:v>Multi-task_EEG</x:v>
      </x:c>
      <x:c r="D283" s="228" t="str">
        <x:v>OpenNeuro ds006446</x:v>
      </x:c>
      <x:c r="E283" s="228"/>
      <x:c r="F283" s="228" t="str">
        <x:v>OpenNeuro:ds006446</x:v>
      </x:c>
      <x:c r="G283" s="228" t="str">
        <x:v>DOWNLOAD_PUBLIC</x:v>
      </x:c>
      <x:c r="H283" s="228" t="str">
        <x:v>[OpenNeuro ds006446](https://openneuro.org/datasets/ds006446/versions/1.0.0)</x:v>
      </x:c>
      <x:c r="I283" s="228" t="str">
        <x:v>episodic future thinking and delay discounting EEG</x:v>
      </x:c>
      <x:c r="J283" s="228" t="str">
        <x:v>29</x:v>
      </x:c>
      <x:c r="K283" s="228" t="str">
        <x:v>64</x:v>
      </x:c>
      <x:c r="L283" s="228" t="str">
        <x:v>2048Hz</x:v>
      </x:c>
      <x:c r="M283" s="228" t="str">
        <x:v>BIDS</x:v>
      </x:c>
      <x:c r="N283" s="228" t="str">
        <x:v>raw BIDS</x:v>
      </x:c>
      <x:c r="O283" s="228" t="str">
        <x:v>OpenNeuro public download; CC0; EEGDash mirror available.</x:v>
      </x:c>
      <x:c r="P283" s="228" t="str">
        <x:v>OpenNeuro ds006446; DeeperBrain; Liu et al. (2026), EEG Foundation Models Tables VIII-XIV</x:v>
      </x:c>
      <x:c r="Q283" s="228" t="str">
        <x:v>07_General-purpose_and_Multi-paradigm/Multi-task_EEG/OpenNeuro_ds006446</x:v>
      </x:c>
      <x:c r="R283" s="228" t="str">
        <x:v>存在公开仓库、官方入口或稳定数据访问号</x:v>
      </x:c>
      <x:c r="S283" s="228"/>
      <x:c r="T283" s="228"/>
      <x:c r="U283" s="205"/>
    </x:row>
    <x:row r="284" ht="60" customHeight="1">
      <x:c r="A284" s="262" t="str">
        <x:v>EEG-0556</x:v>
      </x:c>
      <x:c r="B284" s="263" t="str">
        <x:v>07_General-purpose_and_Multi-paradigm</x:v>
      </x:c>
      <x:c r="C284" s="263" t="str">
        <x:v>Multi-task_EEG</x:v>
      </x:c>
      <x:c r="D284" s="263" t="str">
        <x:v>OpenNeuro ds006547</x:v>
      </x:c>
      <x:c r="E284" s="263"/>
      <x:c r="F284" s="263" t="str">
        <x:v>OpenNeuro:ds006547</x:v>
      </x:c>
      <x:c r="G284" s="263" t="str">
        <x:v>DOWNLOAD_PUBLIC</x:v>
      </x:c>
      <x:c r="H284" s="263" t="str">
        <x:v>[OpenNeuro ds006547](https://openneuro.org/datasets/ds006547/versions/1.0.0)</x:v>
      </x:c>
      <x:c r="I284" s="263" t="str">
        <x:v>high-density visual stimulation EEG</x:v>
      </x:c>
      <x:c r="J284" s="263" t="str">
        <x:v>31</x:v>
      </x:c>
      <x:c r="K284" s="263" t="str">
        <x:v>64</x:v>
      </x:c>
      <x:c r="L284" s="263" t="str">
        <x:v>500Hz</x:v>
      </x:c>
      <x:c r="M284" s="263" t="str">
        <x:v>BIDS / BrainVision</x:v>
      </x:c>
      <x:c r="N284" s="263" t="str">
        <x:v>raw BIDS</x:v>
      </x:c>
      <x:c r="O284" s="263" t="str">
        <x:v>OpenNeuro public download; CC0; use web / OpenNeuro CLI / DataLad.</x:v>
      </x:c>
      <x:c r="P284" s="263" t="str">
        <x:v>Ghaffari et al. (2025); DeeperBrain; Liu et al. (2026), EEG Foundation Models Tables VIII-XIV</x:v>
      </x:c>
      <x:c r="Q284" s="263" t="str">
        <x:v>07_General-purpose_and_Multi-paradigm/Multi-task_EEG/OpenNeuro_ds006547</x:v>
      </x:c>
      <x:c r="R284" s="263" t="str">
        <x:v>存在公开仓库、官方入口或稳定数据访问号</x:v>
      </x:c>
      <x:c r="S284" s="263"/>
      <x:c r="T284" s="263"/>
      <x:c r="U284" s="264"/>
    </x:row>
    <x:row r="285" ht="60" customHeight="1">
      <x:c r="A285" s="239" t="str">
        <x:v>EEG-0557</x:v>
      </x:c>
      <x:c r="B285" s="228" t="str">
        <x:v>07_General-purpose_and_Multi-paradigm</x:v>
      </x:c>
      <x:c r="C285" s="228" t="str">
        <x:v>Multi-task_EEG</x:v>
      </x:c>
      <x:c r="D285" s="228" t="str">
        <x:v>PES - Pandemic Emergency Scenario</x:v>
      </x:c>
      <x:c r="E285" s="228"/>
      <x:c r="F285" s="228" t="str">
        <x:v>OpenNeuro:ds004477 | DOI:10.3389/fnhum.2019.00013</x:v>
      </x:c>
      <x:c r="G285" s="228" t="str">
        <x:v>DOWNLOAD_PUBLIC</x:v>
      </x:c>
      <x:c r="H285" s="228" t="str">
        <x:v>[OpenNeuro ds004477](https://openneuro.org/datasets/ds004477/versions/1.0.2)</x:v>
      </x:c>
      <x:c r="I285" s="228" t="str">
        <x:v>PES</x:v>
      </x:c>
      <x:c r="J285" s="228" t="str">
        <x:v>9</x:v>
      </x:c>
      <x:c r="K285" s="228" t="str">
        <x:v>79</x:v>
      </x:c>
      <x:c r="L285" s="228" t="str">
        <x:v>2048Hz</x:v>
      </x:c>
      <x:c r="M285" s="228" t="str">
        <x:v>BIDS</x:v>
      </x:c>
      <x:c r="N285" s="228" t="str">
        <x:v>raw BIDS</x:v>
      </x:c>
      <x:c r="O285" s="228" t="str">
        <x:v>OpenNeuro public download; ds004477 v1.0.2; license CC0; use web / OpenNeuro CLI / DataLad.</x:v>
      </x:c>
      <x:c r="P285" s="228" t="str">
        <x:v>Tasos Papastylianou; Rodrigo Ramele; Luca Citi; Caterina Cinel; Riccardo Poli; https://doi.org/10.3389/fnhum.2019.00013</x:v>
      </x:c>
      <x:c r="Q285" s="228" t="str">
        <x:v>07_General-purpose_and_Multi-paradigm/Multi-task_EEG/PES_-_Pandemic_Emergency_Scenario</x:v>
      </x:c>
      <x:c r="R285" s="228" t="str">
        <x:v>存在公开仓库、官方入口或稳定数据访问号</x:v>
      </x:c>
      <x:c r="S285" s="228"/>
      <x:c r="T285" s="228"/>
      <x:c r="U285" s="205"/>
    </x:row>
    <x:row r="286" ht="60" customHeight="1">
      <x:c r="A286" s="262" t="str">
        <x:v>EEG-0558</x:v>
      </x:c>
      <x:c r="B286" s="263" t="str">
        <x:v>07_General-purpose_and_Multi-paradigm</x:v>
      </x:c>
      <x:c r="C286" s="263" t="str">
        <x:v>Multi-task_EEG</x:v>
      </x:c>
      <x:c r="D286" s="263" t="str">
        <x:v>Post-hoc labeling of arbitrary EEG recordings for data-efficient evaluation of neural decoding methods</x:v>
      </x:c>
      <x:c r="E286" s="263"/>
      <x:c r="F286" s="263" t="str">
        <x:v>Zenodo:1065107 | DOI:10.3389/fninf.2019.00055</x:v>
      </x:c>
      <x:c r="G286" s="263" t="str">
        <x:v>DOWNLOAD_PUBLIC</x:v>
      </x:c>
      <x:c r="H286" s="263" t="str">
        <x:v>https://zenodo.org/records/1065107</x:v>
      </x:c>
      <x:c r="I286" s="263" t="str">
        <x:v>sequential visual isometric pinch task</x:v>
      </x:c>
      <x:c r="J286" s="263" t="str">
        <x:v>7</x:v>
      </x:c>
      <x:c r="K286" s="263" t="str">
        <x:v>31</x:v>
      </x:c>
      <x:c r="L286" s="263" t="str">
        <x:v>1000 Hz</x:v>
      </x:c>
      <x:c r="M286" s="263" t="str">
        <x:v>.mat</x:v>
      </x:c>
      <x:c r="N286" s="263" t="str">
        <x:v>RAW</x:v>
      </x:c>
      <x:c r="O286" s="263" t="str">
        <x:v>Fully open</x:v>
      </x:c>
      <x:c r="P286" s="263" t="str">
        <x:v>DOI: 10.3389/fninf.2019.00055</x:v>
      </x:c>
      <x:c r="Q286" s="263" t="str">
        <x:v>07_General-purpose_and_Multi-paradigm/Multi-task_EEG/Post-hoc_labeling_of_arbitrary_EEG_recordings_for_data-efficient_evaluation_of_neural_deco</x:v>
      </x:c>
      <x:c r="R286" s="263" t="str">
        <x:v>存在公开仓库、官方入口或稳定数据访问号</x:v>
      </x:c>
      <x:c r="S286" s="263"/>
      <x:c r="T286" s="263"/>
      <x:c r="U286" s="264"/>
    </x:row>
    <x:row r="287" ht="60" customHeight="1">
      <x:c r="A287" s="239" t="str">
        <x:v>EEG-0559</x:v>
      </x:c>
      <x:c r="B287" s="228" t="str">
        <x:v>07_General-purpose_and_Multi-paradigm</x:v>
      </x:c>
      <x:c r="C287" s="228" t="str">
        <x:v>Multi-task_EEG</x:v>
      </x:c>
      <x:c r="D287" s="228" t="str">
        <x:v>Prediction Error</x:v>
      </x:c>
      <x:c r="E287" s="228"/>
      <x:c r="F287" s="228" t="str">
        <x:v>OpenNeuro:ds003846 | DOI:10.18112/openneuro.ds003846.v2.0.2</x:v>
      </x:c>
      <x:c r="G287" s="228" t="str">
        <x:v>DOWNLOAD_PUBLIC</x:v>
      </x:c>
      <x:c r="H287" s="228" t="str">
        <x:v>[OpenNeuro ds003846](https://openneuro.org/datasets/ds003846/versions/2.0.2)</x:v>
      </x:c>
      <x:c r="I287" s="228" t="str">
        <x:v>PredictionError</x:v>
      </x:c>
      <x:c r="J287" s="228" t="str">
        <x:v>19</x:v>
      </x:c>
      <x:c r="K287" s="228" t="str">
        <x:v>63</x:v>
      </x:c>
      <x:c r="L287" s="228" t="str">
        <x:v>500Hz</x:v>
      </x:c>
      <x:c r="M287" s="228" t="str">
        <x:v>BIDS</x:v>
      </x:c>
      <x:c r="N287" s="228" t="str">
        <x:v>raw BIDS</x:v>
      </x:c>
      <x:c r="O287" s="228" t="str">
        <x:v>OpenNeuro public download; ds003846 v2.0.2; license CC0; use web / OpenNeuro CLI / DataLad.</x:v>
      </x:c>
      <x:c r="P287" s="228" t="str">
        <x:v>Lukas Gehrke; Sezen Akman; Albert Chen; Pedro Lopes; Klaus Gramann; doi:10.18112/openneuro.ds003846.v2.0.2</x:v>
      </x:c>
      <x:c r="Q287" s="228" t="str">
        <x:v>07_General-purpose_and_Multi-paradigm/Multi-task_EEG/Prediction_Error</x:v>
      </x:c>
      <x:c r="R287" s="228" t="str">
        <x:v>存在公开仓库、官方入口或稳定数据访问号</x:v>
      </x:c>
      <x:c r="S287" s="228"/>
      <x:c r="T287" s="228"/>
      <x:c r="U287" s="205"/>
    </x:row>
    <x:row r="288" ht="60" customHeight="1">
      <x:c r="A288" s="262" t="str">
        <x:v>EEG-0560</x:v>
      </x:c>
      <x:c r="B288" s="263" t="str">
        <x:v>07_General-purpose_and_Multi-paradigm</x:v>
      </x:c>
      <x:c r="C288" s="263" t="str">
        <x:v>Multi-task_EEG</x:v>
      </x:c>
      <x:c r="D288" s="263" t="str">
        <x:v>Raw EEG Data</x:v>
      </x:c>
      <x:c r="E288" s="263"/>
      <x:c r="F288" s="263" t="str">
        <x:v>DOI:10.18738/T8/SS2NHB</x:v>
      </x:c>
      <x:c r="G288" s="263" t="str">
        <x:v>DOWNLOAD_PUBLIC</x:v>
      </x:c>
      <x:c r="H288" s="263" t="str">
        <x:v>https://doi.org/10.18738/T8/SS2NHB</x:v>
      </x:c>
      <x:c r="I288" s="263" t="str">
        <x:v>Information-integration categorization；multidimensional rule-based categorization</x:v>
      </x:c>
      <x:c r="J288" s="263" t="str">
        <x:v>48</x:v>
      </x:c>
      <x:c r="K288" s="263" t="str">
        <x:v>64</x:v>
      </x:c>
      <x:c r="L288" s="263" t="str">
        <x:v>256 Hz (originally 2048 Hz)</x:v>
      </x:c>
      <x:c r="M288" s="263" t="str">
        <x:v>BDF (BioSemi Data Format)</x:v>
      </x:c>
      <x:c r="N288" s="263" t="str">
        <x:v>Raw task-based EEG recordings</x:v>
      </x:c>
      <x:c r="O288" s="263" t="str">
        <x:v>公开下载：获取方式：按 information-integration / rule-based categorization 原论文 Data Availability 下载；没有稳定公开仓库时联系作者。</x:v>
      </x:c>
      <x:c r="P288" s="263" t="str">
        <x:v>Trujillo et al. (2020); NeuroRVQ; Liu et al. (2026), EEG Foundation Models Tables VIII-XIV</x:v>
      </x:c>
      <x:c r="Q288" s="263" t="str">
        <x:v>07_General-purpose_and_Multi-paradigm/Multi-task_EEG/Raw_EEG_Data</x:v>
      </x:c>
      <x:c r="R288" s="263" t="str">
        <x:v>存在公开仓库、官方入口或稳定数据访问号</x:v>
      </x:c>
      <x:c r="S288" s="263"/>
      <x:c r="T288" s="263"/>
      <x:c r="U288" s="264"/>
    </x:row>
    <x:row r="289" ht="60" customHeight="1">
      <x:c r="A289" s="239" t="str">
        <x:v>EEG-0561</x:v>
      </x:c>
      <x:c r="B289" s="228" t="str">
        <x:v>07_General-purpose_and_Multi-paradigm</x:v>
      </x:c>
      <x:c r="C289" s="228" t="str">
        <x:v>Multi-task_EEG</x:v>
      </x:c>
      <x:c r="D289" s="228" t="str">
        <x:v>Search Superiority Recollection Familiarity</x:v>
      </x:c>
      <x:c r="E289" s="228"/>
      <x:c r="F289" s="228" t="str">
        <x:v>OpenNeuro:ds005189 | DOI:10.18112/openneuro.ds005189.v1.0.1</x:v>
      </x:c>
      <x:c r="G289" s="228" t="str">
        <x:v>DOWNLOAD_PUBLIC</x:v>
      </x:c>
      <x:c r="H289" s="228" t="str">
        <x:v>[OpenNeuro ds005189](https://openneuro.org/datasets/ds005189/versions/1.0.1)</x:v>
      </x:c>
      <x:c r="I289" s="228" t="str">
        <x:v>SearchSupRecFam</x:v>
      </x:c>
      <x:c r="J289" s="228" t="str">
        <x:v>30</x:v>
      </x:c>
      <x:c r="K289" s="228" t="str">
        <x:v>61</x:v>
      </x:c>
      <x:c r="L289" s="228" t="str">
        <x:v>1000Hz</x:v>
      </x:c>
      <x:c r="M289" s="228" t="str">
        <x:v>BIDS</x:v>
      </x:c>
      <x:c r="N289" s="228" t="str">
        <x:v>raw BIDS</x:v>
      </x:c>
      <x:c r="O289" s="228" t="str">
        <x:v>OpenNeuro public download; ds005189 v1.0.1; license CC0; use web / OpenNeuro CLI / DataLad.</x:v>
      </x:c>
      <x:c r="P289" s="228" t="str">
        <x:v>Jason Helbing; Dejan Draschkow; Melissa L.-H. Võ; doi:10.18112/openneuro.ds005189.v1.0.1</x:v>
      </x:c>
      <x:c r="Q289" s="228" t="str">
        <x:v>07_General-purpose_and_Multi-paradigm/Multi-task_EEG/Search_Superiority_Recollection_Familiarity</x:v>
      </x:c>
      <x:c r="R289" s="228" t="str">
        <x:v>存在公开仓库、官方入口或稳定数据访问号</x:v>
      </x:c>
      <x:c r="S289" s="228"/>
      <x:c r="T289" s="228"/>
      <x:c r="U289" s="205"/>
    </x:row>
    <x:row r="290" ht="60" customHeight="1">
      <x:c r="A290" s="262" t="str">
        <x:v>EEG-0562</x:v>
      </x:c>
      <x:c r="B290" s="263" t="str">
        <x:v>07_General-purpose_and_Multi-paradigm</x:v>
      </x:c>
      <x:c r="C290" s="263" t="str">
        <x:v>Multi-task_EEG</x:v>
      </x:c>
      <x:c r="D290" s="263" t="str">
        <x:v>Siefert2024</x:v>
      </x:c>
      <x:c r="E290" s="263"/>
      <x:c r="F290" s="263" t="str">
        <x:v>OpenNeuro:ds005121 | DOI:10.1523/JNEUROSCI.0022-24.2024</x:v>
      </x:c>
      <x:c r="G290" s="263" t="str">
        <x:v>DOWNLOAD_PUBLIC</x:v>
      </x:c>
      <x:c r="H290" s="263" t="str">
        <x:v>[OpenNeuro ds005121](https://openneuro.org/datasets/ds005121/versions/1.0.2)</x:v>
      </x:c>
      <x:c r="I290" s="263" t="str">
        <x:v>Siefert2024</x:v>
      </x:c>
      <x:c r="J290" s="263" t="str">
        <x:v>34</x:v>
      </x:c>
      <x:c r="K290" s="263" t="str">
        <x:v>58</x:v>
      </x:c>
      <x:c r="L290" s="263" t="str">
        <x:v>512Hz</x:v>
      </x:c>
      <x:c r="M290" s="263" t="str">
        <x:v>BIDS</x:v>
      </x:c>
      <x:c r="N290" s="263" t="str">
        <x:v>raw BIDS</x:v>
      </x:c>
      <x:c r="O290" s="263" t="str">
        <x:v>OpenNeuro public download; ds005121 v1.0.2; license CC0; use web / OpenNeuro CLI / DataLad.</x:v>
      </x:c>
      <x:c r="P290" s="263" t="str">
        <x:v>Elizabeth M. Siefert; Sindhuja Uppuluri; Jianing Mu; Marlie C. Tandoc; James W. Antony; https://doi.org/10.1523/JNEUROSCI.0022-24.2024</x:v>
      </x:c>
      <x:c r="Q290" s="263" t="str">
        <x:v>07_General-purpose_and_Multi-paradigm/Multi-task_EEG/Siefert2024</x:v>
      </x:c>
      <x:c r="R290" s="263" t="str">
        <x:v>存在公开仓库、官方入口或稳定数据访问号</x:v>
      </x:c>
      <x:c r="S290" s="263"/>
      <x:c r="T290" s="263"/>
      <x:c r="U290" s="264"/>
    </x:row>
    <x:row r="291" ht="60" customHeight="1">
      <x:c r="A291" s="239" t="str">
        <x:v>EEG-0564</x:v>
      </x:c>
      <x:c r="B291" s="228" t="str">
        <x:v>07_General-purpose_and_Multi-paradigm</x:v>
      </x:c>
      <x:c r="C291" s="228" t="str">
        <x:v>Multi-task_EEG</x:v>
      </x:c>
      <x:c r="D291" s="228" t="str">
        <x:v>SomatoMotor</x:v>
      </x:c>
      <x:c r="E291" s="228"/>
      <x:c r="F291" s="228" t="str">
        <x:v>OpenNeuro:ds006035</x:v>
      </x:c>
      <x:c r="G291" s="228" t="str">
        <x:v>DOWNLOAD_PUBLIC</x:v>
      </x:c>
      <x:c r="H291" s="228" t="str">
        <x:v>[OpenNeuro ds006035](https://openneuro.org/datasets/ds006035/versions/1.0.0)</x:v>
      </x:c>
      <x:c r="I291" s="228" t="str">
        <x:v>median nerve stimulation and motor response; classify nerve-stimulus-triggered vs spontaneous finger lifts</x:v>
      </x:c>
      <x:c r="J291" s="228" t="str">
        <x:v>5</x:v>
      </x:c>
      <x:c r="K291" s="228" t="str">
        <x:v>74 EEG + 306 MEG</x:v>
      </x:c>
      <x:c r="L291" s="228" t="str">
        <x:v>1004Hz</x:v>
      </x:c>
      <x:c r="M291" s="228" t="str">
        <x:v>BIDS</x:v>
      </x:c>
      <x:c r="N291" s="228" t="str">
        <x:v>raw</x:v>
      </x:c>
      <x:c r="O291" s="228" t="str">
        <x:v>OpenNeuro public dataset</x:v>
      </x:c>
      <x:c r="P291" s="228" t="str">
        <x:v>SomatoMotor dataset authors; BrainOmni (2025)</x:v>
      </x:c>
      <x:c r="Q291" s="228" t="str">
        <x:v>07_General-purpose_and_Multi-paradigm/Multi-task_EEG/SomatoMotor</x:v>
      </x:c>
      <x:c r="R291" s="228" t="str">
        <x:v>存在公开仓库、官方入口或稳定数据访问号</x:v>
      </x:c>
      <x:c r="S291" s="228"/>
      <x:c r="T291" s="228"/>
      <x:c r="U291" s="205"/>
    </x:row>
    <x:row r="292" ht="60" customHeight="1">
      <x:c r="A292" s="262" t="str">
        <x:v>EEG-0565</x:v>
      </x:c>
      <x:c r="B292" s="263" t="str">
        <x:v>07_General-purpose_and_Multi-paradigm</x:v>
      </x:c>
      <x:c r="C292" s="263" t="str">
        <x:v>Multi-task_EEG</x:v>
      </x:c>
      <x:c r="D292" s="263" t="str">
        <x:v>Steer the Ship</x:v>
      </x:c>
      <x:c r="E292" s="263"/>
      <x:c r="F292" s="263" t="str">
        <x:v>OpenNeuro:ds004264 | DOI:10.18112/openneuro.ds004264.v1.1.0</x:v>
      </x:c>
      <x:c r="G292" s="263" t="str">
        <x:v>DOWNLOAD_PUBLIC</x:v>
      </x:c>
      <x:c r="H292" s="263" t="str">
        <x:v>[OpenNeuro ds004264](https://openneuro.org/datasets/ds004264/versions/1.1.0)</x:v>
      </x:c>
      <x:c r="I292" s="263" t="str">
        <x:v>steertheship</x:v>
      </x:c>
      <x:c r="J292" s="263" t="str">
        <x:v>21</x:v>
      </x:c>
      <x:c r="K292" s="263" t="str">
        <x:v>31</x:v>
      </x:c>
      <x:c r="L292" s="263" t="str">
        <x:v>1000Hz</x:v>
      </x:c>
      <x:c r="M292" s="263" t="str">
        <x:v>BIDS</x:v>
      </x:c>
      <x:c r="N292" s="263" t="str">
        <x:v>raw BIDS</x:v>
      </x:c>
      <x:c r="O292" s="263" t="str">
        <x:v>OpenNeuro public download; ds004264 v1.1.0; license CC0; use web / OpenNeuro CLI / DataLad.</x:v>
      </x:c>
      <x:c r="P292" s="263" t="str">
        <x:v>Cameron D. Hassall; Yan Yan; Laurence T. Hunt; doi:10.18112/openneuro.ds004264.v1.1.0</x:v>
      </x:c>
      <x:c r="Q292" s="263" t="str">
        <x:v>07_General-purpose_and_Multi-paradigm/Multi-task_EEG/Steer_the_Ship</x:v>
      </x:c>
      <x:c r="R292" s="263" t="str">
        <x:v>存在公开仓库、官方入口或稳定数据访问号</x:v>
      </x:c>
      <x:c r="S292" s="263"/>
      <x:c r="T292" s="263"/>
      <x:c r="U292" s="264"/>
    </x:row>
    <x:row r="293" ht="60" customHeight="1">
      <x:c r="A293" s="239" t="str">
        <x:v>EEG-0566</x:v>
      </x:c>
      <x:c r="B293" s="228" t="str">
        <x:v>07_General-purpose_and_Multi-paradigm</x:v>
      </x:c>
      <x:c r="C293" s="228" t="str">
        <x:v>Multi-task_EEG</x:v>
      </x:c>
      <x:c r="D293" s="228" t="str">
        <x:v>The effects of sham hypnosis techniques</x:v>
      </x:c>
      <x:c r="E293" s="228"/>
      <x:c r="F293" s="228" t="str">
        <x:v>OpenNeuro:ds004572 | DOI:10.18112/openneuro.ds004572.v1.3.2</x:v>
      </x:c>
      <x:c r="G293" s="228" t="str">
        <x:v>DOWNLOAD_PUBLIC</x:v>
      </x:c>
      <x:c r="H293" s="228" t="str">
        <x:v>[OpenNeuro ds004572](https://openneuro.org/datasets/ds004572/versions/1.3.2)</x:v>
      </x:c>
      <x:c r="I293" s="228" t="str">
        <x:v>experience2; induction1; experience4; induction4; experience1; baseline1; experience3</x:v>
      </x:c>
      <x:c r="J293" s="228" t="str">
        <x:v>52</x:v>
      </x:c>
      <x:c r="K293" s="228" t="str">
        <x:v>58</x:v>
      </x:c>
      <x:c r="L293" s="228" t="str">
        <x:v>1000Hz</x:v>
      </x:c>
      <x:c r="M293" s="228" t="str">
        <x:v>BIDS</x:v>
      </x:c>
      <x:c r="N293" s="228" t="str">
        <x:v>raw BIDS</x:v>
      </x:c>
      <x:c r="O293" s="228" t="str">
        <x:v>OpenNeuro public download; ds004572 v1.3.2; license CC0; use web / OpenNeuro CLI / DataLad.</x:v>
      </x:c>
      <x:c r="P293" s="228" t="str">
        <x:v>Zoltan Kekecs; Kyra Girán; Vanda Vizkievicz; Anna Lutoskin; Yeganeh Farahzadi; doi:10.18112/openneuro.ds004572.v1.3.2</x:v>
      </x:c>
      <x:c r="Q293" s="228" t="str">
        <x:v>07_General-purpose_and_Multi-paradigm/Multi-task_EEG/The_effects_of_sham_hypnosis_techniques</x:v>
      </x:c>
      <x:c r="R293" s="228" t="str">
        <x:v>存在公开仓库、官方入口或稳定数据访问号</x:v>
      </x:c>
      <x:c r="S293" s="228"/>
      <x:c r="T293" s="228"/>
      <x:c r="U293" s="205"/>
    </x:row>
    <x:row r="294" ht="60" customHeight="1">
      <x:c r="A294" s="262" t="str">
        <x:v>EEG-0567</x:v>
      </x:c>
      <x:c r="B294" s="263" t="str">
        <x:v>07_General-purpose_and_Multi-paradigm</x:v>
      </x:c>
      <x:c r="C294" s="263" t="str">
        <x:v>Multi-task_EEG</x:v>
      </x:c>
      <x:c r="D294" s="263" t="str">
        <x:v>TMS-EEG-MRI-fMRI-DWI ccPAS Dataset</x:v>
      </x:c>
      <x:c r="E294" s="263"/>
      <x:c r="F294" s="263" t="str">
        <x:v>OpenNeuro:ds004024</x:v>
      </x:c>
      <x:c r="G294" s="263" t="str">
        <x:v>DOWNLOAD_PUBLIC</x:v>
      </x:c>
      <x:c r="H294" s="263" t="str">
        <x:v>[OpenNeuro ds004024](https://openneuro.org/datasets/ds004024/versions/1.0.1)</x:v>
      </x:c>
      <x:c r="I294" s="263" t="str">
        <x:v>paired associative stimulation；connectivity；TMS-EEG / MRI / fMRI / DWI</x:v>
      </x:c>
      <x:c r="J294" s="263" t="str">
        <x:v>13</x:v>
      </x:c>
      <x:c r="K294" s="263" t="str">
        <x:v>64</x:v>
      </x:c>
      <x:c r="L294" s="263" t="str">
        <x:v>20000Hz</x:v>
      </x:c>
      <x:c r="M294" s="263" t="str">
        <x:v>BIDS</x:v>
      </x:c>
      <x:c r="N294" s="263" t="str">
        <x:v>raw BIDS</x:v>
      </x:c>
      <x:c r="O294" s="263" t="str">
        <x:v>公开下载：OpenNeuro ds004024 v1.0.1；可网页、OpenNeuro CLI 或 DataLad 获取。</x:v>
      </x:c>
      <x:c r="P294" s="263" t="str">
        <x:v>Julio Cesar Hernandez Pavon; Nils Schneider Garces; John Patrick Begnoche; Lee Miller; Tommi Raij</x:v>
      </x:c>
      <x:c r="Q294" s="263" t="str">
        <x:v>07_General-purpose_and_Multi-paradigm/Multi-task_EEG/TMS-EEG-MRI-fMRI-DWI_ccPAS_Dataset</x:v>
      </x:c>
      <x:c r="R294" s="263" t="str">
        <x:v>存在公开仓库、官方入口或稳定数据访问号</x:v>
      </x:c>
      <x:c r="S294" s="263"/>
      <x:c r="T294" s="263"/>
      <x:c r="U294" s="264"/>
    </x:row>
    <x:row r="295" ht="60" customHeight="1">
      <x:c r="A295" s="239" t="str">
        <x:v>EEG-0568</x:v>
      </x:c>
      <x:c r="B295" s="228" t="str">
        <x:v>07_General-purpose_and_Multi-paradigm</x:v>
      </x:c>
      <x:c r="C295" s="228" t="str">
        <x:v>Multi-task_EEG</x:v>
      </x:c>
      <x:c r="D295" s="228" t="str">
        <x:v>ToMCAT</x:v>
      </x:c>
      <x:c r="E295" s="228"/>
      <x:c r="F295" s="228" t="str">
        <x:v>DOI:10.52202/075280-1781</x:v>
      </x:c>
      <x:c r="G295" s="228" t="str">
        <x:v>DOWNLOAD_PUBLIC</x:v>
      </x:c>
      <x:c r="H295" s="228" t="str">
        <x:v>https://tomcat.ivilab.org/</x:v>
      </x:c>
      <x:c r="I295" s="228" t="str">
        <x:v>human-machine teaming / team cognition</x:v>
      </x:c>
      <x:c r="J295" s="228" t="str">
        <x:v>120</x:v>
      </x:c>
      <x:c r="K295" s="228" t="str">
        <x:v>21</x:v>
      </x:c>
      <x:c r="L295" s="228" t="str">
        <x:v>500 Hz</x:v>
      </x:c>
      <x:c r="M295" s="228" t="str">
        <x:v>.db</x:v>
      </x:c>
      <x:c r="N295" s="228" t="str">
        <x:v>Both</x:v>
      </x:c>
      <x:c r="O295" s="228" t="str">
        <x:v>Fully open</x:v>
      </x:c>
      <x:c r="P295" s="228" t="str">
        <x:v>DOI: 10.52202/075280-1781</x:v>
      </x:c>
      <x:c r="Q295" s="228" t="str">
        <x:v>07_General-purpose_and_Multi-paradigm/Multi-task_EEG/ToMCAT</x:v>
      </x:c>
      <x:c r="R295" s="228" t="str">
        <x:v>存在公开仓库、官方入口或稳定数据访问号</x:v>
      </x:c>
      <x:c r="S295" s="228"/>
      <x:c r="T295" s="228"/>
      <x:c r="U295" s="205"/>
    </x:row>
    <x:row r="296" ht="60" customHeight="1">
      <x:c r="A296" s="262" t="str">
        <x:v>EEG-0569</x:v>
      </x:c>
      <x:c r="B296" s="263" t="str">
        <x:v>07_General-purpose_and_Multi-paradigm</x:v>
      </x:c>
      <x:c r="C296" s="263" t="str">
        <x:v>Multi-task_EEG</x:v>
      </x:c>
      <x:c r="D296" s="263" t="str">
        <x:v>Visual Attribute-Specific Contextual Trajectory Paradigm</x:v>
      </x:c>
      <x:c r="E296" s="263"/>
      <x:c r="F296" s="263" t="str">
        <x:v>OpenNeuro:ds004603 | DOI:10.18112/openneuro.ds004603.v1.1.0</x:v>
      </x:c>
      <x:c r="G296" s="263" t="str">
        <x:v>DOWNLOAD_PUBLIC</x:v>
      </x:c>
      <x:c r="H296" s="263" t="str">
        <x:v>[OpenNeuro ds004603](https://openneuro.org/datasets/ds004603/versions/1.1.0)</x:v>
      </x:c>
      <x:c r="I296" s="263" t="str">
        <x:v>CTP</x:v>
      </x:c>
      <x:c r="J296" s="263" t="str">
        <x:v>37</x:v>
      </x:c>
      <x:c r="K296" s="263" t="str">
        <x:v>64</x:v>
      </x:c>
      <x:c r="L296" s="263" t="str">
        <x:v>1024Hz</x:v>
      </x:c>
      <x:c r="M296" s="263" t="str">
        <x:v>BIDS</x:v>
      </x:c>
      <x:c r="N296" s="263" t="str">
        <x:v>raw BIDS</x:v>
      </x:c>
      <x:c r="O296" s="263" t="str">
        <x:v>OpenNeuro public download; ds004603 v1.1.0; license CC0; use web / OpenNeuro CLI / DataLad.</x:v>
      </x:c>
      <x:c r="P296" s="263" t="str">
        <x:v>Benjamin Lowe (ben.lowe@mq.edu.au); Jonathan Robinson (jonathan.robinson@monash.edu); Naohide Yamamoto (naohide.yamamoto@qut.edu.au); Hinze Hogendoorn (hinze.hogendoorn@qut.edu.au); Patrick Johnston (dr.pat.johnston@icloud.com); doi:10.18112/openneuro.ds004603.v1.1.0</x:v>
      </x:c>
      <x:c r="Q296" s="263" t="str">
        <x:v>07_General-purpose_and_Multi-paradigm/Multi-task_EEG/Visual_Attribute-Specific_Contextual_Trajectory_Paradigm</x:v>
      </x:c>
      <x:c r="R296" s="263" t="str">
        <x:v>存在公开仓库、官方入口或稳定数据访问号</x:v>
      </x:c>
      <x:c r="S296" s="263"/>
      <x:c r="T296" s="263"/>
      <x:c r="U296" s="264"/>
    </x:row>
    <x:row r="297" ht="60" customHeight="1">
      <x:c r="A297" s="239" t="str">
        <x:v>EEG-0570</x:v>
      </x:c>
      <x:c r="B297" s="228" t="str">
        <x:v>07_General-purpose_and_Multi-paradigm</x:v>
      </x:c>
      <x:c r="C297" s="228" t="str">
        <x:v>Multi-task_EEG</x:v>
      </x:c>
      <x:c r="D297" s="228" t="str">
        <x:v>NIMH Simultaneous EEG-fMRI Autonomic Global Signal Dataset</x:v>
      </x:c>
      <x:c r="E297" s="228" t="str">
        <x:v>NIMH autonomic / global signal; Figshare 28225415</x:v>
      </x:c>
      <x:c r="F297" s="228" t="str">
        <x:v>Figshare:28225415 | DOI:10.6084/m9.figshare.28225415</x:v>
      </x:c>
      <x:c r="G297" s="228" t="str">
        <x:v>DOWNLOAD_PUBLIC</x:v>
      </x:c>
      <x:c r="H297" s="228" t="str">
        <x:v>[Figshare 28225415](https://figshare.com/articles/dataset/NIMH_Simultaneous_EEG-FMRI_Dataset/28225415)</x:v>
      </x:c>
      <x:c r="I297" s="228" t="str">
        <x:v>Eyes-closed rest; deep-breath respiration task with auditory cue; reaction-time cue task; simultaneous multi-echo fMRI, EEG, PPG and respiration</x:v>
      </x:c>
      <x:c r="J297" s="228" t="str">
        <x:v>11 rest / 6 respiration-task / 12 reaction-time-task (overlapping)</x:v>
      </x:c>
      <x:c r="K297" s="228" t="str">
        <x:v>32 EEG</x:v>
      </x:c>
      <x:c r="L297" s="228" t="str">
        <x:v>5000 Hz</x:v>
      </x:c>
      <x:c r="M297" s="228" t="str">
        <x:v>NIfTI / MAT</x:v>
      </x:c>
      <x:c r="N297" s="228" t="str">
        <x:v>Raw fMRI; minimally preprocessed EEG and peripheral physiology</x:v>
      </x:c>
      <x:c r="O297" s="228" t="str">
        <x:v>Public Figshare dataset; cite dataset and Bolt et al.; 13.03 GB reported for version 3.</x:v>
      </x:c>
      <x:c r="P297" s="228" t="str">
        <x:v>Bolt et al. — Nature Neuroscience 2025</x:v>
      </x:c>
      <x:c r="Q297" s="228" t="str">
        <x:v>07_General-purpose_and_Multi-paradigm/Multi-task_EEG/NIMH_Simultaneous_EEG-fMRI_Autonomic_Global_Signal</x:v>
      </x:c>
      <x:c r="R297" s="228" t="str">
        <x:v>官方公开数据集；Figshare 页面和文件规模已核验</x:v>
      </x:c>
      <x:c r="S297" s="228" t="str">
        <x:v>2.1 (multi-echo; TE 13.0/29.4/45.7 ms)</x:v>
      </x:c>
      <x:c r="T297" s="228" t="str">
        <x:v>rest ~1470; respiration task ~840-900</x:v>
      </x:c>
      <x:c r="U297" s="205" t="str">
        <x:v>15 rest + 9 respiration-task + reaction-time task scans</x:v>
      </x:c>
    </x:row>
    <x:row r="298" ht="60" customHeight="1">
      <x:c r="A298" s="262" t="str">
        <x:v>EEG-0571</x:v>
      </x:c>
      <x:c r="B298" s="263" t="str">
        <x:v>05_Naturalistic_Stimulus_Decoding</x:v>
      </x:c>
      <x:c r="C298" s="263" t="str">
        <x:v>Visual_Perception</x:v>
      </x:c>
      <x:c r="D298" s="263" t="str">
        <x:v>Simultaneous EEG-fMRI Binocular Rivalry Dataset</x:v>
      </x:c>
      <x:c r="E298" s="263" t="str">
        <x:v>Binocular rivalry Dryad bf1b1</x:v>
      </x:c>
      <x:c r="F298" s="263" t="str">
        <x:v>Dryad:bf1b1 | DOI:10.5061/dryad.bf1b1</x:v>
      </x:c>
      <x:c r="G298" s="263" t="str">
        <x:v>DOWNLOAD_PUBLIC</x:v>
      </x:c>
      <x:c r="H298" s="263" t="str">
        <x:v>[Dryad bf1b1](https://datadryad.org/dataset/doi:10.5061/dryad.bf1b1)</x:v>
      </x:c>
      <x:c r="I298" s="263" t="str">
        <x:v>Frequency-tagged binocular rivalry (SSVEP 6.67 and 8.57 Hz) with replay and instant-replay controls; simultaneous EEG-fMRI</x:v>
      </x:c>
      <x:c r="J298" s="263" t="str">
        <x:v>20</x:v>
      </x:c>
      <x:c r="K298" s="263" t="str">
        <x:v>64 EEG</x:v>
      </x:c>
      <x:c r="L298" s="263" t="str">
        <x:v>5000 Hz</x:v>
      </x:c>
      <x:c r="M298" s="263" t="str">
        <x:v>ZIP / EEG / MRI</x:v>
      </x:c>
      <x:c r="N298" s="263" t="str">
        <x:v>Subject-level simultaneous EEG-fMRI and MRI archives</x:v>
      </x:c>
      <x:c r="O298" s="263" t="str">
        <x:v>Public Dryad dataset; 20 subject ZIP files plus channel locations and README; 16.84 GB.</x:v>
      </x:c>
      <x:c r="P298" s="263" t="str">
        <x:v>Roy, Jamison, He, Engel, He — NeuroImage 2017</x:v>
      </x:c>
      <x:c r="Q298" s="263" t="str">
        <x:v>05_Naturalistic_Stimulus_Decoding/Visual_Perception/Simultaneous_EEG-fMRI_Binocular_Rivalry</x:v>
      </x:c>
      <x:c r="R298" s="263" t="str">
        <x:v>官方公开数据集；Dryad DOI、20 名受试者和 16.84 GB 文件清单已核验</x:v>
      </x:c>
      <x:c r="S298" s="263" t="str">
        <x:v>2.2</x:v>
      </x:c>
      <x:c r="T298" s="263" t="str">
        <x:v>~222/block (5 x 42 s trials + 12 s rest)</x:v>
      </x:c>
      <x:c r="U298" s="264" t="str">
        <x:v>12 runs/subject (5 rivalry + 5 replay + 2 instant-replay)</x:v>
      </x:c>
    </x:row>
    <x:row r="299" ht="60" customHeight="1">
      <x:c r="A299" s="239" t="str">
        <x:v>EEG-0572</x:v>
      </x:c>
      <x:c r="B299" s="228" t="str">
        <x:v>03_Consciousness_and_State</x:v>
      </x:c>
      <x:c r="C299" s="228" t="str">
        <x:v>Resting_State</x:v>
      </x:c>
      <x:c r="D299" s="228" t="str">
        <x:v>Simultaneous 7T EEG-fMRI Resting-State Dataset</x:v>
      </x:c>
      <x:c r="E299" s="228" t="str">
        <x:v>7T EEG-fMRI rest; Zenodo 15781280</x:v>
      </x:c>
      <x:c r="F299" s="228" t="str">
        <x:v>Zenodo:15781280 | DOI:10.5281/zenodo.15781280</x:v>
      </x:c>
      <x:c r="G299" s="228" t="str">
        <x:v>DOWNLOAD_PUBLIC</x:v>
      </x:c>
      <x:c r="H299" s="228" t="str">
        <x:v>[Zenodo 15781280](https://zenodo.org/records/15781280)</x:v>
      </x:c>
      <x:c r="I299" s="228" t="str">
        <x:v>Resting-state simultaneous EEG-fMRI at 7T with 1.6 mm and 0.8 mm fMRI acquisitions</x:v>
      </x:c>
      <x:c r="J299" s="228" t="str">
        <x:v>8 released</x:v>
      </x:c>
      <x:c r="K299" s="228" t="str">
        <x:v>64 (Ag/AgCl; one ECG extension)</x:v>
      </x:c>
      <x:c r="L299" s="228" t="str">
        <x:v>5000 Hz (bandpass 0.016-250 Hz)</x:v>
      </x:c>
      <x:c r="M299" s="228" t="str">
        <x:v>ZIP / preprocessed EEG-fMRI</x:v>
      </x:c>
      <x:c r="N299" s="228" t="str">
        <x:v>Artifact-corrected and preprocessed</x:v>
      </x:c>
      <x:c r="O299" s="228" t="str">
        <x:v>Open Zenodo dataset; eight subject archives; 77.7 GB with MD5 values.</x:v>
      </x:c>
      <x:c r="P299" s="228" t="str">
        <x:v>Sainz Martinez et al. — Imaging Neuroscience 2025</x:v>
      </x:c>
      <x:c r="Q299" s="228" t="str">
        <x:v>03_Consciousness_and_State/Resting_State/Simultaneous_7T_EEG-fMRI_Resting-State</x:v>
      </x:c>
      <x:c r="R299" s="228" t="str">
        <x:v>官方公开数据集；Zenodo DOI、8 名受试者、77.7 GB 和 MD5 已核验</x:v>
      </x:c>
      <x:c r="S299" s="228" t="str">
        <x:v>1.05 (1.6 mm) / 3.52 (0.8 mm)</x:v>
      </x:c>
      <x:c r="T299" s="228" t="str">
        <x:v>480/run</x:v>
      </x:c>
      <x:c r="U299" s="205" t="str">
        <x:v>multiple EEG-fMRI runs/subject at two resolutions</x:v>
      </x:c>
    </x:row>
    <x:row r="300" ht="60" customHeight="1">
      <x:c r="A300" s="262" t="str">
        <x:v>EEG-0573</x:v>
      </x:c>
      <x:c r="B300" s="263" t="str">
        <x:v>04_Cognition_and_Emotion</x:v>
      </x:c>
      <x:c r="C300" s="263" t="str">
        <x:v>ERP_and_Event_Detection</x:v>
      </x:c>
      <x:c r="D300" s="263" t="str">
        <x:v>Simultaneous EEG-fMRI Auditory and Visual Oddball Dataset</x:v>
      </x:c>
      <x:c r="E300" s="263" t="str">
        <x:v>OpenNeuro ds000116; Auditory &amp; Visual Oddball</x:v>
      </x:c>
      <x:c r="F300" s="263" t="str">
        <x:v>OpenNeuro:ds000116</x:v>
      </x:c>
      <x:c r="G300" s="263" t="str">
        <x:v>DOWNLOAD_PUBLIC</x:v>
      </x:c>
      <x:c r="H300" s="263" t="str">
        <x:v>[OpenNeuro ds000116](https://openneuro.org/datasets/ds000116)</x:v>
      </x:c>
      <x:c r="I300" s="263" t="str">
        <x:v>Auditory and visual oddball target detection with 20% targets; simultaneous EEG-fMRI</x:v>
      </x:c>
      <x:c r="J300" s="263" t="str">
        <x:v>17</x:v>
      </x:c>
      <x:c r="K300" s="263" t="str">
        <x:v>49 recorded (43 EEG + 2 EOG + 2 ECG; 34 after re-reference)</x:v>
      </x:c>
      <x:c r="L300" s="263" t="str">
        <x:v>1000 Hz</x:v>
      </x:c>
      <x:c r="M300" s="263" t="str">
        <x:v>BIDS / EEG / MRI</x:v>
      </x:c>
      <x:c r="N300" s="263" t="str">
        <x:v>Raw and BIDS-organized</x:v>
      </x:c>
      <x:c r="O300" s="263" t="str">
        <x:v>Public OpenNeuro dataset; OpenNeuro data-use terms apply.</x:v>
      </x:c>
      <x:c r="P300" s="263" t="str">
        <x:v>Walz, Goldman, Muraskin, Brown, Sajda — Journal of Neuroscience 2013</x:v>
      </x:c>
      <x:c r="Q300" s="263" t="str">
        <x:v>04_Cognition_and_Emotion/ERP_and_Event_Detection/Simultaneous_EEG-fMRI_Auditory_Visual_Oddball_ds000116</x:v>
      </x:c>
      <x:c r="R300" s="263" t="str">
        <x:v>OpenNeuro 稳定访问号存在；需在下载前核验当前 snapshot 与文件规模</x:v>
      </x:c>
      <x:c r="S300" s="263" t="str">
        <x:v>2</x:v>
      </x:c>
      <x:c r="T300" s="263" t="str">
        <x:v>340/run</x:v>
      </x:c>
      <x:c r="U300" s="264" t="str">
        <x:v>6 runs/subject (102 total)</x:v>
      </x:c>
    </x:row>
    <x:row r="301" ht="60" customHeight="1">
      <x:c r="A301" s="239" t="str">
        <x:v>EEG-0574</x:v>
      </x:c>
      <x:c r="B301" s="228" t="str">
        <x:v>04_Cognition_and_Emotion</x:v>
      </x:c>
      <x:c r="C301" s="228" t="str">
        <x:v>Cognitive_Task_Recognition</x:v>
      </x:c>
      <x:c r="D301" s="228" t="str">
        <x:v>Simultaneous EEG-fMRI Confidence in Perceptual Decisions</x:v>
      </x:c>
      <x:c r="E301" s="228" t="str">
        <x:v>OpenNeuro ds002739; original ds001512</x:v>
      </x:c>
      <x:c r="F301" s="228" t="str">
        <x:v>OpenNeuro:ds002739</x:v>
      </x:c>
      <x:c r="G301" s="228" t="str">
        <x:v>DOWNLOAD_PUBLIC</x:v>
      </x:c>
      <x:c r="H301" s="228" t="str">
        <x:v>[OpenNeuro ds002739](https://openneuro.org/datasets/ds002739)</x:v>
      </x:c>
      <x:c r="I301" s="228" t="str">
        <x:v>Random-dot direction discrimination and post-decision confidence; simultaneous EEG-fMRI</x:v>
      </x:c>
      <x:c r="J301" s="228" t="str">
        <x:v>24</x:v>
      </x:c>
      <x:c r="K301" s="228" t="str">
        <x:v>64 EEG</x:v>
      </x:c>
      <x:c r="L301" s="228" t="str">
        <x:v>5000 Hz native; 1000 Hz in released MAT files</x:v>
      </x:c>
      <x:c r="M301" s="228" t="str">
        <x:v>BIDS / MAT / MRI</x:v>
      </x:c>
      <x:c r="N301" s="228" t="str">
        <x:v>Released EEG and MRI with processed MAT copy</x:v>
      </x:c>
      <x:c r="O301" s="228" t="str">
        <x:v>Public OpenNeuro dataset; OpenNeuro data-use terms apply.</x:v>
      </x:c>
      <x:c r="P301" s="228" t="str">
        <x:v>Gherman and Philiastides — eLife 2018</x:v>
      </x:c>
      <x:c r="Q301" s="228" t="str">
        <x:v>04_Cognition_and_Emotion/Cognitive_Task_Recognition/Simultaneous_EEG-fMRI_Perceptual_Confidence_ds002739</x:v>
      </x:c>
      <x:c r="R301" s="228" t="str">
        <x:v>OpenNeuro 稳定访问号存在；需核验 ds001512 到 ds002739 的迁移关系和当前 snapshot</x:v>
      </x:c>
      <x:c r="S301" s="228" t="str">
        <x:v>2</x:v>
      </x:c>
      <x:c r="T301" s="228" t="str">
        <x:v>~1588/run</x:v>
      </x:c>
      <x:c r="U301" s="205" t="str">
        <x:v>2 runs/subject (48 total)</x:v>
      </x:c>
    </x:row>
    <x:row r="302" ht="60" customHeight="1">
      <x:c r="A302" s="262" t="str">
        <x:v>EEG-0575</x:v>
      </x:c>
      <x:c r="B302" s="263" t="str">
        <x:v>05_Naturalistic_Stimulus_Decoding</x:v>
      </x:c>
      <x:c r="C302" s="263" t="str">
        <x:v>Imagined_Speech</x:v>
      </x:c>
      <x:c r="D302" s="263" t="str">
        <x:v>Simultaneous EEG-fMRI Inner Speech Dataset</x:v>
      </x:c>
      <x:c r="E302" s="263" t="str">
        <x:v>OpenNeuro ds006033</x:v>
      </x:c>
      <x:c r="F302" s="263" t="str">
        <x:v>OpenNeuro:ds006033</x:v>
      </x:c>
      <x:c r="G302" s="263" t="str">
        <x:v>DOWNLOAD_PUBLIC</x:v>
      </x:c>
      <x:c r="H302" s="263" t="str">
        <x:v>[OpenNeuro ds006033](https://openneuro.org/datasets/ds006033)</x:v>
      </x:c>
      <x:c r="I302" s="263" t="str">
        <x:v>Inner/covert speech across two sessions; simultaneous EEG-fMRI</x:v>
      </x:c>
      <x:c r="J302" s="263" t="str">
        <x:v>3</x:v>
      </x:c>
      <x:c r="K302" s="263" t="str">
        <x:v>64 EEG + 1 ECG + 1 miscellaneous</x:v>
      </x:c>
      <x:c r="L302" s="263" t="str">
        <x:v>5000 Hz</x:v>
      </x:c>
      <x:c r="M302" s="263" t="str">
        <x:v>BIDS / EEG / MRI</x:v>
      </x:c>
      <x:c r="N302" s="263" t="str">
        <x:v>Raw BIDS</x:v>
      </x:c>
      <x:c r="O302" s="263" t="str">
        <x:v>Public OpenNeuro dataset; OpenNeuro data-use terms apply.</x:v>
      </x:c>
      <x:c r="P302" s="263" t="str">
        <x:v>Simistira Liwicki et al. — OpenNeuro ds006033</x:v>
      </x:c>
      <x:c r="Q302" s="263" t="str">
        <x:v>05_Naturalistic_Stimulus_Decoding/Imagined_Speech/Simultaneous_EEG-fMRI_Inner_Speech_ds006033</x:v>
      </x:c>
      <x:c r="R302" s="263" t="str">
        <x:v>OpenNeuro 稳定访问号存在；需在下载前核验当前 snapshot 与文件规模</x:v>
      </x:c>
      <x:c r="S302" s="263" t="str">
        <x:v>2</x:v>
      </x:c>
      <x:c r="T302" s="263" t="str">
        <x:v>1368.57/session</x:v>
      </x:c>
      <x:c r="U302" s="264" t="str">
        <x:v>6 BOLD runs (2/subject)</x:v>
      </x:c>
    </x:row>
    <x:row r="303" ht="60" customHeight="1">
      <x:c r="A303" s="239" t="str">
        <x:v>EEG-0576</x:v>
      </x:c>
      <x:c r="B303" s="228" t="str">
        <x:v>04_Cognition_and_Emotion</x:v>
      </x:c>
      <x:c r="C303" s="228" t="str">
        <x:v>Vigilance_Detection</x:v>
      </x:c>
      <x:c r="D303" s="228" t="str">
        <x:v>Simultaneous EEG-fMRI Sustained Attention gradCPT with DWI</x:v>
      </x:c>
      <x:c r="E303" s="228" t="str">
        <x:v>OpenNeuro ds006040; Kucyi lab gradCPT</x:v>
      </x:c>
      <x:c r="F303" s="228" t="str">
        <x:v>OpenNeuro:ds006040</x:v>
      </x:c>
      <x:c r="G303" s="228" t="str">
        <x:v>DOWNLOAD_PUBLIC</x:v>
      </x:c>
      <x:c r="H303" s="228" t="str">
        <x:v>[OpenNeuro ds006040](https://openneuro.org/datasets/ds006040)</x:v>
      </x:c>
      <x:c r="I303" s="228" t="str">
        <x:v>Rest eyes-open/closed, 15 Hz checkerboard, gradCPT, mental imagery and concurrent DWI; simultaneous EEG-fMRI</x:v>
      </x:c>
      <x:c r="J303" s="228" t="str">
        <x:v>28</x:v>
      </x:c>
      <x:c r="K303" s="228" t="str">
        <x:v>64 (63 EEG + 1 ECG)</x:v>
      </x:c>
      <x:c r="L303" s="228" t="str">
        <x:v>5000 Hz</x:v>
      </x:c>
      <x:c r="M303" s="228" t="str">
        <x:v>BIDS / EEG / MRI / DWI</x:v>
      </x:c>
      <x:c r="N303" s="228" t="str">
        <x:v>Raw BIDS</x:v>
      </x:c>
      <x:c r="O303" s="228" t="str">
        <x:v>Public OpenNeuro dataset; OpenNeuro data-use terms apply.</x:v>
      </x:c>
      <x:c r="P303" s="228" t="str">
        <x:v>Kucyi laboratory — OpenNeuro ds006040</x:v>
      </x:c>
      <x:c r="Q303" s="228" t="str">
        <x:v>04_Cognition_and_Emotion/Vigilance_Detection/Simultaneous_EEG-fMRI_gradCPT_DWI_ds006040</x:v>
      </x:c>
      <x:c r="R303" s="228" t="str">
        <x:v>OpenNeuro 稳定访问号存在；需在下载前核验当前 snapshot 与文件规模</x:v>
      </x:c>
      <x:c r="S303" s="228" t="str">
        <x:v>2</x:v>
      </x:c>
      <x:c r="T303" s="228" t="str">
        <x:v>~380/run</x:v>
      </x:c>
      <x:c r="U303" s="205" t="str">
        <x:v>10 BOLD runs/subject plus DWI</x:v>
      </x:c>
    </x:row>
    <x:row r="304" ht="60" customHeight="1">
      <x:c r="A304" s="262" t="str">
        <x:v>EEG-0577</x:v>
      </x:c>
      <x:c r="B304" s="263" t="str">
        <x:v>03_Consciousness_and_State</x:v>
      </x:c>
      <x:c r="C304" s="263" t="str">
        <x:v>Resting_State</x:v>
      </x:c>
      <x:c r="D304" s="263" t="str">
        <x:v>NODDI Simultaneous EEG-fMRI Resting-State Dataset</x:v>
      </x:c>
      <x:c r="E304" s="263" t="str">
        <x:v>Deligianni NODDI resting; OSF 94c5t</x:v>
      </x:c>
      <x:c r="F304" s="263" t="str">
        <x:v>OSF:94c5t | DOI:10.17605/OSF.IO/94C5T</x:v>
      </x:c>
      <x:c r="G304" s="263" t="str">
        <x:v>DOWNLOAD_PUBLIC</x:v>
      </x:c>
      <x:c r="H304" s="263" t="str">
        <x:v>[OSF 94c5t](https://osf.io/94c5t/)</x:v>
      </x:c>
      <x:c r="I304" s="263" t="str">
        <x:v>Resting-state eyes-open fixation; simultaneous EEG-fMRI with NODDI/diffusion imaging</x:v>
      </x:c>
      <x:c r="J304" s="263" t="str">
        <x:v>17</x:v>
      </x:c>
      <x:c r="K304" s="263" t="str">
        <x:v>64 EEG</x:v>
      </x:c>
      <x:c r="L304" s="263" t="str">
        <x:v>1000 Hz native; ~250 Hz in some distributed copies</x:v>
      </x:c>
      <x:c r="M304" s="263" t="str">
        <x:v>OSF files / EEG / MRI</x:v>
      </x:c>
      <x:c r="N304" s="263" t="str">
        <x:v>Mixed raw and distributed processed copies; verify file-level provenance</x:v>
      </x:c>
      <x:c r="O304" s="263" t="str">
        <x:v>OSF project appears public; exact component licenses and file sizes require API verification.</x:v>
      </x:c>
      <x:c r="P304" s="263" t="str">
        <x:v>Deligianni et al. — Frontiers in Neuroscience 2014</x:v>
      </x:c>
      <x:c r="Q304" s="263" t="str">
        <x:v>03_Consciousness_and_State/Resting_State/NODDI_Simultaneous_EEG-fMRI_Resting_OSF_94c5t</x:v>
      </x:c>
      <x:c r="R304" s="263" t="str">
        <x:v>OSF 稳定项目号存在；文件级身份、许可和完整性仍需人工复核</x:v>
      </x:c>
      <x:c r="S304" s="263" t="str">
        <x:v>2.16</x:v>
      </x:c>
      <x:c r="T304" s="263" t="str">
        <x:v>~648</x:v>
      </x:c>
      <x:c r="U304" s="264" t="str">
        <x:v>1 rest run/subject</x:v>
      </x:c>
    </x:row>
    <x:row r="305" ht="60" customHeight="1">
      <x:c r="A305" s="239" t="str">
        <x:v>EEG-0578</x:v>
      </x:c>
      <x:c r="B305" s="228" t="str">
        <x:v>03_Consciousness_and_State</x:v>
      </x:c>
      <x:c r="C305" s="228" t="str">
        <x:v>Resting_State</x:v>
      </x:c>
      <x:c r="D305" s="228" t="str">
        <x:v>CWL Eyes-Open Eyes-Closed Simultaneous EEG-fMRI Dataset</x:v>
      </x:c>
      <x:c r="E305" s="228" t="str">
        <x:v>Debener CWL EEG fMRI; NITRC cwleegfmri_data</x:v>
      </x:c>
      <x:c r="F305" s="228" t="str">
        <x:v>NITRC:cwleegfmri_data</x:v>
      </x:c>
      <x:c r="G305" s="228" t="str">
        <x:v>DOWNLOAD_PUBLIC</x:v>
      </x:c>
      <x:c r="H305" s="228" t="str">
        <x:v>[NITRC CWL EEG-fMRI](https://www.nitrc.org/projects/cwleegfmri_data/)</x:v>
      </x:c>
      <x:c r="I305" s="228" t="str">
        <x:v>Eyes-open/eyes-closed rest with helium pump on/off, in-scanner and outside-scanner EEG, and carbon wire loop artifact channels</x:v>
      </x:c>
      <x:c r="J305" s="228" t="str">
        <x:v>8</x:v>
      </x:c>
      <x:c r="K305" s="228" t="str">
        <x:v>38 (30 EEG + 1 EOG + 1 ECG + 6 CWL)</x:v>
      </x:c>
      <x:c r="L305" s="228" t="str">
        <x:v>5000 Hz</x:v>
      </x:c>
      <x:c r="M305" s="228" t="str">
        <x:v>NITRC subject archives / EEG / MRI</x:v>
      </x:c>
      <x:c r="N305" s="228" t="str">
        <x:v>Raw recordings and artifact-correction resources</x:v>
      </x:c>
      <x:c r="O305" s="228" t="str">
        <x:v>Public NITRC project; eight subject file groups; project lists MIT license.</x:v>
      </x:c>
      <x:c r="P305" s="228" t="str">
        <x:v>van der Meer et al. — Data in Brief 2016</x:v>
      </x:c>
      <x:c r="Q305" s="228" t="str">
        <x:v>03_Consciousness_and_State/Resting_State/CWL_Eyes-Open_Closed_Simultaneous_EEG-fMRI</x:v>
      </x:c>
      <x:c r="R305" s="228" t="str">
        <x:v>NITRC 官方页面、8 名受试者、30 EEG+辅助通道及公开文件列表已核验</x:v>
      </x:c>
      <x:c r="S305" s="228" t="str">
        <x:v>1.95 / 2.0</x:v>
      </x:c>
      <x:c r="T305" s="228" t="str">
        <x:v>270/run</x:v>
      </x:c>
      <x:c r="U305" s="205" t="str">
        <x:v>2 in-scanner runs/subject plus outside-scanner EEG</x:v>
      </x:c>
    </x:row>
    <x:row r="306" ht="60" customHeight="1">
      <x:c r="A306" s="262" t="str">
        <x:v>EEG-0579</x:v>
      </x:c>
      <x:c r="B306" s="263" t="str">
        <x:v>03_Consciousness_and_State</x:v>
      </x:c>
      <x:c r="C306" s="263" t="str">
        <x:v>Resting_State</x:v>
      </x:c>
      <x:c r="D306" s="263" t="str">
        <x:v>Berlin Charite 50-Subject Simultaneous EEG-fMRI Connectome Dataset</x:v>
      </x:c>
      <x:c r="E306" s="263" t="str">
        <x:v>TVB simultaneous EEG-fMRI 50 healthy subjects</x:v>
      </x:c>
      <x:c r="F306" s="263" t="str">
        <x:v>DOI:10.1101/2024.04.17.589718</x:v>
      </x:c>
      <x:c r="G306" s="263" t="str">
        <x:v>DOWNLOAD_APPLICATION_REQUIRED</x:v>
      </x:c>
      <x:c r="H306" s="263" t="str">
        <x:v>[EBRAINS access instructions](https://wiki.ebrains.eu/bin/view/Collabs/simultaneous-eeg-fmri/) (paper: https://doi.org/10.1101/2024.04.17.589718)</x:v>
      </x:c>
      <x:c r="I306" s="263" t="str">
        <x:v>Resting-state eyes-closed simultaneous EEG-fMRI with structural MRI, diffusion MRI, connectomes and TVB simulations</x:v>
      </x:c>
      <x:c r="J306" s="263" t="str">
        <x:v>50 (49 processed)</x:v>
      </x:c>
      <x:c r="K306" s="263" t="str">
        <x:v>64 (61 scalp + 2 ECG + 1 EOG)</x:v>
      </x:c>
      <x:c r="L306" s="263" t="str">
        <x:v>5000 Hz</x:v>
      </x:c>
      <x:c r="M306" s="263" t="str">
        <x:v>BIDS / EEG / MRI / DWI / TVB derivatives</x:v>
      </x:c>
      <x:c r="N306" s="263" t="str">
        <x:v>Raw and processed multimodal data plus simulations</x:v>
      </x:c>
      <x:c r="O306" s="263" t="str">
        <x:v>Controlled access through EBRAINS/Charite VRE; login and a signed data processing agreement are required; CC BY-NC 4.0 documentation.</x:v>
      </x:c>
      <x:c r="P306" s="263" t="str">
        <x:v>Meier, Triebkorn, Schirner, Ritter — 2024</x:v>
      </x:c>
      <x:c r="Q306" s="263" t="str">
        <x:v>03_Consciousness_and_State/Resting_State/Berlin_Charite_50-Subject_EEG-fMRI_Connectome</x:v>
      </x:c>
      <x:c r="R306" s="263" t="str">
        <x:v>数据存在但不是直接公开下载；需 EBRAINS 账号、DPA 和 Charite VRE 权限</x:v>
      </x:c>
      <x:c r="S306" s="263" t="str">
        <x:v>1.94</x:v>
      </x:c>
      <x:c r="T306" s="263" t="str">
        <x:v>~1292</x:v>
      </x:c>
      <x:c r="U306" s="264" t="str">
        <x:v>1 rest run/subject</x:v>
      </x:c>
    </x:row>
    <x:row r="307" ht="60" customHeight="1">
      <x:c r="A307" s="239" t="str">
        <x:v>EEG-0580</x:v>
      </x:c>
      <x:c r="B307" s="228" t="str">
        <x:v>03_Consciousness_and_State</x:v>
      </x:c>
      <x:c r="C307" s="228" t="str">
        <x:v>Resting_State</x:v>
      </x:c>
      <x:c r="D307" s="228" t="str">
        <x:v>UNAM Simultaneous and Independent EEG-fMRI Dataset</x:v>
      </x:c>
      <x:c r="E307" s="228" t="str">
        <x:v>Mendeley crhybxpdy6</x:v>
      </x:c>
      <x:c r="F307" s="228" t="str">
        <x:v>Mendeley:crhybxpdy6 | DOI:10.17632/crhybxpdy6.2</x:v>
      </x:c>
      <x:c r="G307" s="228" t="str">
        <x:v>DOWNLOAD_PUBLIC</x:v>
      </x:c>
      <x:c r="H307" s="228" t="str">
        <x:v>[Mendeley Data crhybxpdy6 v2](https://data.mendeley.com/datasets/crhybxpdy6/2)</x:v>
      </x:c>
      <x:c r="I307" s="228" t="str">
        <x:v>Eyes-closed/open rest and eyes-opening/closure block task acquired outside scanner, inside scanner, and simultaneously with fMRI</x:v>
      </x:c>
      <x:c r="J307" s="228" t="str">
        <x:v>20</x:v>
      </x:c>
      <x:c r="K307" s="228" t="str">
        <x:v>32 (EGI Geodesic)</x:v>
      </x:c>
      <x:c r="L307" s="228" t="str">
        <x:v>1000 Hz</x:v>
      </x:c>
      <x:c r="M307" s="228" t="str">
        <x:v>BIDS / EEG / MRI</x:v>
      </x:c>
      <x:c r="N307" s="228" t="str">
        <x:v>Raw BIDS plus gradient-artifact-corrected EEG derivatives</x:v>
      </x:c>
      <x:c r="O307" s="228" t="str">
        <x:v>Public Mendeley Data dataset, version 2, CC BY 4.0.</x:v>
      </x:c>
      <x:c r="P307" s="228" t="str">
        <x:v>Gallego-Rudolf, Corsi Cabrera, Concha, Ricardo Garcell, Pasaye Alcaraz — Data in Brief 2023</x:v>
      </x:c>
      <x:c r="Q307" s="228" t="str">
        <x:v>03_Consciousness_and_State/Resting_State/UNAM_Simultaneous_Independent_EEG-fMRI</x:v>
      </x:c>
      <x:c r="R307" s="228" t="str">
        <x:v>Mendeley DOI、20 名受试者、BIDS 结构和 CC BY 4.0 已核验</x:v>
      </x:c>
      <x:c r="S307" s="228" t="str">
        <x:v>2</x:v>
      </x:c>
      <x:c r="T307" s="228" t="str">
        <x:v>~840 simultaneous</x:v>
      </x:c>
      <x:c r="U307" s="205" t="str">
        <x:v>simultaneous and independent conditions</x:v>
      </x:c>
    </x:row>
    <x:row r="308" ht="60" customHeight="1">
      <x:c r="A308" s="262" t="str">
        <x:v>EEG-0581</x:v>
      </x:c>
      <x:c r="B308" s="263" t="str">
        <x:v>03_Consciousness_and_State</x:v>
      </x:c>
      <x:c r="C308" s="263" t="str">
        <x:v>Resting_State</x:v>
      </x:c>
      <x:c r="D308" s="263" t="str">
        <x:v>NeuroBOLT Vanderbilt Resting-State EEG-fMRI Dataset</x:v>
      </x:c>
      <x:c r="E308" s="263" t="str">
        <x:v>NeuroBOLT</x:v>
      </x:c>
      <x:c r="F308" s="263" t="str">
        <x:v>arXiv:2410.05341</x:v>
      </x:c>
      <x:c r="G308" s="263" t="str">
        <x:v>DOWNLOAD_APPLICATION_REQUIRED</x:v>
      </x:c>
      <x:c r="H308" s="263" t="str">
        <x:v>[NeuroBOLT paper](https://arxiv.org/abs/2410.05341)</x:v>
      </x:c>
      <x:c r="I308" s="263" t="str">
        <x:v>Resting-state eyes-closed simultaneous EEG-fMRI for EEG-to-fMRI synthesis</x:v>
      </x:c>
      <x:c r="J308" s="263" t="str">
        <x:v>22</x:v>
      </x:c>
      <x:c r="K308" s="263" t="str">
        <x:v>26 EEG used (32-channel acquisition)</x:v>
      </x:c>
      <x:c r="L308" s="263" t="str">
        <x:v>5000 Hz</x:v>
      </x:c>
      <x:c r="M308" s="263" t="str">
        <x:v>Not publicly released</x:v>
      </x:c>
      <x:c r="N308" s="263" t="str">
        <x:v>Unavailable/non-public</x:v>
      </x:c>
      <x:c r="O308" s="263" t="str">
        <x:v>No public dataset repository or download link was verified; contact the authors/data owners.</x:v>
      </x:c>
      <x:c r="P308" s="263" t="str">
        <x:v>Li et al. — NeuroBOLT, NeurIPS 2024 / arXiv 2410.05341</x:v>
      </x:c>
      <x:c r="Q308" s="263" t="str">
        <x:v>03_Consciousness_and_State/Resting_State/NeuroBOLT_Vanderbilt_EEG-fMRI</x:v>
      </x:c>
      <x:c r="R308" s="263" t="str">
        <x:v>仅核验到论文，未核验到公开数据入口；需联系作者，不可自动下载</x:v>
      </x:c>
      <x:c r="S308" s="263" t="str">
        <x:v>2.1</x:v>
      </x:c>
      <x:c r="T308" s="263" t="str">
        <x:v>~1200/scan</x:v>
      </x:c>
      <x:c r="U308" s="264" t="str">
        <x:v>29 scans</x:v>
      </x:c>
    </x:row>
    <x:row r="309" ht="60" customHeight="1">
      <x:c r="A309" s="239" t="str">
        <x:v>EEG-0582</x:v>
      </x:c>
      <x:c r="B309" s="228" t="str">
        <x:v>02_Healthcare_and_Disease</x:v>
      </x:c>
      <x:c r="C309" s="228" t="str">
        <x:v>Clinical_Abnormalities</x:v>
      </x:c>
      <x:c r="D309" s="228" t="str">
        <x:v>TUEG (TUH EEG Corpus)</x:v>
      </x:c>
      <x:c r="E309" s="228" t="str">
        <x:v>TUH EEG Corpus; Temple University Hospital EEG Corpus</x:v>
      </x:c>
      <x:c r="F309" s="228" t="str">
        <x:v>TUH:TUEG:v2.0.2</x:v>
      </x:c>
      <x:c r="G309" s="228" t="str">
        <x:v>DOWNLOAD_APPLICATION_REQUIRED</x:v>
      </x:c>
      <x:c r="H309" s="228" t="str">
        <x:v>https://isip.piconepress.com/projects/nedc/html/tuh_eeg/</x:v>
      </x:c>
      <x:c r="I309" s="228" t="str">
        <x:v>General clinical EEG corpus; large-scale pretraining; retrospective clinical EEG analysis</x:v>
      </x:c>
      <x:c r="J309" s="228" t="str">
        <x:v>14,987 patients; 26,846 recordings; 69,672 EDF files (v2.0.1 audited statistics)</x:v>
      </x:c>
      <x:c r="K309" s="228" t="str">
        <x:v>&gt;40 channel configurations; 95% include a 10/20 subset</x:v>
      </x:c>
      <x:c r="L309" s="228" t="str">
        <x:v>250-1024 Hz</x:v>
      </x:c>
      <x:c r="M309" s="228" t="str">
        <x:v>EDF</x:v>
      </x:c>
      <x:c r="N309" s="228" t="str">
        <x:v>Raw</x:v>
      </x:c>
      <x:c r="O309" s="228" t="str">
        <x:v>TUH/NEDC registration, data-use agreement and SSH key required; do not redistribute</x:v>
      </x:c>
      <x:c r="P309" s="228" t="str">
        <x:v>Obeid and Picone (2016), Frontiers in Neuroscience; TUH/NEDC corpus documentation</x:v>
      </x:c>
      <x:c r="Q309" s="228" t="str">
        <x:v>02_Biometrics_and_Disease/Clinical_Abnormalities/TUEG_TUH_EEG_Corpus</x:v>
      </x:c>
      <x:c r="R309" s="228" t="str">
        <x:v>Restored as an independent download unit. Current official release: v2.0.2. User-provided v2.0.1 audit: 97,478,219 s = 27,077.3 h; EDF directory about 1,643 GB (du -sBG: 1,646G). All TUH subsets overlap TUEG and must not be added to its totals.</x:v>
      </x:c>
      <x:c r="S309" s="228"/>
      <x:c r="T309" s="228"/>
      <x:c r="U309" s="205"/>
    </x:row>
    <x:row r="310" ht="60" customHeight="1">
      <x:c r="A310" s="265" t="str">
        <x:v>EEG-0587</x:v>
      </x:c>
      <x:c r="B310" s="266" t="str">
        <x:v>08_Health_and_Population</x:v>
      </x:c>
      <x:c r="C310" s="266" t="str">
        <x:v>Population_Sleep_Health</x:v>
      </x:c>
      <x:c r="D310" s="266" t="str">
        <x:v>HCHS/SOL Polysomnography</x:v>
      </x:c>
      <x:c r="E310" s="266" t="str">
        <x:v>Hispanic Community Health Study / Study of Latinos PSG</x:v>
      </x:c>
      <x:c r="F310" s="266" t="str">
        <x:v>NSRR:hchs | DOI:10.25822/bmb1-c442</x:v>
      </x:c>
      <x:c r="G310" s="266" t="str">
        <x:v>DOWNLOAD_APPLICATION_REQUIRED</x:v>
      </x:c>
      <x:c r="H310" s="266" t="str">
        <x:v>https://sleepdata.org/datasets/hchs</x:v>
      </x:c>
      <x:c r="I310" s="266" t="str">
        <x:v>Hispanic/Latino population sleep and cardiometabolic epidemiology</x:v>
      </x:c>
      <x:c r="J310" s="266" t="str">
        <x:v>12,088 个有原始 PSG/EEG 的参与者（父队列约 16,000）</x:v>
      </x:c>
      <x:c r="K310" s="266" t="str">
        <x:v>ARES PSG montage（含 EEG）</x:v>
      </x:c>
      <x:c r="L310" s="266" t="str">
        <x:v>见 NSRR official montage</x:v>
      </x:c>
      <x:c r="M310" s="266" t="str">
        <x:v>EDF + XML</x:v>
      </x:c>
      <x:c r="N310" s="266" t="str">
        <x:v>Raw PSG + expert annotations</x:v>
      </x:c>
      <x:c r="O310" s="266" t="str">
        <x:v>NSRR 账户、数据使用协议与项目审批</x:v>
      </x:c>
      <x:c r="P310" s="266" t="str">
        <x:v>HCHS/SOL; NSRR</x:v>
      </x:c>
      <x:c r="Q310" s="266" t="str">
        <x:v>08_Health_and_Population/Population_Sleep_Health/HCHS_SOL</x:v>
      </x:c>
      <x:c r="R310" s="266" t="str">
        <x:v>新增大型队列；按实际可用 raw PSG/EEG 12,088 人计，不用父队列人数替代</x:v>
      </x:c>
      <x:c r="S310" s="266"/>
      <x:c r="T310" s="266"/>
      <x:c r="U310" s="218" t="n">
        <x:v>12088</x:v>
      </x:c>
    </x:row>
    <x:row r="311" ht="60" customHeight="1">
      <x:c r="A311" s="265" t="str">
        <x:v>EEG-0588</x:v>
      </x:c>
      <x:c r="B311" s="266" t="str">
        <x:v>08_Health_and_Population</x:v>
      </x:c>
      <x:c r="C311" s="266" t="str">
        <x:v>Aging_and_Dementia_Risk</x:v>
      </x:c>
      <x:c r="D311" s="266" t="str">
        <x:v>HAASSA</x:v>
      </x:c>
      <x:c r="E311" s="266" t="str">
        <x:v>Honolulu-Asia Aging Study of Sleep Apnea</x:v>
      </x:c>
      <x:c r="F311" s="266" t="str">
        <x:v>NSRR:haassa | DOI:10.25822/s9wh-3k51</x:v>
      </x:c>
      <x:c r="G311" s="266" t="str">
        <x:v>DOWNLOAD_APPLICATION_REQUIRED</x:v>
      </x:c>
      <x:c r="H311" s="266" t="str">
        <x:v>https://sleepdata.org/datasets/haassa</x:v>
      </x:c>
      <x:c r="I311" s="266" t="str">
        <x:v>老年日本裔美国男性；睡眠呼吸障碍、认知与痴呆风险</x:v>
      </x:c>
      <x:c r="J311" s="266" t="str">
        <x:v>717 个有原始 PSG/EEG 的参与者</x:v>
      </x:c>
      <x:c r="K311" s="266" t="str">
        <x:v>2 EEG + PSG channels</x:v>
      </x:c>
      <x:c r="L311" s="266" t="str">
        <x:v>EEG 125 Hz</x:v>
      </x:c>
      <x:c r="M311" s="266" t="str">
        <x:v>EDF + XML</x:v>
      </x:c>
      <x:c r="N311" s="266" t="str">
        <x:v>Raw PSG + annotations</x:v>
      </x:c>
      <x:c r="O311" s="266" t="str">
        <x:v>特殊审批：先获 Kuakini Medical Center 数据方许可，再签 NSRR DUA</x:v>
      </x:c>
      <x:c r="P311" s="266" t="str">
        <x:v>HAASSA; NSRR</x:v>
      </x:c>
      <x:c r="Q311" s="266" t="str">
        <x:v>08_Health_and_Population/Aging_and_Dementia_Risk/HAASSA</x:v>
      </x:c>
      <x:c r="R311" s="266" t="str">
        <x:v>新增；717 为官方 raw PSG 文件口径</x:v>
      </x:c>
      <x:c r="S311" s="266"/>
      <x:c r="T311" s="266"/>
      <x:c r="U311" s="218" t="n">
        <x:v>717</x:v>
      </x:c>
    </x:row>
    <x:row r="312" ht="60" customHeight="1">
      <x:c r="A312" s="265" t="str">
        <x:v>EEG-0589</x:v>
      </x:c>
      <x:c r="B312" s="266" t="str">
        <x:v>08_Health_and_Population</x:v>
      </x:c>
      <x:c r="C312" s="266" t="str">
        <x:v>Sleep_Disordered_Breathing_Risk</x:v>
      </x:c>
      <x:c r="D312" s="266" t="str">
        <x:v>ApoE Sleep Disordered Breathing</x:v>
      </x:c>
      <x:c r="E312" s="266" t="str">
        <x:v>Sleep Disordered Breathing, ApoE and Lipid Metabolism</x:v>
      </x:c>
      <x:c r="F312" s="266" t="str">
        <x:v>NSRR:apoe</x:v>
      </x:c>
      <x:c r="G312" s="266" t="str">
        <x:v>DOWNLOAD_APPLICATION_REQUIRED</x:v>
      </x:c>
      <x:c r="H312" s="266" t="str">
        <x:v>https://sleepdata.org/datasets/apoe</x:v>
      </x:c>
      <x:c r="I312" s="266" t="str">
        <x:v>ApoE genotype, lipid metabolism and untreated suspected sleep-disordered breathing</x:v>
      </x:c>
      <x:c r="J312" s="266" t="str">
        <x:v>712 个有 EDF/EEG 的参与者</x:v>
      </x:c>
      <x:c r="K312" s="266" t="str">
        <x:v>PSG（含 EEG）</x:v>
      </x:c>
      <x:c r="L312" s="266" t="str">
        <x:v>EEG 256 Hz</x:v>
      </x:c>
      <x:c r="M312" s="266" t="str">
        <x:v>EDF + STA + CSV</x:v>
      </x:c>
      <x:c r="N312" s="266" t="str">
        <x:v>Raw PSG + manually scored stages</x:v>
      </x:c>
      <x:c r="O312" s="266" t="str">
        <x:v>NSRR data request / DUA</x:v>
      </x:c>
      <x:c r="P312" s="266" t="str">
        <x:v>ApoE sleep study; NSRR</x:v>
      </x:c>
      <x:c r="Q312" s="266" t="str">
        <x:v>08_Health_and_Population/Sleep_Disordered_Breathing_Risk/ApoE</x:v>
      </x:c>
      <x:c r="R312" s="266" t="str">
        <x:v>新增；712 为官方含 EEG 的 EDF 文件口径</x:v>
      </x:c>
      <x:c r="S312" s="266"/>
      <x:c r="T312" s="266"/>
      <x:c r="U312" s="218" t="n">
        <x:v>712</x:v>
      </x:c>
    </x:row>
    <x:row r="313" ht="60" customHeight="1">
      <x:c r="A313" s="265" t="str">
        <x:v>EEG-0590</x:v>
      </x:c>
      <x:c r="B313" s="266" t="str">
        <x:v>08_Health_and_Population</x:v>
      </x:c>
      <x:c r="C313" s="266" t="str">
        <x:v>Maternal_and_Pregnancy_Health</x:v>
      </x:c>
      <x:c r="D313" s="266" t="str">
        <x:v>nuMoM2b Sleep Breathing Substudy</x:v>
      </x:c>
      <x:c r="E313" s="266" t="str">
        <x:v>NUMOM2B PSG</x:v>
      </x:c>
      <x:c r="F313" s="266" t="str">
        <x:v>NSRR:numom2b | DOI:10.25822/37mc-6v21</x:v>
      </x:c>
      <x:c r="G313" s="266" t="str">
        <x:v>DOWNLOAD_APPLICATION_REQUIRED</x:v>
      </x:c>
      <x:c r="H313" s="266" t="str">
        <x:v>https://sleepdata.org/datasets/numom2b</x:v>
      </x:c>
      <x:c r="I313" s="266" t="str">
        <x:v>nulliparous pregnancy outcomes, sleep-disordered breathing and maternal health</x:v>
      </x:c>
      <x:c r="J313" s="266" t="str">
        <x:v>3,009 个 Visit 1 raw PSG/EEG；2,332 为同队列 Visit 3 随访，不重复相加</x:v>
      </x:c>
      <x:c r="K313" s="266" t="str">
        <x:v>PSG（含 EEG）</x:v>
      </x:c>
      <x:c r="L313" s="266" t="str">
        <x:v>见 NSRR official montage</x:v>
      </x:c>
      <x:c r="M313" s="266" t="str">
        <x:v>EDF + XML</x:v>
      </x:c>
      <x:c r="N313" s="266" t="str">
        <x:v>Raw PSG + annotations</x:v>
      </x:c>
      <x:c r="O313" s="266" t="str">
        <x:v>NSRR data request / DUA</x:v>
      </x:c>
      <x:c r="P313" s="266" t="str">
        <x:v>nuMoM2b Sleep Breathing Substudy; NSRR</x:v>
      </x:c>
      <x:c r="Q313" s="266" t="str">
        <x:v>08_Health_and_Population/Maternal_and_Pregnancy_Health/NUMOM2B</x:v>
      </x:c>
      <x:c r="R313" s="266" t="str">
        <x:v>新增；按 Visit 1 的 3,009 个实际 raw PSG 计唯一基线参与者</x:v>
      </x:c>
      <x:c r="S313" s="266"/>
      <x:c r="T313" s="266"/>
      <x:c r="U313" s="218" t="n">
        <x:v>5341</x:v>
      </x:c>
    </x:row>
    <x:row r="314" ht="60" customHeight="1">
      <x:c r="A314" s="265" t="str">
        <x:v>EEG-0591</x:v>
      </x:c>
      <x:c r="B314" s="266" t="str">
        <x:v>02_Healthcare_and_Disease</x:v>
      </x:c>
      <x:c r="C314" s="266" t="str">
        <x:v>Sleep_and_Narcolepsy</x:v>
      </x:c>
      <x:c r="D314" s="266" t="str">
        <x:v>Mignot Nature Communications (MNC)</x:v>
      </x:c>
      <x:c r="E314" s="266" t="str">
        <x:v>MNC sleep staging / narcolepsy dataset</x:v>
      </x:c>
      <x:c r="F314" s="266" t="str">
        <x:v>NSRR:mnc</x:v>
      </x:c>
      <x:c r="G314" s="266" t="str">
        <x:v>DOWNLOAD_APPLICATION_REQUIRED</x:v>
      </x:c>
      <x:c r="H314" s="266" t="str">
        <x:v>https://sleepdata.org/datasets/mnc</x:v>
      </x:c>
      <x:c r="I314" s="266" t="str">
        <x:v>normal and abnormal sleep staging; type-1 narcolepsy marker</x:v>
      </x:c>
      <x:c r="J314" s="266" t="str">
        <x:v>约 3,000（NSRR 列表口径；多队列正常/异常睡眠记录）</x:v>
      </x:c>
      <x:c r="K314" s="266" t="str">
        <x:v>PSG（cohort-dependent）</x:v>
      </x:c>
      <x:c r="L314" s="266" t="str">
        <x:v>cohort-dependent</x:v>
      </x:c>
      <x:c r="M314" s="266" t="str">
        <x:v>Harmonized EDF + annotations</x:v>
      </x:c>
      <x:c r="N314" s="266" t="str">
        <x:v>Raw harmonized PSG + staging</x:v>
      </x:c>
      <x:c r="O314" s="266" t="str">
        <x:v>NSRR data request / DUA</x:v>
      </x:c>
      <x:c r="P314" s="266" t="str">
        <x:v>Stephansen et al. (2018), Nature Communications; NSRR</x:v>
      </x:c>
      <x:c r="Q314" s="266" t="str">
        <x:v>02_Healthcare_and_Disease/Sleep_and_Narcolepsy/MNC</x:v>
      </x:c>
      <x:c r="R314" s="266" t="str">
        <x:v>新增大型临床睡眠汇编；3,000 为官方列表近似数，非全局唯一精确值</x:v>
      </x:c>
      <x:c r="S314" s="266"/>
      <x:c r="T314" s="266"/>
      <x:c r="U314" s="218" t="n">
        <x:v>3000</x:v>
      </x:c>
    </x:row>
    <x:row r="315" ht="60" customHeight="1">
      <x:c r="A315" s="265" t="str">
        <x:v>EEG-0592</x:v>
      </x:c>
      <x:c r="B315" s="266" t="str">
        <x:v>02_Healthcare_and_Disease</x:v>
      </x:c>
      <x:c r="C315" s="266" t="str">
        <x:v>Clinical_Sleep_Disorders</x:v>
      </x:c>
      <x:c r="D315" s="266" t="str">
        <x:v>Comprehensive Polysomnography (CPS)</x:v>
      </x:c>
      <x:c r="E315" s="266" t="str">
        <x:v>CPS sleep arousal dataset</x:v>
      </x:c>
      <x:c r="F315" s="266" t="str">
        <x:v>PhysioNet:cps-dataset-sleep:v1.0.0 | DOI:10.13026/sxs0-h317</x:v>
      </x:c>
      <x:c r="G315" s="266" t="str">
        <x:v>DOWNLOAD_APPLICATION_REQUIRED</x:v>
      </x:c>
      <x:c r="H315" s="266" t="str">
        <x:v>https://physionet.org/content/cps-dataset-sleep/1.0.0/</x:v>
      </x:c>
      <x:c r="I315" s="266" t="str">
        <x:v>clinical sleep arousal, apnea/hypopnea and diagnostic decision support</x:v>
      </x:c>
      <x:c r="J315" s="266" t="str">
        <x:v>113 diagnostic PSG recordings / subjects</x:v>
      </x:c>
      <x:c r="K315" s="266" t="str">
        <x:v>up to 36 raw channels；含 10 个 EEG derivations/electrodes</x:v>
      </x:c>
      <x:c r="L315" s="266" t="str">
        <x:v>EEG original 128 Hz; distributed WFDB 256 Hz</x:v>
      </x:c>
      <x:c r="M315" s="266" t="str">
        <x:v>WFDB + TXT + YAML</x:v>
      </x:c>
      <x:c r="N315" s="266" t="str">
        <x:v>Raw multichannel PSG + derived signals + annotations</x:v>
      </x:c>
      <x:c r="O315" s="266" t="str">
        <x:v>PhysioNet credentialed access、CITI training、DUA</x:v>
      </x:c>
      <x:c r="P315" s="266" t="str">
        <x:v>Kraft et al. (2024), PhysioNet</x:v>
      </x:c>
      <x:c r="Q315" s="266" t="str">
        <x:v>02_Healthcare_and_Disease/Clinical_Sleep_Disorders/CPS</x:v>
      </x:c>
      <x:c r="R315" s="266" t="str">
        <x:v>新增；官方页面确认原始 EEG 通道与 113 份临床 PSG</x:v>
      </x:c>
      <x:c r="S315" s="266"/>
      <x:c r="T315" s="266"/>
      <x:c r="U315" s="218" t="n">
        <x:v>113</x:v>
      </x:c>
    </x:row>
    <x:row r="316" ht="60" customHeight="1">
      <x:c r="A316" s="265" t="str">
        <x:v>EEG-0593</x:v>
      </x:c>
      <x:c r="B316" s="266" t="str">
        <x:v>02_Healthcare_and_Disease</x:v>
      </x:c>
      <x:c r="C316" s="266" t="str">
        <x:v>Cardiovascular_and_Sleep_Disorders</x:v>
      </x:c>
      <x:c r="D316" s="266" t="str">
        <x:v>LOFT-HF</x:v>
      </x:c>
      <x:c r="E316" s="266" t="str">
        <x:v>Low Flow Nocturnal Oxygen Therapy in Heart Failure</x:v>
      </x:c>
      <x:c r="F316" s="266" t="str">
        <x:v>NSRR:lofthf</x:v>
      </x:c>
      <x:c r="G316" s="266" t="str">
        <x:v>DOWNLOAD_APPLICATION_REQUIRED</x:v>
      </x:c>
      <x:c r="H316" s="266" t="str">
        <x:v>https://sleepdata.org/datasets/lofthf</x:v>
      </x:c>
      <x:c r="I316" s="266" t="str">
        <x:v>heart failure with reduced ejection fraction and central sleep apnea clinical trial</x:v>
      </x:c>
      <x:c r="J316" s="266" t="str">
        <x:v>161 名有 baseline raw PSG；31 名另有 follow-up；不把随访重复相加</x:v>
      </x:c>
      <x:c r="K316" s="266" t="str">
        <x:v>Type-2 PSG with frontal EEG</x:v>
      </x:c>
      <x:c r="L316" s="266" t="str">
        <x:v>见 NSRR files/montage</x:v>
      </x:c>
      <x:c r="M316" s="266" t="str">
        <x:v>EDF + annotations</x:v>
      </x:c>
      <x:c r="N316" s="266" t="str">
        <x:v>Raw PSG + expert annotations</x:v>
      </x:c>
      <x:c r="O316" s="266" t="str">
        <x:v>NSRR data request / DUA</x:v>
      </x:c>
      <x:c r="P316" s="266" t="str">
        <x:v>LOFT-HF Trial; NSRR</x:v>
      </x:c>
      <x:c r="Q316" s="266" t="str">
        <x:v>02_Healthcare_and_Disease/Cardiovascular_and_Sleep_Disorders/LOFT_HF</x:v>
      </x:c>
      <x:c r="R316" s="266" t="str">
        <x:v>新增；受试者按 161 名 baseline raw PSG 计，31 follow-up 不重复算人</x:v>
      </x:c>
      <x:c r="S316" s="266"/>
      <x:c r="T316" s="266"/>
      <x:c r="U316" s="218" t="n">
        <x:v>192</x:v>
      </x:c>
    </x:row>
    <x:row r="317" ht="60" customHeight="1">
      <x:c r="A317" s="265" t="str">
        <x:v>EEG-0599</x:v>
      </x:c>
      <x:c r="B317" s="266" t="str">
        <x:v>08_Health_and_Population</x:v>
      </x:c>
      <x:c r="C317" s="266" t="str">
        <x:v>Developmental_Clinical_Cohort</x:v>
      </x:c>
      <x:c r="D317" s="266" t="str">
        <x:v>HBN-EEG Release 7</x:v>
      </x:c>
      <x:c r="E317" s="266" t="str">
        <x:v>Healthy Brain Network EEG; ds005511</x:v>
      </x:c>
      <x:c r="F317" s="266" t="str">
        <x:v>OpenNeuro:ds005511 | DOI:10.18112/openneuro.ds005511.v1.0.1</x:v>
      </x:c>
      <x:c r="G317" s="266" t="str">
        <x:v>DOWNLOAD_PUBLIC</x:v>
      </x:c>
      <x:c r="H317" s="266" t="str">
        <x:v>https://openneuro.org/datasets/ds005511</x:v>
      </x:c>
      <x:c r="I317" s="266" t="str">
        <x:v>Multi-task developmental EEG (rest, visual/cognitive tasks and behavioral phenotyping; release-dependent)</x:v>
      </x:c>
      <x:c r="J317" s="266" t="str">
        <x:v>381</x:v>
      </x:c>
      <x:c r="K317" s="266" t="str">
        <x:v>129</x:v>
      </x:c>
      <x:c r="L317" s="266" t="str">
        <x:v>500 Hz</x:v>
      </x:c>
      <x:c r="M317" s="266" t="str">
        <x:v>BIDS EEG / EEGLAB SET</x:v>
      </x:c>
      <x:c r="N317" s="266" t="str">
        <x:v>BIDS-organized EEG release</x:v>
      </x:c>
      <x:c r="O317" s="266" t="str">
        <x:v>CC BY-SA 4.0</x:v>
      </x:c>
      <x:c r="P317" s="266" t="str">
        <x:v>Shirazi et al., HBN-EEG; REVE Appendix B</x:v>
      </x:c>
      <x:c r="Q317" s="266" t="str">
        <x:v>08_Health_and_Population/Developmental_Clinical_Cohort/HBN_EEG_R7_ds005511</x:v>
      </x:c>
      <x:c r="R317" s="266" t="str">
        <x:v>381 subjects、3,100 recordings；官方 release 可核验，但未把未公开的总时长估算成精确值。</x:v>
      </x:c>
      <x:c r="S317" s="266"/>
      <x:c r="T317" s="266"/>
      <x:c r="U317" s="218" t="n">
        <x:v>3100</x:v>
      </x:c>
    </x:row>
    <x:row r="318" ht="60" customHeight="1">
      <x:c r="A318" s="262" t="str">
        <x:v>EEG-0001</x:v>
      </x:c>
      <x:c r="B318" s="263" t="str">
        <x:v>01_Signal_Reliability</x:v>
      </x:c>
      <x:c r="C318" s="263" t="str">
        <x:v>Artifact_Identification</x:v>
      </x:c>
      <x:c r="D318" s="263" t="str">
        <x:v>EEGDenoiseNet</x:v>
      </x:c>
      <x:c r="E318" s="263"/>
      <x:c r="F318" s="263"/>
      <x:c r="G318" s="263" t="str">
        <x:v>DOWNLOAD_PUBLIC</x:v>
      </x:c>
      <x:c r="H318" s="263" t="str">
        <x:v>https://github.com/ncclabsustech/EEGdenoiseNet (512Hz: https://gin.g-node.org/NCClab/EEGdenoiseNet)</x:v>
      </x:c>
      <x:c r="I318" s="263" t="str">
        <x:v>Ocular (EOG) &amp; muscular (EMG) artifact denoising benchmark</x:v>
      </x:c>
      <x:c r="J318" s="263" t="str">
        <x:v>1</x:v>
      </x:c>
      <x:c r="K318" s="263" t="str">
        <x:v>1 (single-channel segments)</x:v>
      </x:c>
      <x:c r="L318" s="263" t="str">
        <x:v>256 / 512 Hz</x:v>
      </x:c>
      <x:c r="M318" s="263" t="str">
        <x:v>MAT / NPY</x:v>
      </x:c>
      <x:c r="N318" s="263" t="str">
        <x:v>Processed (segmented, semi-synthetic mixing)</x:v>
      </x:c>
      <x:c r="O318" s="263" t="str">
        <x:v>Open, CC-BY 4.0</x:v>
      </x:c>
      <x:c r="P318" s="263" t="str">
        <x:v>EEGdenoiseNet: a benchmark dataset for deep learning solutions of EEG denoising. Zhang et al., 2021, Journal of Neural Engineering 18(5):056057.</x:v>
      </x:c>
      <x:c r="Q318" s="263" t="str">
        <x:v>01_Signal_Reliability/Artifact_Identification/EEGDenoiseNet</x:v>
      </x:c>
      <x:c r="R318" s="263" t="str">
        <x:v>存在公开仓库、官方入口或稳定数据访问号</x:v>
      </x:c>
      <x:c r="S318" s="263"/>
      <x:c r="T318" s="263"/>
      <x:c r="U318" s="264"/>
    </x:row>
    <x:row r="319" ht="60" customHeight="1">
      <x:c r="A319" s="239" t="str">
        <x:v>EEG-0002</x:v>
      </x:c>
      <x:c r="B319" s="228" t="str">
        <x:v>01_Signal_Reliability</x:v>
      </x:c>
      <x:c r="C319" s="228" t="str">
        <x:v>Artifact_Identification</x:v>
      </x:c>
      <x:c r="D319" s="228" t="str">
        <x:v>FNUSA iEEG Graphoelements</x:v>
      </x:c>
      <x:c r="E319" s="228"/>
      <x:c r="F319" s="228" t="str">
        <x:v>Figshare:12191868</x:v>
      </x:c>
      <x:c r="G319" s="228" t="str">
        <x:v>DOWNLOAD_PUBLIC</x:v>
      </x:c>
      <x:c r="H319" s="228" t="str">
        <x:v>[Springer Nature Figshare BIDS_FNUSA](https://springernature.figshare.com/articles/dataset/BIDS_FNUSA/12191868)</x:v>
      </x:c>
      <x:c r="I319" s="228" t="str">
        <x:v>iEEG physiological vs pathological/epileptic vs artifact; SOZ localization</x:v>
      </x:c>
      <x:c r="J319" s="228" t="str">
        <x:v>14</x:v>
      </x:c>
      <x:c r="K319" s="228" t="str">
        <x:v>未给出</x:v>
      </x:c>
      <x:c r="L319" s="228" t="str">
        <x:v>1000Hz after BrainWave downsampling</x:v>
      </x:c>
      <x:c r="M319" s="228" t="str">
        <x:v>BIDS / iEEG clips</x:v>
      </x:c>
      <x:c r="N319" s="228" t="str">
        <x:v>annotated iEEG clips</x:v>
      </x:c>
      <x:c r="O319" s="228" t="str">
        <x:v>Public Figshare collection; Kaggle mirror also available; cite Scientific Data paper.</x:v>
      </x:c>
      <x:c r="P319" s="228" t="str">
        <x:v>Nejedly et al. (2020); Brant/FoME/BrainWave dataset tables</x:v>
      </x:c>
      <x:c r="Q319" s="228" t="str">
        <x:v>01_Signal_Reliability/Artifact_Identification/FNUSA_iEEG_Graphoelements</x:v>
      </x:c>
      <x:c r="R319" s="228" t="str">
        <x:v>存在公开仓库、官方入口或稳定数据访问号</x:v>
      </x:c>
      <x:c r="S319" s="228"/>
      <x:c r="T319" s="228"/>
      <x:c r="U319" s="205"/>
    </x:row>
    <x:row r="320" ht="60" customHeight="1">
      <x:c r="A320" s="262" t="str">
        <x:v>EEG-0003</x:v>
      </x:c>
      <x:c r="B320" s="263" t="str">
        <x:v>01_Signal_Reliability</x:v>
      </x:c>
      <x:c r="C320" s="263" t="str">
        <x:v>Artifact_Identification</x:v>
      </x:c>
      <x:c r="D320" s="263" t="str">
        <x:v>Mayo-Clinic iEEG Graphoelements</x:v>
      </x:c>
      <x:c r="E320" s="263"/>
      <x:c r="F320" s="263" t="str">
        <x:v>Figshare:12192405</x:v>
      </x:c>
      <x:c r="G320" s="263" t="str">
        <x:v>DOWNLOAD_PUBLIC</x:v>
      </x:c>
      <x:c r="H320" s="263" t="str">
        <x:v>[Springer Nature Figshare BIDS_MAYO](https://springernature.figshare.com/articles/dataset/BIDS_MAYO/12192405)</x:v>
      </x:c>
      <x:c r="I320" s="263" t="str">
        <x:v>iEEG physiological vs pathological/epileptic vs artifact; SOZ localization</x:v>
      </x:c>
      <x:c r="J320" s="263" t="str">
        <x:v>25</x:v>
      </x:c>
      <x:c r="K320" s="263" t="str">
        <x:v>未给出</x:v>
      </x:c>
      <x:c r="L320" s="263" t="str">
        <x:v>1000Hz after BrainWave downsampling</x:v>
      </x:c>
      <x:c r="M320" s="263" t="str">
        <x:v>BIDS / iEEG clips</x:v>
      </x:c>
      <x:c r="N320" s="263" t="str">
        <x:v>annotated iEEG clips</x:v>
      </x:c>
      <x:c r="O320" s="263" t="str">
        <x:v>Public Figshare collection; Kaggle mirror also available; cite Scientific Data paper.</x:v>
      </x:c>
      <x:c r="P320" s="263" t="str">
        <x:v>Nejedly et al. (2020); Brant/FoME/BrainWave dataset tables</x:v>
      </x:c>
      <x:c r="Q320" s="263" t="str">
        <x:v>01_Signal_Reliability/Artifact_Identification/Mayo-Clinic_iEEG_Graphoelements</x:v>
      </x:c>
      <x:c r="R320" s="263" t="str">
        <x:v>存在公开仓库、官方入口或稳定数据访问号</x:v>
      </x:c>
      <x:c r="S320" s="263"/>
      <x:c r="T320" s="263"/>
      <x:c r="U320" s="264"/>
    </x:row>
    <x:row r="321" ht="60" customHeight="1">
      <x:c r="A321" s="239" t="str">
        <x:v>EEG-0014</x:v>
      </x:c>
      <x:c r="B321" s="228" t="str">
        <x:v>02_Healthcare_and_Disease</x:v>
      </x:c>
      <x:c r="C321" s="228" t="str">
        <x:v>Epilepsy_and_Abnormalities</x:v>
      </x:c>
      <x:c r="D321" s="228" t="str">
        <x:v>HMS Harmful Brain Activity Classification</x:v>
      </x:c>
      <x:c r="E321" s="228"/>
      <x:c r="F321" s="228"/>
      <x:c r="G321" s="228" t="str">
        <x:v>DOWNLOAD_APPLICATION_REQUIRED</x:v>
      </x:c>
      <x:c r="H321" s="228" t="str">
        <x:v>[Kaggle HMS](https://www.kaggle.com/competitions/hms-harmful-brain-activity-classification/data)</x:v>
      </x:c>
      <x:c r="I321" s="228" t="str">
        <x:v>seizure / LPD / GPD / LRDA / GRDA / other</x:v>
      </x:c>
      <x:c r="J321" s="228" t="str">
        <x:v>1950</x:v>
      </x:c>
      <x:c r="K321" s="228" t="str">
        <x:v>20</x:v>
      </x:c>
      <x:c r="L321" s="228" t="str">
        <x:v>200Hz</x:v>
      </x:c>
      <x:c r="M321" s="228" t="str">
        <x:v>Parquet / CSV / spectrograms</x:v>
      </x:c>
      <x:c r="N321" s="228" t="str">
        <x:v>raw EEG + spectrograms</x:v>
      </x:c>
      <x:c r="O321" s="228" t="str">
        <x:v>Kaggle account required; competition terms apply.</x:v>
      </x:c>
      <x:c r="P321" s="228" t="str">
        <x:v>Ram et al. (2024); HMS / Kaggle</x:v>
      </x:c>
      <x:c r="Q321" s="228" t="str">
        <x:v>02_Biometrics_and_Disease/Epilepsy_and_Abnormalities/HMS_Harmful_Brain_Activity_Classification</x:v>
      </x:c>
      <x:c r="R321" s="228" t="str">
        <x:v>官方数据存在，但需申请、签署协议或获得权限</x:v>
      </x:c>
      <x:c r="S321" s="228"/>
      <x:c r="T321" s="228"/>
      <x:c r="U321" s="205"/>
    </x:row>
    <x:row r="322" ht="60" customHeight="1">
      <x:c r="A322" s="262" t="str">
        <x:v>EEG-0016</x:v>
      </x:c>
      <x:c r="B322" s="263" t="str">
        <x:v>02_Healthcare_and_Disease</x:v>
      </x:c>
      <x:c r="C322" s="263" t="str">
        <x:v>Epilepsy_and_Abnormalities</x:v>
      </x:c>
      <x:c r="D322" s="263" t="str">
        <x:v>vEpiSet (Interictal Epileptiform Discharge EEG Dataset)</x:v>
      </x:c>
      <x:c r="E322" s="263" t="str">
        <x:v>Lin (2025) [EEG-0019]; Lin2025; vEpiSet (IED) [EEG-0038]</x:v>
      </x:c>
      <x:c r="F322" s="263" t="str">
        <x:v>Figshare:28069568 | DOI:10.6084/m9.figshare.28069568</x:v>
      </x:c>
      <x:c r="G322" s="263" t="str">
        <x:v>DOWNLOAD_PUBLIC</x:v>
      </x:c>
      <x:c r="H322" s="263" t="str">
        <x:v>https://springernature.figshare.com/articles/dataset/28069568</x:v>
      </x:c>
      <x:c r="I322" s="263" t="str">
        <x:v>interictal epileptiform discharge detection；epilepsy event classification；spatial distribution analysis；Epilepsy (IED)；Interictal epileptiform discharge (IED) detection</x:v>
      </x:c>
      <x:c r="J322" s="263" t="str">
        <x:v>84 (52 IED + 32 normal)</x:v>
      </x:c>
      <x:c r="K322" s="263" t="str">
        <x:v>19</x:v>
      </x:c>
      <x:c r="L322" s="263" t="str">
        <x:v>500Hz</x:v>
      </x:c>
      <x:c r="M322" s="263" t="str">
        <x:v>MAT</x:v>
      </x:c>
      <x:c r="N322" s="263" t="str">
        <x:v>未给出</x:v>
      </x:c>
      <x:c r="O322" s="263"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322" s="263"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322" s="263" t="str">
        <x:v>02_Biometrics_and_Disease/Epilepsy_and_Abnormalities/Interictal_Epileptiform_Discharge_EEG_Dataset</x:v>
      </x:c>
      <x:c r="R322" s="263" t="str">
        <x:v>存在公开仓库、官方入口或稳定数据访问号；2026-08-04去重：EEG-0019, EEG-0038并入EEG-0016（Figshare article 28069568）</x:v>
      </x:c>
      <x:c r="S322" s="263"/>
      <x:c r="T322" s="263"/>
      <x:c r="U322" s="264"/>
    </x:row>
    <x:row r="323" ht="60" customHeight="1">
      <x:c r="A323" s="239" t="str">
        <x:v>EEG-0020</x:v>
      </x:c>
      <x:c r="B323" s="228" t="str">
        <x:v>02_Healthcare_and_Disease</x:v>
      </x:c>
      <x:c r="C323" s="228" t="str">
        <x:v>Epilepsy_and_Abnormalities</x:v>
      </x:c>
      <x:c r="D323" s="228" t="str">
        <x:v>MORGOTH HEP</x:v>
      </x:c>
      <x:c r="E323" s="228"/>
      <x:c r="F323" s="228"/>
      <x:c r="G323" s="228" t="str">
        <x:v>DOWNLOAD_PUBLIC</x:v>
      </x:c>
      <x:c r="H323" s="228" t="str">
        <x:v>[BDSP MORGOTH 1.0](https://bdsp.io/content/morgoth1/1.0.0/)</x:v>
      </x:c>
      <x:c r="I323" s="228" t="str">
        <x:v>1-second spike detection external validation</x:v>
      </x:c>
      <x:c r="J323" s="228" t="str">
        <x:v>143</x:v>
      </x:c>
      <x:c r="K323" s="228" t="str">
        <x:v>19</x:v>
      </x:c>
      <x:c r="L323" s="228" t="str">
        <x:v>200Hz after MORGOTH preprocessing</x:v>
      </x:c>
      <x:c r="M323" s="228" t="str">
        <x:v>MAT</x:v>
      </x:c>
      <x:c r="N323" s="228" t="str">
        <x:v>processed / standardized MAT</x:v>
      </x:c>
      <x:c r="O323" s="228" t="str">
        <x:v>BDSP credentialed access required</x:v>
      </x:c>
      <x:c r="P323" s="228" t="str">
        <x:v>Sun et al. (2026), MORGOTH 1.0</x:v>
      </x:c>
      <x:c r="Q323" s="228" t="str">
        <x:v>02_Biometrics_and_Disease/Epilepsy_and_Abnormalities/MORGOTH_HEP</x:v>
      </x:c>
      <x:c r="R323" s="228" t="str">
        <x:v>存在公开仓库、官方入口或稳定数据访问号</x:v>
      </x:c>
      <x:c r="S323" s="228"/>
      <x:c r="T323" s="228"/>
      <x:c r="U323" s="205"/>
    </x:row>
    <x:row r="324" ht="60" customHeight="1">
      <x:c r="A324" s="262" t="str">
        <x:v>EEG-0021</x:v>
      </x:c>
      <x:c r="B324" s="263" t="str">
        <x:v>02_Healthcare_and_Disease</x:v>
      </x:c>
      <x:c r="C324" s="263" t="str">
        <x:v>Epilepsy_and_Abnormalities</x:v>
      </x:c>
      <x:c r="D324" s="263" t="str">
        <x:v>MORGOTH IIIC-Test</x:v>
      </x:c>
      <x:c r="E324" s="263"/>
      <x:c r="F324" s="263"/>
      <x:c r="G324" s="263" t="str">
        <x:v>DOWNLOAD_PUBLIC</x:v>
      </x:c>
      <x:c r="H324" s="263" t="str">
        <x:v>[BDSP MORGOTH 1.0](https://bdsp.io/content/morgoth1/1.0.0/)</x:v>
      </x:c>
      <x:c r="I324" s="263" t="str">
        <x:v>seizure and 4 IIIC pattern classification: seizure, LPD, GPD, LRDA, GRDA</x:v>
      </x:c>
      <x:c r="J324" s="263" t="str">
        <x:v>758</x:v>
      </x:c>
      <x:c r="K324" s="263" t="str">
        <x:v>19</x:v>
      </x:c>
      <x:c r="L324" s="263" t="str">
        <x:v>200Hz after MORGOTH preprocessing</x:v>
      </x:c>
      <x:c r="M324" s="263" t="str">
        <x:v>MAT</x:v>
      </x:c>
      <x:c r="N324" s="263" t="str">
        <x:v>processed / standardized MAT</x:v>
      </x:c>
      <x:c r="O324" s="263" t="str">
        <x:v>BDSP credentialed access required</x:v>
      </x:c>
      <x:c r="P324" s="263" t="str">
        <x:v>Sun et al. (2026), MORGOTH 1.0</x:v>
      </x:c>
      <x:c r="Q324" s="263" t="str">
        <x:v>02_Biometrics_and_Disease/Epilepsy_and_Abnormalities/MORGOTH_IIIC-Test</x:v>
      </x:c>
      <x:c r="R324" s="263" t="str">
        <x:v>存在公开仓库、官方入口或稳定数据访问号</x:v>
      </x:c>
      <x:c r="S324" s="263"/>
      <x:c r="T324" s="263"/>
      <x:c r="U324" s="264"/>
    </x:row>
    <x:row r="325" ht="60" customHeight="1">
      <x:c r="A325" s="239" t="str">
        <x:v>EEG-0022</x:v>
      </x:c>
      <x:c r="B325" s="228" t="str">
        <x:v>02_Healthcare_and_Disease</x:v>
      </x:c>
      <x:c r="C325" s="228" t="str">
        <x:v>Epilepsy_and_Abnormalities</x:v>
      </x:c>
      <x:c r="D325" s="228" t="str">
        <x:v>MORGOTH IIIC-Train</x:v>
      </x:c>
      <x:c r="E325" s="228"/>
      <x:c r="F325" s="228"/>
      <x:c r="G325" s="228" t="str">
        <x:v>DOWNLOAD_PUBLIC</x:v>
      </x:c>
      <x:c r="H325" s="228" t="str">
        <x:v>[BDSP MORGOTH 1.0](https://bdsp.io/content/morgoth1/1.0.0/)</x:v>
      </x:c>
      <x:c r="I325" s="228" t="str">
        <x:v>seizure and 4 IIIC pattern classification: seizure, LPD, GPD, LRDA, GRDA</x:v>
      </x:c>
      <x:c r="J325" s="228" t="str">
        <x:v>1,940</x:v>
      </x:c>
      <x:c r="K325" s="228" t="str">
        <x:v>19</x:v>
      </x:c>
      <x:c r="L325" s="228" t="str">
        <x:v>200Hz after MORGOTH preprocessing</x:v>
      </x:c>
      <x:c r="M325" s="228" t="str">
        <x:v>MAT</x:v>
      </x:c>
      <x:c r="N325" s="228" t="str">
        <x:v>processed / standardized MAT</x:v>
      </x:c>
      <x:c r="O325" s="228" t="str">
        <x:v>BDSP credentialed access required</x:v>
      </x:c>
      <x:c r="P325" s="228" t="str">
        <x:v>Sun et al. (2026), MORGOTH 1.0</x:v>
      </x:c>
      <x:c r="Q325" s="228" t="str">
        <x:v>02_Biometrics_and_Disease/Epilepsy_and_Abnormalities/MORGOTH_IIIC-Train</x:v>
      </x:c>
      <x:c r="R325" s="228" t="str">
        <x:v>存在公开仓库、官方入口或稳定数据访问号</x:v>
      </x:c>
      <x:c r="S325" s="228"/>
      <x:c r="T325" s="228"/>
      <x:c r="U325" s="205"/>
    </x:row>
    <x:row r="326" ht="60" customHeight="1">
      <x:c r="A326" s="262" t="str">
        <x:v>EEG-0023</x:v>
      </x:c>
      <x:c r="B326" s="263" t="str">
        <x:v>02_Healthcare_and_Disease</x:v>
      </x:c>
      <x:c r="C326" s="263" t="str">
        <x:v>Epilepsy_and_Abnormalities</x:v>
      </x:c>
      <x:c r="D326" s="263" t="str">
        <x:v>MORGOTH MoE-External</x:v>
      </x:c>
      <x:c r="E326" s="263"/>
      <x:c r="F326" s="263"/>
      <x:c r="G326" s="263" t="str">
        <x:v>DOWNLOAD_PUBLIC</x:v>
      </x:c>
      <x:c r="H326" s="263" t="str">
        <x:v>[BDSP MORGOTH 1.0](https://bdsp.io/content/morgoth1/1.0.0/)</x:v>
      </x:c>
      <x:c r="I326" s="263" t="str">
        <x:v>multi-expert external validation: slowing, burst suppression, spike location, seizure+IIIC, awake/N1/N2</x:v>
      </x:c>
      <x:c r="J326" s="263" t="str">
        <x:v>409</x:v>
      </x:c>
      <x:c r="K326" s="263" t="str">
        <x:v>19</x:v>
      </x:c>
      <x:c r="L326" s="263" t="str">
        <x:v>200Hz after MORGOTH preprocessing</x:v>
      </x:c>
      <x:c r="M326" s="263" t="str">
        <x:v>MAT</x:v>
      </x:c>
      <x:c r="N326" s="263" t="str">
        <x:v>processed / standardized MAT</x:v>
      </x:c>
      <x:c r="O326" s="263" t="str">
        <x:v>BDSP credentialed access required</x:v>
      </x:c>
      <x:c r="P326" s="263" t="str">
        <x:v>Sun et al. (2026), MORGOTH 1.0</x:v>
      </x:c>
      <x:c r="Q326" s="263" t="str">
        <x:v>02_Biometrics_and_Disease/Epilepsy_and_Abnormalities/MORGOTH_MoE-External</x:v>
      </x:c>
      <x:c r="R326" s="263" t="str">
        <x:v>存在公开仓库、官方入口或稳定数据访问号</x:v>
      </x:c>
      <x:c r="S326" s="263"/>
      <x:c r="T326" s="263"/>
      <x:c r="U326" s="264"/>
    </x:row>
    <x:row r="327" ht="60" customHeight="1">
      <x:c r="A327" s="239" t="str">
        <x:v>EEG-0024</x:v>
      </x:c>
      <x:c r="B327" s="228" t="str">
        <x:v>02_Healthcare_and_Disease</x:v>
      </x:c>
      <x:c r="C327" s="228" t="str">
        <x:v>Epilepsy_and_Abnormalities</x:v>
      </x:c>
      <x:c r="D327" s="228" t="str">
        <x:v>MORGOTH MoE-Internal</x:v>
      </x:c>
      <x:c r="E327" s="228"/>
      <x:c r="F327" s="228"/>
      <x:c r="G327" s="228" t="str">
        <x:v>DOWNLOAD_PUBLIC</x:v>
      </x:c>
      <x:c r="H327" s="228" t="str">
        <x:v>[BDSP MORGOTH 1.0](https://bdsp.io/content/morgoth1/1.0.0/)</x:v>
      </x:c>
      <x:c r="I327" s="228" t="str">
        <x:v>multi-expert internal validation: slowing, burst suppression, spike location, seizure+IIIC, awake/N1/N2</x:v>
      </x:c>
      <x:c r="J327" s="228" t="str">
        <x:v>1,841</x:v>
      </x:c>
      <x:c r="K327" s="228" t="str">
        <x:v>19</x:v>
      </x:c>
      <x:c r="L327" s="228" t="str">
        <x:v>200Hz after MORGOTH preprocessing</x:v>
      </x:c>
      <x:c r="M327" s="228" t="str">
        <x:v>MAT</x:v>
      </x:c>
      <x:c r="N327" s="228" t="str">
        <x:v>processed / standardized MAT</x:v>
      </x:c>
      <x:c r="O327" s="228" t="str">
        <x:v>BDSP credentialed access required</x:v>
      </x:c>
      <x:c r="P327" s="228" t="str">
        <x:v>Sun et al. (2026), MORGOTH 1.0</x:v>
      </x:c>
      <x:c r="Q327" s="228" t="str">
        <x:v>02_Biometrics_and_Disease/Epilepsy_and_Abnormalities/MORGOTH_MoE-Internal</x:v>
      </x:c>
      <x:c r="R327" s="228" t="str">
        <x:v>存在公开仓库、官方入口或稳定数据访问号</x:v>
      </x:c>
      <x:c r="S327" s="228"/>
      <x:c r="T327" s="228"/>
      <x:c r="U327" s="205"/>
    </x:row>
    <x:row r="328" ht="60" customHeight="1">
      <x:c r="A328" s="262" t="str">
        <x:v>EEG-0025</x:v>
      </x:c>
      <x:c r="B328" s="263" t="str">
        <x:v>02_Healthcare_and_Disease</x:v>
      </x:c>
      <x:c r="C328" s="263" t="str">
        <x:v>Epilepsy_and_Abnormalities</x:v>
      </x:c>
      <x:c r="D328" s="263" t="str">
        <x:v>MORGOTH ON</x:v>
      </x:c>
      <x:c r="E328" s="263"/>
      <x:c r="F328" s="263"/>
      <x:c r="G328" s="263" t="str">
        <x:v>DOWNLOAD_PUBLIC</x:v>
      </x:c>
      <x:c r="H328" s="263" t="str">
        <x:v>[BDSP MORGOTH 1.0](https://bdsp.io/content/morgoth1/1.0.0/)</x:v>
      </x:c>
      <x:c r="I328" s="263" t="str">
        <x:v>slowing and spike location external validation</x:v>
      </x:c>
      <x:c r="J328" s="263" t="str">
        <x:v>100</x:v>
      </x:c>
      <x:c r="K328" s="263" t="str">
        <x:v>19</x:v>
      </x:c>
      <x:c r="L328" s="263" t="str">
        <x:v>200Hz after MORGOTH preprocessing</x:v>
      </x:c>
      <x:c r="M328" s="263" t="str">
        <x:v>MAT</x:v>
      </x:c>
      <x:c r="N328" s="263" t="str">
        <x:v>processed / standardized MAT</x:v>
      </x:c>
      <x:c r="O328" s="263" t="str">
        <x:v>BDSP credentialed access required</x:v>
      </x:c>
      <x:c r="P328" s="263" t="str">
        <x:v>Sun et al. (2026), MORGOTH 1.0</x:v>
      </x:c>
      <x:c r="Q328" s="263" t="str">
        <x:v>02_Biometrics_and_Disease/Epilepsy_and_Abnormalities/MORGOTH_ON</x:v>
      </x:c>
      <x:c r="R328" s="263" t="str">
        <x:v>存在公开仓库、官方入口或稳定数据访问号</x:v>
      </x:c>
      <x:c r="S328" s="263"/>
      <x:c r="T328" s="263"/>
      <x:c r="U328" s="264"/>
    </x:row>
    <x:row r="329" ht="60" customHeight="1">
      <x:c r="A329" s="239" t="str">
        <x:v>EEG-0026</x:v>
      </x:c>
      <x:c r="B329" s="228" t="str">
        <x:v>02_Healthcare_and_Disease</x:v>
      </x:c>
      <x:c r="C329" s="228" t="str">
        <x:v>Epilepsy_and_Abnormalities</x:v>
      </x:c>
      <x:c r="D329" s="228" t="str">
        <x:v>MORGOTH SAI</x:v>
      </x:c>
      <x:c r="E329" s="228"/>
      <x:c r="F329" s="228"/>
      <x:c r="G329" s="228" t="str">
        <x:v>DOWNLOAD_PUBLIC</x:v>
      </x:c>
      <x:c r="H329" s="228" t="str">
        <x:v>[BDSP MORGOTH 1.0](https://bdsp.io/content/morgoth1/1.0.0/)</x:v>
      </x:c>
      <x:c r="I329" s="228" t="str">
        <x:v>normal, slowing, spike location external validation</x:v>
      </x:c>
      <x:c r="J329" s="228" t="str">
        <x:v>100</x:v>
      </x:c>
      <x:c r="K329" s="228" t="str">
        <x:v>19</x:v>
      </x:c>
      <x:c r="L329" s="228" t="str">
        <x:v>200Hz after MORGOTH preprocessing</x:v>
      </x:c>
      <x:c r="M329" s="228" t="str">
        <x:v>MAT</x:v>
      </x:c>
      <x:c r="N329" s="228" t="str">
        <x:v>processed / standardized MAT</x:v>
      </x:c>
      <x:c r="O329" s="228" t="str">
        <x:v>BDSP credentialed access required</x:v>
      </x:c>
      <x:c r="P329" s="228" t="str">
        <x:v>Sun et al. (2026), MORGOTH 1.0</x:v>
      </x:c>
      <x:c r="Q329" s="228" t="str">
        <x:v>02_Biometrics_and_Disease/Epilepsy_and_Abnormalities/MORGOTH_SAI</x:v>
      </x:c>
      <x:c r="R329" s="228" t="str">
        <x:v>存在公开仓库、官方入口或稳定数据访问号</x:v>
      </x:c>
      <x:c r="S329" s="228"/>
      <x:c r="T329" s="228"/>
      <x:c r="U329" s="205"/>
    </x:row>
    <x:row r="330" ht="60" customHeight="1">
      <x:c r="A330" s="262" t="str">
        <x:v>EEG-0027</x:v>
      </x:c>
      <x:c r="B330" s="263" t="str">
        <x:v>02_Healthcare_and_Disease</x:v>
      </x:c>
      <x:c r="C330" s="263" t="str">
        <x:v>Epilepsy_and_Abnormalities</x:v>
      </x:c>
      <x:c r="D330" s="263" t="str">
        <x:v>MORGOTH SN2-Test</x:v>
      </x:c>
      <x:c r="E330" s="263"/>
      <x:c r="F330" s="263"/>
      <x:c r="G330" s="263" t="str">
        <x:v>DOWNLOAD_PUBLIC</x:v>
      </x:c>
      <x:c r="H330" s="263" t="str">
        <x:v>[BDSP MORGOTH 1.0](https://bdsp.io/content/morgoth1/1.0.0/)</x:v>
      </x:c>
      <x:c r="I330" s="263" t="str">
        <x:v>1-second spike detection</x:v>
      </x:c>
      <x:c r="J330" s="263" t="str">
        <x:v>208</x:v>
      </x:c>
      <x:c r="K330" s="263" t="str">
        <x:v>19</x:v>
      </x:c>
      <x:c r="L330" s="263" t="str">
        <x:v>200Hz after MORGOTH preprocessing</x:v>
      </x:c>
      <x:c r="M330" s="263" t="str">
        <x:v>MAT</x:v>
      </x:c>
      <x:c r="N330" s="263" t="str">
        <x:v>processed / standardized MAT</x:v>
      </x:c>
      <x:c r="O330" s="263" t="str">
        <x:v>BDSP credentialed access required</x:v>
      </x:c>
      <x:c r="P330" s="263" t="str">
        <x:v>Sun et al. (2026), MORGOTH 1.0</x:v>
      </x:c>
      <x:c r="Q330" s="263" t="str">
        <x:v>02_Biometrics_and_Disease/Epilepsy_and_Abnormalities/MORGOTH_SN2-Test</x:v>
      </x:c>
      <x:c r="R330" s="263" t="str">
        <x:v>存在公开仓库、官方入口或稳定数据访问号</x:v>
      </x:c>
      <x:c r="S330" s="263"/>
      <x:c r="T330" s="263"/>
      <x:c r="U330" s="264"/>
    </x:row>
    <x:row r="331" ht="60" customHeight="1">
      <x:c r="A331" s="239" t="str">
        <x:v>EEG-0028</x:v>
      </x:c>
      <x:c r="B331" s="228" t="str">
        <x:v>02_Healthcare_and_Disease</x:v>
      </x:c>
      <x:c r="C331" s="228" t="str">
        <x:v>Epilepsy_and_Abnormalities</x:v>
      </x:c>
      <x:c r="D331" s="228" t="str">
        <x:v>MORGOTH SN2-Train</x:v>
      </x:c>
      <x:c r="E331" s="228"/>
      <x:c r="F331" s="228"/>
      <x:c r="G331" s="228" t="str">
        <x:v>DOWNLOAD_PUBLIC</x:v>
      </x:c>
      <x:c r="H331" s="228" t="str">
        <x:v>[BDSP MORGOTH 1.0](https://bdsp.io/content/morgoth1/1.0.0/)</x:v>
      </x:c>
      <x:c r="I331" s="228" t="str">
        <x:v>1-second spike detection</x:v>
      </x:c>
      <x:c r="J331" s="228" t="str">
        <x:v>4,886</x:v>
      </x:c>
      <x:c r="K331" s="228" t="str">
        <x:v>19</x:v>
      </x:c>
      <x:c r="L331" s="228" t="str">
        <x:v>200Hz after MORGOTH preprocessing</x:v>
      </x:c>
      <x:c r="M331" s="228" t="str">
        <x:v>MAT</x:v>
      </x:c>
      <x:c r="N331" s="228" t="str">
        <x:v>processed / standardized MAT</x:v>
      </x:c>
      <x:c r="O331" s="228" t="str">
        <x:v>BDSP credentialed access required</x:v>
      </x:c>
      <x:c r="P331" s="228" t="str">
        <x:v>Sun et al. (2026), MORGOTH 1.0</x:v>
      </x:c>
      <x:c r="Q331" s="228" t="str">
        <x:v>02_Biometrics_and_Disease/Epilepsy_and_Abnormalities/MORGOTH_SN2-Train</x:v>
      </x:c>
      <x:c r="R331" s="228" t="str">
        <x:v>存在公开仓库、官方入口或稳定数据访问号</x:v>
      </x:c>
      <x:c r="S331" s="228"/>
      <x:c r="T331" s="228"/>
      <x:c r="U331" s="205"/>
    </x:row>
    <x:row r="332" ht="60" customHeight="1">
      <x:c r="A332" s="262" t="str">
        <x:v>EEG-0042</x:v>
      </x:c>
      <x:c r="B332" s="263" t="str">
        <x:v>02_Healthcare_and_Disease</x:v>
      </x:c>
      <x:c r="C332" s="263" t="str">
        <x:v>Neurodegenerative_Disorders</x:v>
      </x:c>
      <x:c r="D332" s="263" t="str">
        <x:v>APAVA</x:v>
      </x:c>
      <x:c r="E332" s="263"/>
      <x:c r="F332" s="263"/>
      <x:c r="G332" s="263" t="str">
        <x:v>DOWNLOAD_APPLICATION_REQUIRED</x:v>
      </x:c>
      <x:c r="H332" s="263" t="str">
        <x:v>Raw data: OSF, osf.io/jbysn/ ; Processed (ML-ready) data redistributed via GitHub (DL4mHealth/Medformer, DL4mHealth/ADformer, DL4mHealth/LEAD) with Google Drive mirror: drive.google.com/file/d/1FKvUnB8qEcHng7J9CfHaU7gqRLGeS7Ea/view</x:v>
      </x:c>
      <x:c r="I332" s="263" t="str">
        <x:v>Alzheimer's disease classification (binary: Alzheimer's disease vs. healthy control); subject-independent and subject-dependent MedTS classification</x:v>
      </x:c>
      <x:c r="J332" s="263" t="str">
        <x:v>23.0</x:v>
      </x:c>
      <x:c r="K332" s="263" t="str">
        <x:v>16.0</x:v>
      </x:c>
      <x:c r="L332" s="263" t="str">
        <x:v>256.0</x:v>
      </x:c>
      <x:c r="M332" s="263" t="str">
        <x:v>EEG time series (processed; released as numpy/tensor samples via authors' code). Paper reports processed file size 186MB.</x:v>
      </x:c>
      <x:c r="N332" s="263" t="str">
        <x:v>Both: original raw EEG hosted on OSF; ML-ready preprocessed version (standardized 5s trials, further segmented into 1s/256-sample half-overlapping windows in downstream papers) redistributed by research groups</x:v>
      </x:c>
      <x:c r="O332" s="263" t="str">
        <x:v>Raw data openly hosted on OSF (osf.io/jbysn), no formal application apparent; ML-ready processed version available via Google Drive links maintained by DL4mHealth (Medformer/ADformer/LEAD repos), no application needed</x:v>
      </x:c>
      <x:c r="P332" s="263"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332" s="263" t="str">
        <x:v>02_Biometrics_and_Disease/Neurodegenerative_Disorders/APAVA</x:v>
      </x:c>
      <x:c r="R332" s="263" t="str">
        <x:v>官方数据存在，但需申请、签署协议或获得权限</x:v>
      </x:c>
      <x:c r="S332" s="263"/>
      <x:c r="T332" s="263"/>
      <x:c r="U332" s="264"/>
    </x:row>
    <x:row r="333" ht="60" customHeight="1">
      <x:c r="A333" s="239" t="str">
        <x:v>EEG-0043</x:v>
      </x:c>
      <x:c r="B333" s="228" t="str">
        <x:v>02_Healthcare_and_Disease</x:v>
      </x:c>
      <x:c r="C333" s="228" t="str">
        <x:v>Neurodegenerative_Disorders</x:v>
      </x:c>
      <x:c r="D333" s="228" t="str">
        <x:v>CAUEEG</x:v>
      </x:c>
      <x:c r="E333" s="228"/>
      <x:c r="F333" s="228"/>
      <x:c r="G333" s="228" t="str">
        <x:v>DOWNLOAD_PUBLIC</x:v>
      </x:c>
      <x:c r="H333" s="228" t="str">
        <x:v>[CAUEEG official GitHub](https://github.com/ipis-mjkim/caueeg-dataset)</x:v>
      </x:c>
      <x:c r="I333" s="228" t="str">
        <x:v>Dementia diagnosis (classification of normal / mild cognitive impairment (MCI) / dementia)</x:v>
      </x:c>
      <x:c r="J333" s="228" t="str">
        <x:v>1379.0</x:v>
      </x:c>
      <x:c r="K333" s="228" t="str">
        <x:v>19.0</x:v>
      </x:c>
      <x:c r="L333" s="228" t="str">
        <x:v>100.0</x:v>
      </x:c>
      <x:c r="M333" s="228" t="str">
        <x:v>EDF (European Data Format)</x:v>
      </x:c>
      <x:c r="N333" s="228" t="str">
        <x:v>both</x:v>
      </x:c>
      <x:c r="O333" s="228" t="str">
        <x:v>申请访问：CAUEEG official GitHub (https://github.com/ipis-mjkim/caueeg-dataset)；按 Chung-Ang University Hospital EEG 项目说明向数据拥有方申请。</x:v>
      </x:c>
      <x:c r="P333" s="228" t="str">
        <x:v>Kim et al. (2023). Deep learning-based EEG analysis to classify normal, mild cognitive impairment, and dementia: Algorithms and dataset. NeuroImage.</x:v>
      </x:c>
      <x:c r="Q333" s="228" t="str">
        <x:v>02_Biometrics_and_Disease/Neurodegenerative_Disorders/CAUEEG</x:v>
      </x:c>
      <x:c r="R333" s="228" t="str">
        <x:v>存在公开仓库、官方入口或稳定数据访问号</x:v>
      </x:c>
      <x:c r="S333" s="228"/>
      <x:c r="T333" s="228"/>
      <x:c r="U333" s="205"/>
    </x:row>
    <x:row r="334" ht="60" customHeight="1">
      <x:c r="A334" s="262" t="str">
        <x:v>EEG-0048</x:v>
      </x:c>
      <x:c r="B334" s="263" t="str">
        <x:v>02_Healthcare_and_Disease</x:v>
      </x:c>
      <x:c r="C334" s="263" t="str">
        <x:v>Mental_and_Developmental_Disorders</x:v>
      </x:c>
      <x:c r="D334" s="263" t="str">
        <x:v>Adult ADHD EEG</x:v>
      </x:c>
      <x:c r="E334" s="263" t="str">
        <x:v>Adult ADHD Resting [EEG-0049]</x:v>
      </x:c>
      <x:c r="F334" s="263"/>
      <x:c r="G334" s="263" t="str">
        <x:v>DOWNLOAD_PUBLIC</x:v>
      </x:c>
      <x:c r="H334" s="263" t="str">
        <x:v>https://data.mendeley.com/datasets/6k4g25fhzg/1 | [Mendeley Data 6k4g25fhzg](https://data.mendeley.com/datasets/6k4g25fhzg/1)</x:v>
      </x:c>
      <x:c r="I334" s="263" t="str">
        <x:v>ADHD vs control (rest / cognitive / sound listening)；ADHD vs healthy control；eyes-open/eyes-closed；cognitive challenge；sound listening</x:v>
      </x:c>
      <x:c r="J334" s="263" t="str">
        <x:v>79 (42 control, 37 ADHD)</x:v>
      </x:c>
      <x:c r="K334" s="263" t="str">
        <x:v>5 (O1,F3,F4,Cz,Fz)</x:v>
      </x:c>
      <x:c r="L334" s="263" t="str">
        <x:v>256 Hz</x:v>
      </x:c>
      <x:c r="M334" s="263" t="str">
        <x:v>MAT</x:v>
      </x:c>
      <x:c r="N334" s="263" t="str">
        <x:v>Raw segments</x:v>
      </x:c>
      <x:c r="O334" s="263" t="str">
        <x:v>Open (Mendeley 6k4g25fhzg), CC-BY 4.0</x:v>
      </x:c>
      <x:c r="P334" s="263" t="str">
        <x:v>A dataset of EEG signals from adults with ADHD and healthy controls: resting state, cognitive function, and sound listening paradigm. Bajestani et al., 2023, Mendeley Data.；Ghasem Sadeghi Bajestani; Shima Abedian; Fatemeh Makhloughi; Motahhareh Raoufitabar; Hamid Saeedi</x:v>
      </x:c>
      <x:c r="Q334" s="263" t="str">
        <x:v>02_Biometrics_and_Disease/Mental_and_Developmental_Disorders/Adult_ADHD_EEG</x:v>
      </x:c>
      <x:c r="R334" s="263" t="str">
        <x:v>存在公开仓库、官方入口或稳定数据访问号；2026-08-04去重：EEG-0049并入EEG-0048（Mendeley dataset 6k4g25fhzg）</x:v>
      </x:c>
      <x:c r="S334" s="263"/>
      <x:c r="T334" s="263"/>
      <x:c r="U334" s="264"/>
    </x:row>
    <x:row r="335" ht="60" customHeight="1">
      <x:c r="A335" s="239" t="str">
        <x:v>EEG-0051</x:v>
      </x:c>
      <x:c r="B335" s="228" t="str">
        <x:v>02_Healthcare_and_Disease</x:v>
      </x:c>
      <x:c r="C335" s="228" t="str">
        <x:v>Mental_and_Developmental_Disorders</x:v>
      </x:c>
      <x:c r="D335" s="228" t="str">
        <x:v>B-SNIP1</x:v>
      </x:c>
      <x:c r="E335" s="228"/>
      <x:c r="F335" s="228"/>
      <x:c r="G335" s="228" t="str">
        <x:v>DOWNLOAD_PUBLIC</x:v>
      </x:c>
      <x:c r="H335" s="228" t="str">
        <x:v>[NIMH NDA Collection 2274](https://nda.nih.gov/edit_collection.html?id=2274)</x:v>
      </x:c>
      <x:c r="I335" s="228" t="str">
        <x:v>resting EEG / auditory-task EEG; psychosis biotypes / schizophrenia-bipolar spectrum</x:v>
      </x:c>
      <x:c r="J335" s="228" t="str">
        <x:v>985 in B-SNIP1 replication paper; EEG subset release-dependent</x:v>
      </x:c>
      <x:c r="K335" s="228" t="str">
        <x:v>64</x:v>
      </x:c>
      <x:c r="L335" s="228" t="str">
        <x:v>1000Hz</x:v>
      </x:c>
      <x:c r="M335" s="228" t="str">
        <x:v>NDA / release-dependent</x:v>
      </x:c>
      <x:c r="N335" s="228" t="str">
        <x:v>raw / derivatives release-dependent</x:v>
      </x:c>
      <x:c r="O335" s="228" t="str">
        <x:v>Controlled access through NIMH Data Archive; data-use approval required.</x:v>
      </x:c>
      <x:c r="P335" s="228" t="str">
        <x:v>B-SNIP consortium; EEGMamba; Liu et al. (2026), EEG Foundation Models Tables VIII-XIV</x:v>
      </x:c>
      <x:c r="Q335" s="228" t="str">
        <x:v>02_Biometrics_and_Disease/Mental_and_Developmental_Disorders/B-SNIP1</x:v>
      </x:c>
      <x:c r="R335" s="228" t="str">
        <x:v>存在公开仓库、官方入口或稳定数据访问号</x:v>
      </x:c>
      <x:c r="S335" s="228"/>
      <x:c r="T335" s="228"/>
      <x:c r="U335" s="205"/>
    </x:row>
    <x:row r="336" ht="60" customHeight="1">
      <x:c r="A336" s="262" t="str">
        <x:v>EEG-0054</x:v>
      </x:c>
      <x:c r="B336" s="263" t="str">
        <x:v>02_Healthcare_and_Disease</x:v>
      </x:c>
      <x:c r="C336" s="263" t="str">
        <x:v>Mental_and_Developmental_Disorders</x:v>
      </x:c>
      <x:c r="D336" s="263" t="str">
        <x:v>EEG in schizophrenia</x:v>
      </x:c>
      <x:c r="E336" s="263"/>
      <x:c r="F336" s="263"/>
      <x:c r="G336" s="263" t="str">
        <x:v>DOWNLOAD_PUBLIC</x:v>
      </x:c>
      <x:c r="H336" s="263" t="str">
        <x:v>[RepOD EEG in schizophrenia](https://repod.icm.edu.pl/dataset.xhtml?persistentId=doi%3A10.18150%2Frepod.0107441)</x:v>
      </x:c>
      <x:c r="I336" s="263" t="str">
        <x:v>resting-state schizophrenia vs healthy control</x:v>
      </x:c>
      <x:c r="J336" s="263" t="str">
        <x:v>28</x:v>
      </x:c>
      <x:c r="K336" s="263" t="str">
        <x:v>19</x:v>
      </x:c>
      <x:c r="L336" s="263" t="str">
        <x:v>250Hz</x:v>
      </x:c>
      <x:c r="M336" s="263" t="str">
        <x:v>EDF</x:v>
      </x:c>
      <x:c r="N336" s="263" t="str">
        <x:v>raw EDF</x:v>
      </x:c>
      <x:c r="O336" s="263" t="str">
        <x:v>RepOD public download; CC0.</x:v>
      </x:c>
      <x:c r="P336" s="263" t="str">
        <x:v>Olejarczyk &amp; Jernajczyk (2017); BrainWave evaluation table</x:v>
      </x:c>
      <x:c r="Q336" s="263" t="str">
        <x:v>02_Biometrics_and_Disease/Mental_and_Developmental_Disorders/EEG_in_schizophrenia</x:v>
      </x:c>
      <x:c r="R336" s="263" t="str">
        <x:v>存在公开仓库、官方入口或稳定数据访问号</x:v>
      </x:c>
      <x:c r="S336" s="263"/>
      <x:c r="T336" s="263"/>
      <x:c r="U336" s="264"/>
    </x:row>
    <x:row r="337" ht="60" customHeight="1">
      <x:c r="A337" s="239" t="str">
        <x:v>EEG-0058</x:v>
      </x:c>
      <x:c r="B337" s="228" t="str">
        <x:v>02_Healthcare_and_Disease</x:v>
      </x:c>
      <x:c r="C337" s="228" t="str">
        <x:v>Mental_and_Developmental_Disorders</x:v>
      </x:c>
      <x:c r="D337" s="228" t="str">
        <x:v>MODMA</x:v>
      </x:c>
      <x:c r="E337" s="228"/>
      <x:c r="F337" s="228"/>
      <x:c r="G337" s="228" t="str">
        <x:v>DOWNLOAD_APPLICATION_REQUIRED</x:v>
      </x:c>
      <x:c r="H337" s="228" t="str">
        <x:v>http://modma.lzu.edu.cn/data/index/</x:v>
      </x:c>
      <x:c r="I337" s="228" t="str">
        <x:v>Mental disorder (depression) vs control; rest + dot-probe</x:v>
      </x:c>
      <x:c r="J337" s="228" t="str">
        <x:v>53 (128-ch) / 55 (3-ch)</x:v>
      </x:c>
      <x:c r="K337" s="228" t="str">
        <x:v>128 / 3</x:v>
      </x:c>
      <x:c r="L337" s="228" t="str">
        <x:v>250 Hz</x:v>
      </x:c>
      <x:c r="M337" s="228" t="str">
        <x:v>MAT / RAW</x:v>
      </x:c>
      <x:c r="N337" s="228" t="str">
        <x:v>Raw (+ preprocessing scripts)</x:v>
      </x:c>
      <x:c r="O337" s="228" t="str">
        <x:v>Registration + signed data-use agreement required</x:v>
      </x:c>
      <x:c r="P337" s="228" t="str">
        <x:v>A multi-modal open dataset for mental-disorder analysis (MODMA). Cai et al., 2022, Scientific Data 9:178.</x:v>
      </x:c>
      <x:c r="Q337" s="228" t="str">
        <x:v>02_Biometrics_and_Disease/Mental_and_Developmental_Disorders/MODMA</x:v>
      </x:c>
      <x:c r="R337" s="228" t="str">
        <x:v>官方数据存在，但需申请、签署协议或获得权限</x:v>
      </x:c>
      <x:c r="S337" s="228"/>
      <x:c r="T337" s="228"/>
      <x:c r="U337" s="205"/>
    </x:row>
    <x:row r="338" ht="60" customHeight="1">
      <x:c r="A338" s="262" t="str">
        <x:v>EEG-0060</x:v>
      </x:c>
      <x:c r="B338" s="263" t="str">
        <x:v>02_Healthcare_and_Disease</x:v>
      </x:c>
      <x:c r="C338" s="263" t="str">
        <x:v>Mental_and_Developmental_Disorders</x:v>
      </x:c>
      <x:c r="D338" s="263" t="str">
        <x:v>Schizophrenia-81</x:v>
      </x:c>
      <x:c r="E338" s="263"/>
      <x:c r="F338" s="263"/>
      <x:c r="G338" s="263" t="str">
        <x:v>DOWNLOAD_PUBLIC</x:v>
      </x:c>
      <x:c r="H338" s="263" t="str">
        <x:v>[Kaggle EEG data from basic sensory task in Schizophrenia](https://www.kaggle.com/datasets/broach/button-tone-sz)</x:v>
      </x:c>
      <x:c r="I338" s="263" t="str">
        <x:v>schizophrenia vs control; button press / auditory tone ERP</x:v>
      </x:c>
      <x:c r="J338" s="263" t="str">
        <x:v>81</x:v>
      </x:c>
      <x:c r="K338" s="263" t="str">
        <x:v>64</x:v>
      </x:c>
      <x:c r="L338" s="263" t="str">
        <x:v>1024Hz</x:v>
      </x:c>
      <x:c r="M338" s="263" t="str">
        <x:v>CSV</x:v>
      </x:c>
      <x:c r="N338" s="263" t="str">
        <x:v>raw / release-dependent</x:v>
      </x:c>
      <x:c r="O338" s="263" t="str">
        <x:v>Kaggle public dataset; exact license and raw format need manual check.</x:v>
      </x:c>
      <x:c r="P338" s="263" t="str">
        <x:v>BrainWave Table 2 (2024); Kaggle button-tone-sz</x:v>
      </x:c>
      <x:c r="Q338" s="263" t="str">
        <x:v>02_Biometrics_and_Disease/Mental_and_Developmental_Disorders/Schizophrenia-81</x:v>
      </x:c>
      <x:c r="R338" s="263" t="str">
        <x:v>存在公开仓库、官方入口或稳定数据访问号</x:v>
      </x:c>
      <x:c r="S338" s="263"/>
      <x:c r="T338" s="263"/>
      <x:c r="U338" s="264"/>
    </x:row>
    <x:row r="339" ht="60" customHeight="1">
      <x:c r="A339" s="239" t="str">
        <x:v>EEG-0061</x:v>
      </x:c>
      <x:c r="B339" s="228" t="str">
        <x:v>02_Healthcare_and_Disease</x:v>
      </x:c>
      <x:c r="C339" s="228" t="str">
        <x:v>Mental_and_Developmental_Disorders</x:v>
      </x:c>
      <x:c r="D339" s="228" t="str">
        <x:v>TDBRAIN</x:v>
      </x:c>
      <x:c r="E339" s="228"/>
      <x:c r="F339" s="228"/>
      <x:c r="G339" s="228" t="str">
        <x:v>DOWNLOAD_APPLICATION_REQUIRED</x:v>
      </x:c>
      <x:c r="H339" s="228" t="str">
        <x:v>https://brainclinics.com/resources/</x:v>
      </x:c>
      <x:c r="I339" s="228" t="str">
        <x:v>Resting-state (EO/EC); OmniEEG: psychiatric phenotype (4-class)</x:v>
      </x:c>
      <x:c r="J339" s="228" t="str">
        <x:v>1,274</x:v>
      </x:c>
      <x:c r="K339" s="228" t="str">
        <x:v>26</x:v>
      </x:c>
      <x:c r="L339" s="228" t="str">
        <x:v>2500 Hz (shared 500)</x:v>
      </x:c>
      <x:c r="M339" s="228" t="str">
        <x:v>BrainVision</x:v>
      </x:c>
      <x:c r="N339" s="228" t="str">
        <x:v>Raw (+ Python pipeline)</x:v>
      </x:c>
      <x:c r="O339" s="228" t="str">
        <x:v>Free at brainclinics.com via ORCID login; data-use agreement</x:v>
      </x:c>
      <x:c r="P339" s="228" t="str">
        <x:v>The two decades brainclinics research archive for insights in neurophysiology (TDBRAIN) database. van Dijk et al., 2022, Scientific Data 9:333.</x:v>
      </x:c>
      <x:c r="Q339" s="228" t="str">
        <x:v>02_Biometrics_and_Disease/Mental_and_Developmental_Disorders/TDBRAIN</x:v>
      </x:c>
      <x:c r="R339" s="228" t="str">
        <x:v>官方数据存在，但需申请、签署协议或获得权限</x:v>
      </x:c>
      <x:c r="S339" s="228"/>
      <x:c r="T339" s="228"/>
      <x:c r="U339" s="205"/>
    </x:row>
    <x:row r="340" ht="60" customHeight="1">
      <x:c r="A340" s="262" t="str">
        <x:v>EEG-0064</x:v>
      </x:c>
      <x:c r="B340" s="263" t="str">
        <x:v>02_Healthcare_and_Disease</x:v>
      </x:c>
      <x:c r="C340" s="263" t="str">
        <x:v>Neurological_Disorders</x:v>
      </x:c>
      <x:c r="D340" s="263" t="str">
        <x:v>bigP3BCI</x:v>
      </x:c>
      <x:c r="E340" s="263"/>
      <x:c r="F340" s="263" t="str">
        <x:v>PhysioNet:bigp3bci:v1.0.0 | DOI:10.13026/0byy-ry86</x:v>
      </x:c>
      <x:c r="G340" s="263" t="str">
        <x:v>DOWNLOAD_PUBLIC</x:v>
      </x:c>
      <x:c r="H340" s="263" t="str">
        <x:v>https://physionet.org/content/bigp3bci/1.0.0/</x:v>
      </x:c>
      <x:c r="I340" s="263" t="str">
        <x:v>spelling BCI；ALS assistive communication；clinical BCI target selection</x:v>
      </x:c>
      <x:c r="J340" s="263" t="str">
        <x:v>336 个 study-participant 条目（20 项研究表内合计；跨研究唯一人数未声明）</x:v>
      </x:c>
      <x:c r="K340" s="263" t="str">
        <x:v>34</x:v>
      </x:c>
      <x:c r="L340" s="263" t="str">
        <x:v>1000Hz</x:v>
      </x:c>
      <x:c r="M340" s="263" t="str">
        <x:v>EDF</x:v>
      </x:c>
      <x:c r="N340" s="263" t="str">
        <x:v>raw</x:v>
      </x:c>
      <x:c r="O340" s="263" t="str">
        <x:v>公开下载：公开 / 分发数据：优先查看 PhysioNet bigP3BCI (https://physionet.org/content/bigp3bci/1.0.0/)中 ALS / P300 speller 相关条目；未包含的原始数据按原论文联系作者。</x:v>
      </x:c>
      <x:c r="P340" s="263" t="str">
        <x:v>未给出</x:v>
      </x:c>
      <x:c r="Q340" s="263" t="str">
        <x:v>02_Biometrics_and_Disease/Neurological_Disorders/ALS_Eye-tracking_Spelling_EEG_Dataset</x:v>
      </x:c>
      <x:c r="R340" s="263" t="str">
        <x:v>存在公开仓库、官方入口或稳定数据访问号</x:v>
      </x:c>
      <x:c r="S340" s="263"/>
      <x:c r="T340" s="263"/>
      <x:c r="U340" s="264"/>
    </x:row>
    <x:row r="341" ht="60" customHeight="1">
      <x:c r="A341" s="239" t="str">
        <x:v>EEG-0070</x:v>
      </x:c>
      <x:c r="B341" s="228" t="str">
        <x:v>02_Healthcare_and_Disease</x:v>
      </x:c>
      <x:c r="C341" s="228" t="str">
        <x:v>Neurological_Disorders</x:v>
      </x:c>
      <x:c r="D341" s="228" t="str">
        <x:v>BNCI 006-2014 (SCP training in stroke)</x:v>
      </x:c>
      <x:c r="E341" s="228"/>
      <x:c r="F341" s="228" t="str">
        <x:v>BNCI:BNCI 006-2014</x:v>
      </x:c>
      <x:c r="G341" s="228" t="str">
        <x:v>DOWNLOAD_PUBLIC</x:v>
      </x:c>
      <x:c r="H341" s="228" t="str">
        <x:v>http://bnci-horizon-2020.eu/database/data-sets</x:v>
      </x:c>
      <x:c r="I341" s="228" t="str">
        <x:v>Slow Cortical Potentials (SCP) self-regulation training</x:v>
      </x:c>
      <x:c r="J341" s="228" t="str">
        <x:v>2</x:v>
      </x:c>
      <x:c r="K341" s="228" t="str">
        <x:v>2 EEG channels</x:v>
      </x:c>
      <x:c r="L341" s="228" t="str">
        <x:v>256 Hz</x:v>
      </x:c>
      <x:c r="M341" s="228" t="str">
        <x:v>MAT</x:v>
      </x:c>
      <x:c r="N341" s="228" t="str">
        <x:v>Raw EEG</x:v>
      </x:c>
      <x:c r="O341" s="228" t="str">
        <x:v>Open Access</x:v>
      </x:c>
      <x:c r="P341" s="228"/>
      <x:c r="Q341" s="228" t="str">
        <x:v>02_Biometrics_and_Disease/Neurological_Disorders/BNCI_006-2014_SCP_training_in_stroke</x:v>
      </x:c>
      <x:c r="R341" s="228" t="str">
        <x:v>存在公开仓库、官方入口或稳定数据访问号</x:v>
      </x:c>
      <x:c r="S341" s="228"/>
      <x:c r="T341" s="228"/>
      <x:c r="U341" s="205"/>
    </x:row>
    <x:row r="342" ht="60" customHeight="1">
      <x:c r="A342" s="262" t="str">
        <x:v>EEG-0073</x:v>
      </x:c>
      <x:c r="B342" s="263" t="str">
        <x:v>06_Motor_and_Interaction</x:v>
      </x:c>
      <x:c r="C342" s="263" t="str">
        <x:v>Error_Related_BCI</x:v>
      </x:c>
      <x:c r="D342" s="263" t="str">
        <x:v>BNCI2015_013 (Error-Related Potentials)</x:v>
      </x:c>
      <x:c r="E342" s="263" t="str">
        <x:v>Monitoring ErrP [EEG-0088]; BNCI 013-2015 (Monitoring error-related potentials)</x:v>
      </x:c>
      <x:c r="F342" s="263" t="str">
        <x:v>BNCI:013-2015 | DOI:10.1109/TNSRE.2010.2053387 | BNCI:013-2015,BNCI 013-2015</x:v>
      </x:c>
      <x:c r="G342" s="263" t="str">
        <x:v>DOWNLOAD_PUBLIC</x:v>
      </x:c>
      <x:c r="H342" s="263" t="str">
        <x:v>https://bnci-horizon-2020.eu/database/data-sets | https://bnci-horizon-2020.eu/database/data-sets (013-2015)</x:v>
      </x:c>
      <x:c r="I342" s="263" t="str">
        <x:v>ERP / Error-Related Potential；Error-related potential detection (cursor feedback)</x:v>
      </x:c>
      <x:c r="J342" s="263" t="str">
        <x:v>6</x:v>
      </x:c>
      <x:c r="K342" s="263" t="str">
        <x:v>64</x:v>
      </x:c>
      <x:c r="L342" s="263" t="str">
        <x:v>512 Hz</x:v>
      </x:c>
      <x:c r="M342" s="263"/>
      <x:c r="N342" s="263" t="str">
        <x:v>Raw</x:v>
      </x:c>
      <x:c r="O342" s="263" t="str">
        <x:v>Open BNCI Horizon dataset; CC BY-NC-ND 4.0; no application required.</x:v>
      </x:c>
      <x:c r="P342" s="263" t="str">
        <x:v>José del R. Millán, EPFL；Learning from EEG error-related potentials in noninvasive brain-computer interfaces. Chavarriaga &amp; Millan, 2010, IEEE TNSRE 18(4):381-388.</x:v>
      </x:c>
      <x:c r="Q342" s="263" t="str">
        <x:v>02_Biometrics_and_Disease/Neurological_Disorders/BNCI2015_013_Error-Related_Potentials</x:v>
      </x:c>
      <x:c r="R342" s="263" t="str">
        <x:v>存在公开仓库、官方入口或稳定数据访问号；2026-08-04去重：EEG-0088并入EEG-0073（BNCI 013-2015 / MOABB BNCI2015_013）</x:v>
      </x:c>
      <x:c r="S342" s="263"/>
      <x:c r="T342" s="263"/>
      <x:c r="U342" s="264"/>
    </x:row>
    <x:row r="343" ht="60" customHeight="1">
      <x:c r="A343" s="239" t="str">
        <x:v>EEG-0086</x:v>
      </x:c>
      <x:c r="B343" s="228" t="str">
        <x:v>08_Health_and_Population</x:v>
      </x:c>
      <x:c r="C343" s="228" t="str">
        <x:v>Sleep_and_Cardiometabolic</x:v>
      </x:c>
      <x:c r="D343" s="228" t="str">
        <x:v>MESA Sleep</x:v>
      </x:c>
      <x:c r="E343" s="228"/>
      <x:c r="F343" s="228"/>
      <x:c r="G343" s="228" t="str">
        <x:v>DOWNLOAD_PUBLIC</x:v>
      </x:c>
      <x:c r="H343" s="228" t="str">
        <x:v>https://sleepdata.org/datasets/mesa</x:v>
      </x:c>
      <x:c r="I343" s="228" t="str">
        <x:v>Sleep stages, arousals, respiratory events；并有 cardiometabolic / atherosclerosis / demographic covariates</x:v>
      </x:c>
      <x:c r="J343" s="228" t="str">
        <x:v>2,056 个含原始 PSG/EEG 的参与者（父睡眠检查 2,237 人）</x:v>
      </x:c>
      <x:c r="K343" s="228" t="str">
        <x:v>3 EEG channels + EOG, EMG, ECG, respiratory and nasal airflow</x:v>
      </x:c>
      <x:c r="L343" s="228" t="str">
        <x:v>256 Hz</x:v>
      </x:c>
      <x:c r="M343" s="228" t="str">
        <x:v>EEG spectrogram, VQGAN tokens</x:v>
      </x:c>
      <x:c r="N343" s="228" t="str">
        <x:v>Raw polysomnography + expert sleep stage and apnea annotations</x:v>
      </x:c>
      <x:c r="O343" s="228" t="str">
        <x:v>申请：NSRR MESA (https://sleepdata.org/datasets/mesa)；通过 sleepdata.org 账号申请权限，批准后网页或 `nsrr download mesa` 下载。</x:v>
      </x:c>
      <x:c r="P343" s="228" t="str">
        <x:v>Chen et al. (2015). Racial/Ethnic Differences in Sleep Disturbances: The Multi-Ethnic Study of Atherosclerosis (MESA). Sleep.</x:v>
      </x:c>
      <x:c r="Q343" s="228" t="str">
        <x:v>02_Biometrics_and_Disease/Neurological_Disorders/MESA_Sleep</x:v>
      </x:c>
      <x:c r="R343" s="228" t="str">
        <x:v>存在公开仓库、官方入口或稳定数据访问号</x:v>
      </x:c>
      <x:c r="S343" s="228"/>
      <x:c r="T343" s="228"/>
      <x:c r="U343" s="205"/>
    </x:row>
    <x:row r="344" ht="60" customHeight="1">
      <x:c r="A344" s="262" t="str">
        <x:v>EEG-0090</x:v>
      </x:c>
      <x:c r="B344" s="263" t="str">
        <x:v>06_Motor_and_Interaction</x:v>
      </x:c>
      <x:c r="C344" s="263" t="str">
        <x:v>Human_Robot_Interaction</x:v>
      </x:c>
      <x:c r="D344" s="263" t="str">
        <x:v>MultiPhysio-HRC: Multimodal Physiological Signals Dataset for industrial Human-Robot Collaboration</x:v>
      </x:c>
      <x:c r="E344" s="263"/>
      <x:c r="F344" s="263" t="str">
        <x:v>Zenodo:18668043 | DOI:10.3390/robotics14120184</x:v>
      </x:c>
      <x:c r="G344" s="263" t="str">
        <x:v>DOWNLOAD_APPLICATION_REQUIRED</x:v>
      </x:c>
      <x:c r="H344" s="263" t="str">
        <x:v>https://zenodo.org/records/18668043</x:v>
      </x:c>
      <x:c r="I344" s="263" t="str">
        <x:v>Industrial Human–Robot Collaboration (HRC) mental-state recognition</x:v>
      </x:c>
      <x:c r="J344" s="263" t="str">
        <x:v>52--42</x:v>
      </x:c>
      <x:c r="K344" s="263" t="str">
        <x:v>12</x:v>
      </x:c>
      <x:c r="L344" s="263" t="str">
        <x:v>256 Hz</x:v>
      </x:c>
      <x:c r="M344" s="263"/>
      <x:c r="N344" s="263" t="str">
        <x:v>Both</x:v>
      </x:c>
      <x:c r="O344" s="263" t="str">
        <x:v>Need apply</x:v>
      </x:c>
      <x:c r="P344" s="263" t="str">
        <x:v>DOI: 10.3390/robotics14120184</x:v>
      </x:c>
      <x:c r="Q344" s="263" t="str">
        <x:v>02_Biometrics_and_Disease/Neurological_Disorders/MultiPhysio-HRC_Multimodal_Physiological_Signals_Dataset_for_industrial_Human-Robot_Collab</x:v>
      </x:c>
      <x:c r="R344" s="263" t="str">
        <x:v>官方数据存在，但需申请、签署协议或获得权限</x:v>
      </x:c>
      <x:c r="S344" s="263"/>
      <x:c r="T344" s="263"/>
      <x:c r="U344" s="264"/>
    </x:row>
    <x:row r="345" ht="60" customHeight="1">
      <x:c r="A345" s="239" t="str">
        <x:v>EEG-0096</x:v>
      </x:c>
      <x:c r="B345" s="228" t="str">
        <x:v>04_Cognition_and_Emotion</x:v>
      </x:c>
      <x:c r="C345" s="228" t="str">
        <x:v>Emotion</x:v>
      </x:c>
      <x:c r="D345" s="228" t="str">
        <x:v>REFED</x:v>
      </x:c>
      <x:c r="E345" s="228"/>
      <x:c r="F345" s="228"/>
      <x:c r="G345" s="228" t="str">
        <x:v>DOWNLOAD_PUBLIC</x:v>
      </x:c>
      <x:c r="H345" s="228" t="str">
        <x:v>https://huggingface.co/datasets/REFED2025/REFED-dataset</x:v>
      </x:c>
      <x:c r="I345" s="228" t="str">
        <x:v>brain signals and real-time dynamic emotion annotation</x:v>
      </x:c>
      <x:c r="J345" s="228" t="str">
        <x:v>32</x:v>
      </x:c>
      <x:c r="K345" s="228" t="str">
        <x:v>64</x:v>
      </x:c>
      <x:c r="L345" s="228" t="str">
        <x:v>1000 Hz</x:v>
      </x:c>
      <x:c r="M345" s="228" t="str">
        <x:v>.mat</x:v>
      </x:c>
      <x:c r="N345" s="228" t="str">
        <x:v>RAW</x:v>
      </x:c>
      <x:c r="O345" s="228" t="str">
        <x:v>Fully open</x:v>
      </x:c>
      <x:c r="P345" s="228" t="str">
        <x:v>https://papers.neurips.cc/paper_files/paper/2025/file/2bf0ed7c35d9d84128e7f7c72ab76402-Paper-Datasets_and_Benchmarks_Track.pdf</x:v>
      </x:c>
      <x:c r="Q345" s="228" t="str">
        <x:v>02_Biometrics_and_Disease/Neurological_Disorders/REFED</x:v>
      </x:c>
      <x:c r="R345" s="228" t="str">
        <x:v>存在公开仓库、官方入口或稳定数据访问号</x:v>
      </x:c>
      <x:c r="S345" s="228"/>
      <x:c r="T345" s="228"/>
      <x:c r="U345" s="205"/>
    </x:row>
    <x:row r="346" ht="60" customHeight="1">
      <x:c r="A346" s="262" t="str">
        <x:v>EEG-0098</x:v>
      </x:c>
      <x:c r="B346" s="263" t="str">
        <x:v>02_Healthcare_and_Disease</x:v>
      </x:c>
      <x:c r="C346" s="263" t="str">
        <x:v>Neurological_Disorders</x:v>
      </x:c>
      <x:c r="D346" s="263" t="str">
        <x:v>Tinnitus Acoustic Therapy EEG Database</x:v>
      </x:c>
      <x:c r="E346" s="263" t="str">
        <x:v>Tinnitus-EEG [EEG-0099]; Cuevas-Romero (2022) [EEG-0315]</x:v>
      </x:c>
      <x:c r="F346" s="263"/>
      <x:c r="G346" s="263" t="str">
        <x:v>DOWNLOAD_PUBLIC</x:v>
      </x:c>
      <x:c r="H346" s="263" t="str">
        <x:v>[Mendeley Data acoustic therapies for tinnitus](https://data.mendeley.com/datasets/kj443jc4yc) | https://data.mendeley.com/datasets/kj443jc4yc/2 | https://data.mendeley.com/datasets/kj443jc4yc/1</x:v>
      </x:c>
      <x:c r="I346" s="263" t="str">
        <x:v>tinnitus；auditory therapy response；clinical auditory EEG biomarkers；Acoustic therapy for tinnitus (longitudinal)；Resting-state (eyes-open/closed) + passive music + acoustic therapy listening + 3 soundscape conditions</x:v>
      </x:c>
      <x:c r="J346" s="263" t="str">
        <x:v>103 enrolled (89 tinnitus + 14 controls); 71 completed full protocol</x:v>
      </x:c>
      <x:c r="K346" s="263" t="str">
        <x:v>17</x:v>
      </x:c>
      <x:c r="L346" s="263" t="str">
        <x:v>256Hz</x:v>
      </x:c>
      <x:c r="M346" s="263" t="str">
        <x:v>EEGLAB</x:v>
      </x:c>
      <x:c r="N346" s="263" t="str">
        <x:v>raw</x:v>
      </x:c>
      <x:c r="O346" s="263" t="str">
        <x:v>公开下载：Mendeley Data acoustic therapies for tinnitus (https://data.mendeley.com/datasets/kj443jc4yc)；按页面提供的版本下载 EEG 数据和元数据。</x:v>
      </x:c>
      <x:c r="P346" s="263"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346" s="263" t="str">
        <x:v>02_Biometrics_and_Disease/Neurological_Disorders/Tinnitus_Acoustic_Therapy_EEG_Database</x:v>
      </x:c>
      <x:c r="R346" s="263" t="str">
        <x:v>存在公开仓库、官方入口或稳定数据访问号；2026-08-04去重：EEG-0099, EEG-0315并入EEG-0098（Mendeley dataset kj443jc4yc）</x:v>
      </x:c>
      <x:c r="S346" s="263"/>
      <x:c r="T346" s="263"/>
      <x:c r="U346" s="264"/>
    </x:row>
    <x:row r="347" ht="60" customHeight="1">
      <x:c r="A347" s="239" t="str">
        <x:v>EEG-0103</x:v>
      </x:c>
      <x:c r="B347" s="228" t="str">
        <x:v>02_Healthcare_and_Disease</x:v>
      </x:c>
      <x:c r="C347" s="228" t="str">
        <x:v>Clinical_Abnormalities</x:v>
      </x:c>
      <x:c r="D347" s="228" t="str">
        <x:v>MORGOTH HEEDB-Pretrain</x:v>
      </x:c>
      <x:c r="E347" s="228"/>
      <x:c r="F347" s="228"/>
      <x:c r="G347" s="228" t="str">
        <x:v>DOWNLOAD_PUBLIC</x:v>
      </x:c>
      <x:c r="H347" s="228" t="str">
        <x:v>[BDSP MORGOTH 1.0](https://bdsp.io/content/morgoth1/1.0.0/)</x:v>
      </x:c>
      <x:c r="I347" s="228" t="str">
        <x:v>clinical EEG pretraining; all 17 EEG findings</x:v>
      </x:c>
      <x:c r="J347" s="228" t="str">
        <x:v>14,500</x:v>
      </x:c>
      <x:c r="K347" s="228" t="str">
        <x:v>19</x:v>
      </x:c>
      <x:c r="L347" s="228" t="str">
        <x:v>200Hz after MORGOTH preprocessing</x:v>
      </x:c>
      <x:c r="M347" s="228" t="str">
        <x:v>MAT</x:v>
      </x:c>
      <x:c r="N347" s="228" t="str">
        <x:v>processed / standardized MAT</x:v>
      </x:c>
      <x:c r="O347" s="228" t="str">
        <x:v>BDSP credentialed access required; S3 bdsp-opendata-credentialed/morgoth1</x:v>
      </x:c>
      <x:c r="P347" s="228" t="str">
        <x:v>Sun et al. (2026), MORGOTH 1.0</x:v>
      </x:c>
      <x:c r="Q347" s="228" t="str">
        <x:v>02_Biometrics_and_Disease/Clinical_Abnormalities/MORGOTH_HEEDB-Pretrain</x:v>
      </x:c>
      <x:c r="R347" s="228" t="str">
        <x:v>存在公开仓库、官方入口或稳定数据访问号</x:v>
      </x:c>
      <x:c r="S347" s="228"/>
      <x:c r="T347" s="228"/>
      <x:c r="U347" s="205"/>
    </x:row>
    <x:row r="348" ht="60" customHeight="1">
      <x:c r="A348" s="262" t="str">
        <x:v>EEG-0104</x:v>
      </x:c>
      <x:c r="B348" s="263" t="str">
        <x:v>02_Healthcare_and_Disease</x:v>
      </x:c>
      <x:c r="C348" s="263" t="str">
        <x:v>Clinical_Abnormalities</x:v>
      </x:c>
      <x:c r="D348" s="263" t="str">
        <x:v>MORGOTH HEEDB-Test</x:v>
      </x:c>
      <x:c r="E348" s="263"/>
      <x:c r="F348" s="263"/>
      <x:c r="G348" s="263" t="str">
        <x:v>DOWNLOAD_PUBLIC</x:v>
      </x:c>
      <x:c r="H348" s="263" t="str">
        <x:v>[BDSP MORGOTH 1.0](https://bdsp.io/content/morgoth1/1.0.0/)</x:v>
      </x:c>
      <x:c r="I348" s="263" t="str">
        <x:v>internal validation clinical EEG; all 17 EEG findings</x:v>
      </x:c>
      <x:c r="J348" s="263" t="str">
        <x:v>8,527</x:v>
      </x:c>
      <x:c r="K348" s="263" t="str">
        <x:v>19</x:v>
      </x:c>
      <x:c r="L348" s="263" t="str">
        <x:v>200Hz after MORGOTH preprocessing</x:v>
      </x:c>
      <x:c r="M348" s="263" t="str">
        <x:v>MAT</x:v>
      </x:c>
      <x:c r="N348" s="263" t="str">
        <x:v>processed / standardized MAT</x:v>
      </x:c>
      <x:c r="O348" s="263" t="str">
        <x:v>BDSP credentialed access required</x:v>
      </x:c>
      <x:c r="P348" s="263" t="str">
        <x:v>Sun et al. (2026), MORGOTH 1.0</x:v>
      </x:c>
      <x:c r="Q348" s="263" t="str">
        <x:v>02_Biometrics_and_Disease/Clinical_Abnormalities/MORGOTH_HEEDB-Test</x:v>
      </x:c>
      <x:c r="R348" s="263" t="str">
        <x:v>存在公开仓库、官方入口或稳定数据访问号</x:v>
      </x:c>
      <x:c r="S348" s="263"/>
      <x:c r="T348" s="263"/>
      <x:c r="U348" s="264"/>
    </x:row>
    <x:row r="349" ht="60" customHeight="1">
      <x:c r="A349" s="239" t="str">
        <x:v>EEG-0105</x:v>
      </x:c>
      <x:c r="B349" s="228" t="str">
        <x:v>02_Healthcare_and_Disease</x:v>
      </x:c>
      <x:c r="C349" s="228" t="str">
        <x:v>Clinical_Abnormalities</x:v>
      </x:c>
      <x:c r="D349" s="228" t="str">
        <x:v>MORGOTH HEEDB-Train</x:v>
      </x:c>
      <x:c r="E349" s="228"/>
      <x:c r="F349" s="228"/>
      <x:c r="G349" s="228" t="str">
        <x:v>DOWNLOAD_PUBLIC</x:v>
      </x:c>
      <x:c r="H349" s="228" t="str">
        <x:v>[BDSP MORGOTH 1.0](https://bdsp.io/content/morgoth1/1.0.0/)</x:v>
      </x:c>
      <x:c r="I349" s="228" t="str">
        <x:v>fine-tuning clinical EEG; all 17 EEG findings</x:v>
      </x:c>
      <x:c r="J349" s="228" t="str">
        <x:v>10,851</x:v>
      </x:c>
      <x:c r="K349" s="228" t="str">
        <x:v>19</x:v>
      </x:c>
      <x:c r="L349" s="228" t="str">
        <x:v>200Hz after MORGOTH preprocessing</x:v>
      </x:c>
      <x:c r="M349" s="228" t="str">
        <x:v>MAT</x:v>
      </x:c>
      <x:c r="N349" s="228" t="str">
        <x:v>processed / standardized MAT</x:v>
      </x:c>
      <x:c r="O349" s="228" t="str">
        <x:v>BDSP credentialed access required</x:v>
      </x:c>
      <x:c r="P349" s="228" t="str">
        <x:v>Sun et al. (2026), MORGOTH 1.0</x:v>
      </x:c>
      <x:c r="Q349" s="228" t="str">
        <x:v>02_Biometrics_and_Disease/Clinical_Abnormalities/MORGOTH_HEEDB-Train</x:v>
      </x:c>
      <x:c r="R349" s="228" t="str">
        <x:v>存在公开仓库、官方入口或稳定数据访问号</x:v>
      </x:c>
      <x:c r="S349" s="228"/>
      <x:c r="T349" s="228"/>
      <x:c r="U349" s="205"/>
    </x:row>
    <x:row r="350" ht="60" customHeight="1">
      <x:c r="A350" s="262" t="str">
        <x:v>EEG-0106</x:v>
      </x:c>
      <x:c r="B350" s="263" t="str">
        <x:v>02_Healthcare_and_Disease</x:v>
      </x:c>
      <x:c r="C350" s="263" t="str">
        <x:v>Clinical_Abnormalities</x:v>
      </x:c>
      <x:c r="D350" s="263" t="str">
        <x:v>NMT Scalp EEG Dataset</x:v>
      </x:c>
      <x:c r="E350" s="263"/>
      <x:c r="F350" s="263"/>
      <x:c r="G350" s="263" t="str">
        <x:v>DOWNLOAD_PUBLIC</x:v>
      </x:c>
      <x:c r="H350" s="263" t="str">
        <x:v>https://github.com/dll-ncai/eeg_pre-diagnostic_screening</x:v>
      </x:c>
      <x:c r="I350" s="263" t="str">
        <x:v>Recording-level abnormality classification (out-of-distribution external validation, no finetuning); linear probing at 1%/10%/100% labels</x:v>
      </x:c>
      <x:c r="J350" s="263" t="str">
        <x:v>2,417 unique subjects (~625h total)</x:v>
      </x:c>
      <x:c r="K350" s="263" t="str">
        <x:v>19</x:v>
      </x:c>
      <x:c r="L350" s="263" t="str">
        <x:v>200 Hz</x:v>
      </x:c>
      <x:c r="M350" s="263" t="str">
        <x:v>EDF; labeled normal/abnormal</x:v>
      </x:c>
      <x:c r="N350" s="263" t="str">
        <x:v>Raw clinical EEG recordings with normal/abnormal labels</x:v>
      </x:c>
      <x:c r="O350" s="263" t="str">
        <x:v>Free (GitHub — CC BY-SA 4.0 license; no registration)</x:v>
      </x:c>
      <x:c r="P350" s="263" t="str">
        <x:v>Khan et al. (2022). The NMT Scalp EEG Dataset: An Open-Source Annotated Dataset of Healthy and Pathological EEG Recordings for Predictive Modeling. Frontiers in Neuroscience.</x:v>
      </x:c>
      <x:c r="Q350" s="263" t="str">
        <x:v>02_Biometrics_and_Disease/Clinical_Abnormalities/NMT_Scalp_EEG_Dataset</x:v>
      </x:c>
      <x:c r="R350" s="263" t="str">
        <x:v>存在公开仓库、官方入口或稳定数据访问号</x:v>
      </x:c>
      <x:c r="S350" s="263"/>
      <x:c r="T350" s="263"/>
      <x:c r="U350" s="264"/>
    </x:row>
    <x:row r="351" ht="60" customHeight="1">
      <x:c r="A351" s="239" t="str">
        <x:v>EEG-0111</x:v>
      </x:c>
      <x:c r="B351" s="228" t="str">
        <x:v>03_Consciousness_and_State</x:v>
      </x:c>
      <x:c r="C351" s="228" t="str">
        <x:v>Sleep_Staging</x:v>
      </x:c>
      <x:c r="D351" s="228" t="str">
        <x:v>APPLES</x:v>
      </x:c>
      <x:c r="E351" s="228"/>
      <x:c r="F351" s="228"/>
      <x:c r="G351" s="228" t="str">
        <x:v>DOWNLOAD_PUBLIC</x:v>
      </x:c>
      <x:c r="H351" s="228" t="str">
        <x:v>[NSRR APPLES](https://sleepdata.org/datasets/apples)</x:v>
      </x:c>
      <x:c r="I351" s="228" t="str">
        <x:v>External validation cohort for sleep staging (unseen during pre-training and fine-tuning)</x:v>
      </x:c>
      <x:c r="J351" s="228" t="str">
        <x:v>1096.0</x:v>
      </x:c>
      <x:c r="K351" s="228" t="str">
        <x:v>9.0</x:v>
      </x:c>
      <x:c r="L351" s="228" t="str">
        <x:v>128.0</x:v>
      </x:c>
      <x:c r="M351" s="228" t="str">
        <x:v>EDF / XML</x:v>
      </x:c>
      <x:c r="N351" s="228" t="str">
        <x:v>processed</x:v>
      </x:c>
      <x:c r="O351" s="228" t="str">
        <x:v>申请：NSRR APPLES；通过 sleepdata.org 账号申请权限，批准后网页或 `nsrr download apples` 下载。</x:v>
      </x:c>
      <x:c r="P351" s="228" t="str">
        <x:v>Kushida et al. (2006). The Apnea Positive Pressure Long-term Efficacy Study (APPLES): Rationale, Design, Methods, and Procedures. Journal of Clinical Sleep Medicine.</x:v>
      </x:c>
      <x:c r="Q351" s="228" t="str">
        <x:v>03_Consciousness_and_State/Sleep_Staging/APPLES</x:v>
      </x:c>
      <x:c r="R351" s="228" t="str">
        <x:v>存在公开仓库、官方入口或稳定数据访问号</x:v>
      </x:c>
      <x:c r="S351" s="228"/>
      <x:c r="T351" s="228"/>
      <x:c r="U351" s="205"/>
    </x:row>
    <x:row r="352" ht="60" customHeight="1">
      <x:c r="A352" s="262" t="str">
        <x:v>EEG-0115</x:v>
      </x:c>
      <x:c r="B352" s="263" t="str">
        <x:v>03_Consciousness_and_State</x:v>
      </x:c>
      <x:c r="C352" s="263" t="str">
        <x:v>Sleep_Staging</x:v>
      </x:c>
      <x:c r="D352" s="263" t="str">
        <x:v>CCSHS</x:v>
      </x:c>
      <x:c r="E352" s="263"/>
      <x:c r="F352" s="263"/>
      <x:c r="G352" s="263" t="str">
        <x:v>DOWNLOAD_PUBLIC</x:v>
      </x:c>
      <x:c r="H352" s="263" t="str">
        <x:v>[NSRR CCSHS](https://sleepdata.org/datasets/ccshs)</x:v>
      </x:c>
      <x:c r="I352" s="263" t="str">
        <x:v>Sleep stages, sleep-disordered breathing, blood pressure, neuropsychology and behavioral assessments</x:v>
      </x:c>
      <x:c r="J352" s="263" t="str">
        <x:v>515.0</x:v>
      </x:c>
      <x:c r="K352" s="263" t="str">
        <x:v>1.0</x:v>
      </x:c>
      <x:c r="L352" s="263" t="str">
        <x:v>64.0</x:v>
      </x:c>
      <x:c r="M352" s="263" t="str">
        <x:v>EEG spectrogram, VQGAN tokens</x:v>
      </x:c>
      <x:c r="N352" s="263" t="str">
        <x:v>processed</x:v>
      </x:c>
      <x:c r="O352" s="263" t="str">
        <x:v>申请：NSRR CCSHS (https://sleepdata.org/datasets/ccshs)；通过 sleepdata.org 账号申请权限，批准后网页或 `nsrr download ccshs` 下载。</x:v>
      </x:c>
      <x:c r="P352" s="263" t="str">
        <x:v>Rosen et al. (2003). Prevalence and Risk Factors for Sleep-Disordered Breathing in 8- to 11-Year-Old Children: Association with Race and Prematurity. Journal of Pediatrics, 142(4), 383-389.</x:v>
      </x:c>
      <x:c r="Q352" s="263" t="str">
        <x:v>03_Consciousness_and_State/Sleep_Staging/CCSHS</x:v>
      </x:c>
      <x:c r="R352" s="263" t="str">
        <x:v>存在公开仓库、官方入口或稳定数据访问号</x:v>
      </x:c>
      <x:c r="S352" s="263"/>
      <x:c r="T352" s="263"/>
      <x:c r="U352" s="264"/>
    </x:row>
    <x:row r="353" ht="60" customHeight="1">
      <x:c r="A353" s="239" t="str">
        <x:v>EEG-0116</x:v>
      </x:c>
      <x:c r="B353" s="228" t="str">
        <x:v>03_Consciousness_and_State</x:v>
      </x:c>
      <x:c r="C353" s="228" t="str">
        <x:v>Sleep_Staging</x:v>
      </x:c>
      <x:c r="D353" s="228" t="str">
        <x:v>CFS</x:v>
      </x:c>
      <x:c r="E353" s="228"/>
      <x:c r="F353" s="228"/>
      <x:c r="G353" s="228" t="str">
        <x:v>DOWNLOAD_PUBLIC</x:v>
      </x:c>
      <x:c r="H353" s="228" t="str">
        <x:v>https://sleepdata.org/datasets/cfs</x:v>
      </x:c>
      <x:c r="I353" s="228" t="str">
        <x:v>Sleep apnea / sleep stages / longitudinal clinical covariates / familial aggregation of sleep apnea</x:v>
      </x:c>
      <x:c r="J353" s="228" t="str">
        <x:v>735</x:v>
      </x:c>
      <x:c r="K353" s="228" t="str">
        <x:v>2 EEG channels + EOG, EMG, ECG, thoracic/abdominal effort, airflow</x:v>
      </x:c>
      <x:c r="L353" s="228" t="str">
        <x:v>128 Hz</x:v>
      </x:c>
      <x:c r="M353" s="228" t="str">
        <x:v>EEG spectrogram, VQGAN tokens</x:v>
      </x:c>
      <x:c r="N353" s="228" t="str">
        <x:v>Raw polysomnography + expert sleep staging and apnea annotations</x:v>
      </x:c>
      <x:c r="O353" s="228" t="str">
        <x:v>申请：NSRR CFS (https://sleepdata.org/datasets/cfs)；通过 sleepdata.org 账号申请权限，批准后网页或 `nsrr download cfs` 下载。</x:v>
      </x:c>
      <x:c r="P353" s="228" t="str">
        <x:v>Redline et al. (1995). The Familial Aggregation of Obstructive Sleep Apnea. American Journal of Respiratory and Critical Care Medicine, 151(3 Pt 1):682-687.</x:v>
      </x:c>
      <x:c r="Q353" s="228" t="str">
        <x:v>03_Consciousness_and_State/Sleep_Staging/CFS</x:v>
      </x:c>
      <x:c r="R353" s="228" t="str">
        <x:v>存在公开仓库、官方入口或稳定数据访问号</x:v>
      </x:c>
      <x:c r="S353" s="228"/>
      <x:c r="T353" s="228"/>
      <x:c r="U353" s="205"/>
    </x:row>
    <x:row r="354" ht="60" customHeight="1">
      <x:c r="A354" s="262" t="str">
        <x:v>EEG-0117</x:v>
      </x:c>
      <x:c r="B354" s="263" t="str">
        <x:v>03_Consciousness_and_State</x:v>
      </x:c>
      <x:c r="C354" s="263" t="str">
        <x:v>Sleep_Staging</x:v>
      </x:c>
      <x:c r="D354" s="263" t="str">
        <x:v>CHAT</x:v>
      </x:c>
      <x:c r="E354" s="263"/>
      <x:c r="F354" s="263"/>
      <x:c r="G354" s="263" t="str">
        <x:v>DOWNLOAD_APPLICATION_REQUIRED</x:v>
      </x:c>
      <x:c r="H354" s="263" t="str">
        <x:v>[NSRR CHAT](https://sleepdata.org/datasets/chat)</x:v>
      </x:c>
      <x:c r="I354" s="263" t="str">
        <x:v>pediatric OSA; sleep staging; adenotonsillectomy trial PSG</x:v>
      </x:c>
      <x:c r="J354" s="263" t="str">
        <x:v>1232.0</x:v>
      </x:c>
      <x:c r="K354" s="263" t="str">
        <x:v>1.0</x:v>
      </x:c>
      <x:c r="L354" s="263" t="str">
        <x:v>64.0</x:v>
      </x:c>
      <x:c r="M354" s="263" t="str">
        <x:v>EEG spectrogram, VQGAN tokens</x:v>
      </x:c>
      <x:c r="N354" s="263" t="str">
        <x:v>processed</x:v>
      </x:c>
      <x:c r="O354" s="263" t="str">
        <x:v>NSRR account + data request/DUA</x:v>
      </x:c>
      <x:c r="P354" s="263" t="str">
        <x:v>Marcus et al. (2013). A Randomized Trial of Adenotonsillectomy for Childhood Sleep Apnea. New England Journal of Medicine.</x:v>
      </x:c>
      <x:c r="Q354" s="263" t="str">
        <x:v>03_Consciousness_and_State/Sleep_Staging/CHAT</x:v>
      </x:c>
      <x:c r="R354" s="263" t="str">
        <x:v>官方数据存在，但需申请、签署协议或获得权限</x:v>
      </x:c>
      <x:c r="S354" s="263"/>
      <x:c r="T354" s="263"/>
      <x:c r="U354" s="264"/>
    </x:row>
    <x:row r="355" ht="60" customHeight="1">
      <x:c r="A355" s="239" t="str">
        <x:v>EEG-0121</x:v>
      </x:c>
      <x:c r="B355" s="228" t="str">
        <x:v>03_Consciousness_and_State</x:v>
      </x:c>
      <x:c r="C355" s="228" t="str">
        <x:v>Sleep_Staging</x:v>
      </x:c>
      <x:c r="D355" s="228" t="str">
        <x:v>DREAMS-SUB (DREAMS Subjects Database)</x:v>
      </x:c>
      <x:c r="E355" s="228" t="str">
        <x:v>DREAMS Sleep Databases</x:v>
      </x:c>
      <x:c r="F355" s="228" t="str">
        <x:v>Zenodo:2650142 | DOI:10.5281/zenodo.2650142</x:v>
      </x:c>
      <x:c r="G355" s="228" t="str">
        <x:v>DOWNLOAD_PUBLIC</x:v>
      </x:c>
      <x:c r="H355" s="228"/>
      <x:c r="I355" s="228" t="str">
        <x:v>Sleep staging</x:v>
      </x:c>
      <x:c r="J355" s="228" t="str">
        <x:v>20.0</x:v>
      </x:c>
      <x:c r="K355" s="228" t="str">
        <x:v>1.0</x:v>
      </x:c>
      <x:c r="L355" s="228" t="str">
        <x:v>200.0</x:v>
      </x:c>
      <x:c r="M355" s="228" t="str">
        <x:v>EDF</x:v>
      </x:c>
      <x:c r="N355" s="228" t="str">
        <x:v>raw</x:v>
      </x:c>
      <x:c r="O355" s="228" t="str">
        <x:v>no need</x:v>
      </x:c>
      <x:c r="P355" s="228" t="str">
        <x:v>Devuyst, Dutoit &amp; Kerkhofs (2005). The DREAMS Databases and Assessment Algorithm. Zenodo (https://doi.org/10.5281/zenodo.2650142)</x:v>
      </x:c>
      <x:c r="Q355" s="228" t="str">
        <x:v>03_Consciousness_and_State/Sleep_Staging/DREAMS-SUB_DREAMS_Subjects_Database</x:v>
      </x:c>
      <x:c r="R355" s="228" t="str">
        <x:v>存在公开仓库、官方入口或稳定数据访问号</x:v>
      </x:c>
      <x:c r="S355" s="228"/>
      <x:c r="T355" s="228"/>
      <x:c r="U355" s="205"/>
    </x:row>
    <x:row r="356" ht="60" customHeight="1">
      <x:c r="A356" s="262" t="str">
        <x:v>EEG-0128</x:v>
      </x:c>
      <x:c r="B356" s="263" t="str">
        <x:v>03_Consciousness_and_State</x:v>
      </x:c>
      <x:c r="C356" s="263" t="str">
        <x:v>Sleep_Staging</x:v>
      </x:c>
      <x:c r="D356" s="263" t="str">
        <x:v>ISRUC-Sleep</x:v>
      </x:c>
      <x:c r="E356" s="263"/>
      <x:c r="F356" s="263"/>
      <x:c r="G356" s="263" t="str">
        <x:v>DOWNLOAD_PUBLIC</x:v>
      </x:c>
      <x:c r="H356" s="263" t="str">
        <x:v>https://sleeptight.isr.uc.pt/</x:v>
      </x:c>
      <x:c r="I356" s="263" t="str">
        <x:v>Sleep stage classification (5-class, AASM)</x:v>
      </x:c>
      <x:c r="J356" s="263" t="str">
        <x:v>118 total (SG-I: 100; SG-II: 8 longitudinal; SG-III: 10)</x:v>
      </x:c>
      <x:c r="K356" s="263" t="str">
        <x:v>6 EEG (+EOG/EMG/ECG)</x:v>
      </x:c>
      <x:c r="L356" s="263" t="str">
        <x:v>200 Hz</x:v>
      </x:c>
      <x:c r="M356" s="263" t="str">
        <x:v>EDF / REC + scoring</x:v>
      </x:c>
      <x:c r="N356" s="263" t="str">
        <x:v>Raw + expert scoring</x:v>
      </x:c>
      <x:c r="O356" s="263" t="str">
        <x:v>Free public download</x:v>
      </x:c>
      <x:c r="P356" s="263" t="str">
        <x:v>ISRUC-Sleep: a comprehensive public dataset for sleep researchers. Khalighi et al., 2016, Computer Methods and Programs in Biomedicine 124:180-192.</x:v>
      </x:c>
      <x:c r="Q356" s="263" t="str">
        <x:v>03_Consciousness_and_State/Sleep_Staging/ISRUC-Sleep</x:v>
      </x:c>
      <x:c r="R356" s="263" t="str">
        <x:v>存在公开仓库、官方入口或稳定数据访问号</x:v>
      </x:c>
      <x:c r="S356" s="263"/>
      <x:c r="T356" s="263"/>
      <x:c r="U356" s="264"/>
    </x:row>
    <x:row r="357" ht="60" customHeight="1">
      <x:c r="A357" s="239" t="str">
        <x:v>EEG-0130</x:v>
      </x:c>
      <x:c r="B357" s="228" t="str">
        <x:v>03_Consciousness_and_State</x:v>
      </x:c>
      <x:c r="C357" s="228" t="str">
        <x:v>Sleep_Staging</x:v>
      </x:c>
      <x:c r="D357" s="228" t="str">
        <x:v>MASS</x:v>
      </x:c>
      <x:c r="E357" s="228"/>
      <x:c r="F357" s="228"/>
      <x:c r="G357" s="228" t="str">
        <x:v>DOWNLOAD_PUBLIC</x:v>
      </x:c>
      <x:c r="H357" s="228" t="str">
        <x:v>http://ceams-carsm.ca/mass/</x:v>
      </x:c>
      <x:c r="I357" s="228" t="str">
        <x:v>Sleep stages；也可用于睡眠微结构、spindle、arousal 等研究，具体标签取决于 subset</x:v>
      </x:c>
      <x:c r="J357" s="228" t="str">
        <x:v>200</x:v>
      </x:c>
      <x:c r="K357" s="228" t="str">
        <x:v>20 EEG (subset varies)</x:v>
      </x:c>
      <x:c r="L357" s="228" t="str">
        <x:v>256 Hz</x:v>
      </x:c>
      <x:c r="M357" s="228" t="str">
        <x:v>PSG (EDF); 30-s epochs</x:v>
      </x:c>
      <x:c r="N357" s="228" t="str">
        <x:v>Raw polysomnography + expert sleep stage annotations</x:v>
      </x:c>
      <x:c r="O357" s="228" t="str">
        <x:v>申请：MASS / CÉAMS (https://ceams-carsm.ca/en/mass/)；邮件至 `mass.cnmtl@ssss.gouv.qc.ca`，按需说明 biosignals / sleep stages / annotations 类型并提交所需文档。</x:v>
      </x:c>
      <x:c r="P357" s="228" t="str">
        <x:v>O'Reilly et al. (2014). Montreal Archive of Sleep Studies: an open-access resource for instrument benchmarking and exploratory research. Journal of Sleep Research.</x:v>
      </x:c>
      <x:c r="Q357" s="228" t="str">
        <x:v>03_Consciousness_and_State/Sleep_Staging/MASS</x:v>
      </x:c>
      <x:c r="R357" s="228" t="str">
        <x:v>存在公开仓库、官方入口或稳定数据访问号</x:v>
      </x:c>
      <x:c r="S357" s="228"/>
      <x:c r="T357" s="228"/>
      <x:c r="U357" s="205"/>
    </x:row>
    <x:row r="358" ht="60" customHeight="1">
      <x:c r="A358" s="262" t="str">
        <x:v>EEG-0131</x:v>
      </x:c>
      <x:c r="B358" s="263" t="str">
        <x:v>03_Consciousness_and_State</x:v>
      </x:c>
      <x:c r="C358" s="263" t="str">
        <x:v>Sleep_Staging</x:v>
      </x:c>
      <x:c r="D358" s="263" t="str">
        <x:v>MORGOTH BCH-PSG</x:v>
      </x:c>
      <x:c r="E358" s="263"/>
      <x:c r="F358" s="263"/>
      <x:c r="G358" s="263" t="str">
        <x:v>DOWNLOAD_PUBLIC</x:v>
      </x:c>
      <x:c r="H358" s="263" t="str">
        <x:v>[BDSP MORGOTH 1.0](https://bdsp.io/content/morgoth1/1.0.0/)</x:v>
      </x:c>
      <x:c r="I358" s="263" t="str">
        <x:v>5-class sleep staging</x:v>
      </x:c>
      <x:c r="J358" s="263" t="str">
        <x:v>1,000</x:v>
      </x:c>
      <x:c r="K358" s="263" t="str">
        <x:v>19-channel mode in MORGOTH</x:v>
      </x:c>
      <x:c r="L358" s="263" t="str">
        <x:v>200Hz after MORGOTH preprocessing</x:v>
      </x:c>
      <x:c r="M358" s="263" t="str">
        <x:v>MAT</x:v>
      </x:c>
      <x:c r="N358" s="263" t="str">
        <x:v>processed / standardized MAT</x:v>
      </x:c>
      <x:c r="O358" s="263" t="str">
        <x:v>BDSP credentialed access required</x:v>
      </x:c>
      <x:c r="P358" s="263" t="str">
        <x:v>Sun et al. (2026), MORGOTH 1.0</x:v>
      </x:c>
      <x:c r="Q358" s="263" t="str">
        <x:v>03_Consciousness_and_State/Sleep_Staging/MORGOTH_BCH-PSG</x:v>
      </x:c>
      <x:c r="R358" s="263" t="str">
        <x:v>存在公开仓库、官方入口或稳定数据访问号</x:v>
      </x:c>
      <x:c r="S358" s="263"/>
      <x:c r="T358" s="263"/>
      <x:c r="U358" s="264"/>
    </x:row>
    <x:row r="359" ht="60" customHeight="1">
      <x:c r="A359" s="239" t="str">
        <x:v>EEG-0132</x:v>
      </x:c>
      <x:c r="B359" s="228" t="str">
        <x:v>03_Consciousness_and_State</x:v>
      </x:c>
      <x:c r="C359" s="228" t="str">
        <x:v>Sleep_Staging</x:v>
      </x:c>
      <x:c r="D359" s="228" t="str">
        <x:v>MORGOTH MGH-PSG-Test</x:v>
      </x:c>
      <x:c r="E359" s="228"/>
      <x:c r="F359" s="228"/>
      <x:c r="G359" s="228" t="str">
        <x:v>DOWNLOAD_PUBLIC</x:v>
      </x:c>
      <x:c r="H359" s="228" t="str">
        <x:v>[BDSP MORGOTH 1.0](https://bdsp.io/content/morgoth1/1.0.0/)</x:v>
      </x:c>
      <x:c r="I359" s="228" t="str">
        <x:v>5-class sleep staging</x:v>
      </x:c>
      <x:c r="J359" s="228" t="str">
        <x:v>1,000</x:v>
      </x:c>
      <x:c r="K359" s="228" t="str">
        <x:v>19-channel mode in MORGOTH</x:v>
      </x:c>
      <x:c r="L359" s="228" t="str">
        <x:v>200Hz after MORGOTH preprocessing</x:v>
      </x:c>
      <x:c r="M359" s="228" t="str">
        <x:v>MAT</x:v>
      </x:c>
      <x:c r="N359" s="228" t="str">
        <x:v>processed / standardized MAT</x:v>
      </x:c>
      <x:c r="O359" s="228" t="str">
        <x:v>BDSP credentialed access required</x:v>
      </x:c>
      <x:c r="P359" s="228" t="str">
        <x:v>Sun et al. (2026), MORGOTH 1.0</x:v>
      </x:c>
      <x:c r="Q359" s="228" t="str">
        <x:v>03_Consciousness_and_State/Sleep_Staging/MORGOTH_MGH-PSG-Test</x:v>
      </x:c>
      <x:c r="R359" s="228" t="str">
        <x:v>存在公开仓库、官方入口或稳定数据访问号</x:v>
      </x:c>
      <x:c r="S359" s="228"/>
      <x:c r="T359" s="228"/>
      <x:c r="U359" s="205"/>
    </x:row>
    <x:row r="360" ht="60" customHeight="1">
      <x:c r="A360" s="262" t="str">
        <x:v>EEG-0133</x:v>
      </x:c>
      <x:c r="B360" s="263" t="str">
        <x:v>03_Consciousness_and_State</x:v>
      </x:c>
      <x:c r="C360" s="263" t="str">
        <x:v>Sleep_Staging</x:v>
      </x:c>
      <x:c r="D360" s="263" t="str">
        <x:v>MORGOTH MGH-PSG-Train</x:v>
      </x:c>
      <x:c r="E360" s="263"/>
      <x:c r="F360" s="263"/>
      <x:c r="G360" s="263" t="str">
        <x:v>DOWNLOAD_PUBLIC</x:v>
      </x:c>
      <x:c r="H360" s="263" t="str">
        <x:v>[BDSP MORGOTH 1.0](https://bdsp.io/content/morgoth1/1.0.0/)</x:v>
      </x:c>
      <x:c r="I360" s="263" t="str">
        <x:v>5-class sleep staging</x:v>
      </x:c>
      <x:c r="J360" s="263" t="str">
        <x:v>1,000</x:v>
      </x:c>
      <x:c r="K360" s="263" t="str">
        <x:v>19-channel mode in MORGOTH</x:v>
      </x:c>
      <x:c r="L360" s="263" t="str">
        <x:v>200Hz after MORGOTH preprocessing</x:v>
      </x:c>
      <x:c r="M360" s="263" t="str">
        <x:v>MAT</x:v>
      </x:c>
      <x:c r="N360" s="263" t="str">
        <x:v>processed / standardized MAT</x:v>
      </x:c>
      <x:c r="O360" s="263" t="str">
        <x:v>BDSP credentialed access required</x:v>
      </x:c>
      <x:c r="P360" s="263" t="str">
        <x:v>Sun et al. (2026), MORGOTH 1.0</x:v>
      </x:c>
      <x:c r="Q360" s="263" t="str">
        <x:v>03_Consciousness_and_State/Sleep_Staging/MORGOTH_MGH-PSG-Train</x:v>
      </x:c>
      <x:c r="R360" s="263" t="str">
        <x:v>存在公开仓库、官方入口或稳定数据访问号</x:v>
      </x:c>
      <x:c r="S360" s="263"/>
      <x:c r="T360" s="263"/>
      <x:c r="U360" s="264"/>
    </x:row>
    <x:row r="361" ht="60" customHeight="1">
      <x:c r="A361" s="239" t="str">
        <x:v>EEG-0134</x:v>
      </x:c>
      <x:c r="B361" s="228" t="str">
        <x:v>03_Consciousness_and_State</x:v>
      </x:c>
      <x:c r="C361" s="228" t="str">
        <x:v>Sleep_Staging</x:v>
      </x:c>
      <x:c r="D361" s="228" t="str">
        <x:v>MORGOTH UPenn PSG</x:v>
      </x:c>
      <x:c r="E361" s="228"/>
      <x:c r="F361" s="228"/>
      <x:c r="G361" s="228" t="str">
        <x:v>DOWNLOAD_PUBLIC</x:v>
      </x:c>
      <x:c r="H361" s="228" t="str">
        <x:v>[BDSP MORGOTH 1.0](https://bdsp.io/content/morgoth1/1.0.0/)</x:v>
      </x:c>
      <x:c r="I361" s="228" t="str">
        <x:v>5-class sleep staging external validation</x:v>
      </x:c>
      <x:c r="J361" s="228" t="str">
        <x:v>69</x:v>
      </x:c>
      <x:c r="K361" s="228" t="str">
        <x:v>19-channel mode in MORGOTH</x:v>
      </x:c>
      <x:c r="L361" s="228" t="str">
        <x:v>200Hz after MORGOTH preprocessing</x:v>
      </x:c>
      <x:c r="M361" s="228" t="str">
        <x:v>MAT</x:v>
      </x:c>
      <x:c r="N361" s="228" t="str">
        <x:v>processed / standardized MAT</x:v>
      </x:c>
      <x:c r="O361" s="228" t="str">
        <x:v>BDSP credentialed access required</x:v>
      </x:c>
      <x:c r="P361" s="228" t="str">
        <x:v>Sun et al. (2026), MORGOTH 1.0</x:v>
      </x:c>
      <x:c r="Q361" s="228" t="str">
        <x:v>03_Consciousness_and_State/Sleep_Staging/MORGOTH_UPenn_PSG</x:v>
      </x:c>
      <x:c r="R361" s="228" t="str">
        <x:v>存在公开仓库、官方入口或稳定数据访问号</x:v>
      </x:c>
      <x:c r="S361" s="228"/>
      <x:c r="T361" s="228"/>
      <x:c r="U361" s="205"/>
    </x:row>
    <x:row r="362" ht="60" customHeight="1">
      <x:c r="A362" s="262" t="str">
        <x:v>EEG-0135</x:v>
      </x:c>
      <x:c r="B362" s="263" t="str">
        <x:v>03_Consciousness_and_State</x:v>
      </x:c>
      <x:c r="C362" s="263" t="str">
        <x:v>Sleep_Staging</x:v>
      </x:c>
      <x:c r="D362" s="263" t="str">
        <x:v>MrOS Sleep</x:v>
      </x:c>
      <x:c r="E362" s="263"/>
      <x:c r="F362" s="263"/>
      <x:c r="G362" s="263" t="str">
        <x:v>DOWNLOAD_PUBLIC</x:v>
      </x:c>
      <x:c r="H362" s="263" t="str">
        <x:v>[NSRR MrOS](https://sleepdata.org/datasets/mros)</x:v>
      </x:c>
      <x:c r="I362" s="263" t="str">
        <x:v>Sleep stages, sleep-disordered breathing, actigraphy-derived sleep metrics, clinical covariates</x:v>
      </x:c>
      <x:c r="J362" s="263" t="str">
        <x:v>2,907（Visit 1）；1,026 为重复随访 Visit 2，不相加为唯一人数</x:v>
      </x:c>
      <x:c r="K362" s="263" t="str">
        <x:v>1.0</x:v>
      </x:c>
      <x:c r="L362" s="263" t="str">
        <x:v>64.0</x:v>
      </x:c>
      <x:c r="M362" s="263" t="str">
        <x:v>EEG spectrogram, VQGAN tokens</x:v>
      </x:c>
      <x:c r="N362" s="263" t="str">
        <x:v>processed</x:v>
      </x:c>
      <x:c r="O362" s="263" t="str">
        <x:v>申请：NSRR MrOS (https://sleepdata.org/datasets/mros)；通过 sleepdata.org 账号申请权限，批准后网页或 `nsrr download mros` 下载。</x:v>
      </x:c>
      <x:c r="P362" s="263" t="str">
        <x:v>Blackwell et al. (2011). Associations Between Sleep Architecture and Sleep-Disordered Breathing and Cognition in Older Community-Dwelling Men: The Osteoporotic Fractures in Men Sleep Study. Journal of the American Geriatrics Society.</x:v>
      </x:c>
      <x:c r="Q362" s="263" t="str">
        <x:v>03_Consciousness_and_State/Sleep_Staging/MrOS_Sleep</x:v>
      </x:c>
      <x:c r="R362" s="263" t="str">
        <x:v>存在公开仓库、官方入口或稳定数据访问号</x:v>
      </x:c>
      <x:c r="S362" s="263"/>
      <x:c r="T362" s="263"/>
      <x:c r="U362" s="264"/>
    </x:row>
    <x:row r="363" ht="60" customHeight="1">
      <x:c r="A363" s="239" t="str">
        <x:v>EEG-0141</x:v>
      </x:c>
      <x:c r="B363" s="228" t="str">
        <x:v>03_Consciousness_and_State</x:v>
      </x:c>
      <x:c r="C363" s="228" t="str">
        <x:v>Sleep_Staging</x:v>
      </x:c>
      <x:c r="D363" s="228" t="str">
        <x:v>SEED-SD</x:v>
      </x:c>
      <x:c r="E363" s="228"/>
      <x:c r="F363" s="228"/>
      <x:c r="G363" s="228" t="str">
        <x:v>DOWNLOAD_PUBLIC</x:v>
      </x:c>
      <x:c r="H363" s="228" t="str">
        <x:v>https://bcmi.sjtu.edu.cn/home/seed/seed-SD.html</x:v>
      </x:c>
      <x:c r="I363" s="228" t="str">
        <x:v>Emotion recognition under different sleep conditions (sleep deprivation, sleep recovery, normal sleep)</x:v>
      </x:c>
      <x:c r="J363" s="228" t="str">
        <x:v>40</x:v>
      </x:c>
      <x:c r="K363" s="228" t="str">
        <x:v>62 EEG</x:v>
      </x:c>
      <x:c r="L363" s="228" t="str">
        <x:v>Raw 1000 Hz; preprocessed 200 Hz</x:v>
      </x:c>
      <x:c r="M363" s="228" t="str">
        <x:v>CNT raw; NPY DE features; NPY eye features; XLSX eye raw</x:v>
      </x:c>
      <x:c r="N363" s="228" t="str">
        <x:v>Raw EEG, EEG DE features, eye movement raw/features</x:v>
      </x:c>
      <x:c r="O363" s="228" t="str">
        <x:v>Reported by ELASTIQ; obtain through BCMI/SEED family route if public, otherwise contact authors.</x:v>
      </x:c>
      <x:c r="P363" s="228" t="str">
        <x:v>ELASTIQ; Liu et al. (2026), EEG Foundation Models Tables VIII-XIV</x:v>
      </x:c>
      <x:c r="Q363" s="228" t="str">
        <x:v>03_Consciousness_and_State/Sleep_Staging/SEED-SD</x:v>
      </x:c>
      <x:c r="R363" s="228" t="str">
        <x:v>存在公开仓库、官方入口或稳定数据访问号</x:v>
      </x:c>
      <x:c r="S363" s="228"/>
      <x:c r="T363" s="228"/>
      <x:c r="U363" s="205"/>
    </x:row>
    <x:row r="364" ht="60" customHeight="1">
      <x:c r="A364" s="262" t="str">
        <x:v>EEG-0142</x:v>
      </x:c>
      <x:c r="B364" s="263" t="str">
        <x:v>03_Consciousness_and_State</x:v>
      </x:c>
      <x:c r="C364" s="263" t="str">
        <x:v>Sleep_Staging</x:v>
      </x:c>
      <x:c r="D364" s="263" t="str">
        <x:v>SHHS</x:v>
      </x:c>
      <x:c r="E364" s="263"/>
      <x:c r="F364" s="263"/>
      <x:c r="G364" s="263" t="str">
        <x:v>DOWNLOAD_PUBLIC</x:v>
      </x:c>
      <x:c r="H364" s="263" t="str">
        <x:v>https://sleepdata.org/datasets/shhs</x:v>
      </x:c>
      <x:c r="I364" s="263" t="str">
        <x:v>Sleep staging (5-class: Wake, N1, N2, N3, REM); source/target domain in generalizable sleep staging</x:v>
      </x:c>
      <x:c r="J364" s="263" t="str">
        <x:v>5,793（Visit 1）；2,651 为重复随访 Visit 2，不相加为唯一人数</x:v>
      </x:c>
      <x:c r="K364" s="263" t="str">
        <x:v>2 EEG (C3-A2, C4-A1) + EOG + EMG</x:v>
      </x:c>
      <x:c r="L364" s="263" t="str">
        <x:v>125 Hz</x:v>
      </x:c>
      <x:c r="M364" s="263" t="str">
        <x:v>PSG recordings; paper preprocessed to band-pass 0.3-35 Hz, resampled to 100 Hz, Z-score normalized</x:v>
      </x:c>
      <x:c r="N364" s="263" t="str">
        <x:v>Raw polysomnography + expert annotated sleep stages and respiratory events</x:v>
      </x:c>
      <x:c r="O364" s="263" t="str">
        <x:v>申请：NSRR SHHS (https://sleepdata.org/datasets/shhs)；通过 sleepdata.org 账号申请权限，批准后用网页或 `nsrr download shhs` 下载。</x:v>
      </x:c>
      <x:c r="P364" s="263" t="str">
        <x:v>Quan et al. (1997). The Sleep Heart Health Study: Design, Rationale, and Methods. Sleep.</x:v>
      </x:c>
      <x:c r="Q364" s="263" t="str">
        <x:v>03_Consciousness_and_State/Sleep_Staging/SHHS</x:v>
      </x:c>
      <x:c r="R364" s="263" t="str">
        <x:v>存在公开仓库、官方入口或稳定数据访问号</x:v>
      </x:c>
      <x:c r="S364" s="263"/>
      <x:c r="T364" s="263"/>
      <x:c r="U364" s="264"/>
    </x:row>
    <x:row r="365" ht="60" customHeight="1">
      <x:c r="A365" s="239" t="str">
        <x:v>EEG-0145</x:v>
      </x:c>
      <x:c r="B365" s="228" t="str">
        <x:v>03_Consciousness_and_State</x:v>
      </x:c>
      <x:c r="C365" s="228" t="str">
        <x:v>Sleep_Staging</x:v>
      </x:c>
      <x:c r="D365" s="228" t="str">
        <x:v>SOF</x:v>
      </x:c>
      <x:c r="E365" s="228"/>
      <x:c r="F365" s="228"/>
      <x:c r="G365" s="228" t="str">
        <x:v>DOWNLOAD_PUBLIC</x:v>
      </x:c>
      <x:c r="H365" s="228" t="str">
        <x:v>[NSRR SOF](https://sleepdata.org/datasets/sof)</x:v>
      </x:c>
      <x:c r="I365" s="228" t="str">
        <x:v>sleep stages；sleep-disordered breathing；older-women cohort covariates</x:v>
      </x:c>
      <x:c r="J365" s="228" t="str">
        <x:v>453.0</x:v>
      </x:c>
      <x:c r="K365" s="228" t="str">
        <x:v>1.0</x:v>
      </x:c>
      <x:c r="L365" s="228" t="str">
        <x:v>64.0</x:v>
      </x:c>
      <x:c r="M365" s="228" t="str">
        <x:v>EEG spectrogram, VQGAN tokens</x:v>
      </x:c>
      <x:c r="N365" s="228" t="str">
        <x:v>processed</x:v>
      </x:c>
      <x:c r="O365" s="228" t="str">
        <x:v>申请：NSRR SOF；通过 sleepdata.org 账号申请权限，批准后网页或 `nsrr download sof` 下载。</x:v>
      </x:c>
      <x:c r="P365" s="228" t="str">
        <x:v>Cummings et al. (1990). Appendicular Bone Density and Age Predict Hip Fracture in Women. JAMA, 263(5):665-668.</x:v>
      </x:c>
      <x:c r="Q365" s="228" t="str">
        <x:v>03_Consciousness_and_State/Sleep_Staging/SOF</x:v>
      </x:c>
      <x:c r="R365" s="228" t="str">
        <x:v>存在公开仓库、官方入口或稳定数据访问号</x:v>
      </x:c>
      <x:c r="S365" s="228"/>
      <x:c r="T365" s="228"/>
      <x:c r="U365" s="205"/>
    </x:row>
    <x:row r="366" ht="60" customHeight="1">
      <x:c r="A366" s="262" t="str">
        <x:v>EEG-0148</x:v>
      </x:c>
      <x:c r="B366" s="263" t="str">
        <x:v>03_Consciousness_and_State</x:v>
      </x:c>
      <x:c r="C366" s="263" t="str">
        <x:v>Sleep_Staging</x:v>
      </x:c>
      <x:c r="D366" s="263" t="str">
        <x:v>WSC</x:v>
      </x:c>
      <x:c r="E366" s="263"/>
      <x:c r="F366" s="263"/>
      <x:c r="G366" s="263" t="str">
        <x:v>DOWNLOAD_PUBLIC</x:v>
      </x:c>
      <x:c r="H366" s="263" t="str">
        <x:v>https://sleepdata.org/datasets/wsc</x:v>
      </x:c>
      <x:c r="I366" s="263" t="str">
        <x:v>Sleep EEG synthesis (external test); downstream age/sex/sleep-stage</x:v>
      </x:c>
      <x:c r="J366" s="263" t="str">
        <x:v>1500</x:v>
      </x:c>
      <x:c r="K366" s="263" t="str">
        <x:v>1.0</x:v>
      </x:c>
      <x:c r="L366" s="263" t="str">
        <x:v>100 Hz / 200 Hz</x:v>
      </x:c>
      <x:c r="M366" s="263" t="str">
        <x:v>EEG spectrogram, VQGAN tokens</x:v>
      </x:c>
      <x:c r="N366" s="263" t="str">
        <x:v>Raw polysomnography + expert clinical sleep scoring annotations</x:v>
      </x:c>
      <x:c r="O366" s="263" t="str">
        <x:v>Requires NSRR account and approved research proposal</x:v>
      </x:c>
      <x:c r="P366" s="263" t="str">
        <x:v>Young et al. (1993). The Occurrence of Sleep-Disordered Breathing Among Middle-Aged Adults. New England Journal of Medicine, 328(17):1230-1235.</x:v>
      </x:c>
      <x:c r="Q366" s="263" t="str">
        <x:v>03_Consciousness_and_State/Sleep_Staging/WSC</x:v>
      </x:c>
      <x:c r="R366" s="263" t="str">
        <x:v>存在公开仓库、官方入口或稳定数据访问号</x:v>
      </x:c>
      <x:c r="S366" s="263"/>
      <x:c r="T366" s="263"/>
      <x:c r="U366" s="264"/>
    </x:row>
    <x:row r="367" ht="60" customHeight="1">
      <x:c r="A367" s="239" t="str">
        <x:v>EEG-0164</x:v>
      </x:c>
      <x:c r="B367" s="228" t="str">
        <x:v>04_Cognition_and_Emotion</x:v>
      </x:c>
      <x:c r="C367" s="228" t="str">
        <x:v>Vigilance_Detection</x:v>
      </x:c>
      <x:c r="D367" s="228" t="str">
        <x:v>SEED-VIG</x:v>
      </x:c>
      <x:c r="E367" s="228"/>
      <x:c r="F367" s="228"/>
      <x:c r="G367" s="228" t="str">
        <x:v>DOWNLOAD_APPLICATION_REQUIRED</x:v>
      </x:c>
      <x:c r="H367" s="228" t="str">
        <x:v>https://bcmi.sjtu.edu.cn/home/seed/seed-vig.html</x:v>
      </x:c>
      <x:c r="I367" s="228" t="str">
        <x:v>Vigilance estimation (continuous PERCLOS)</x:v>
      </x:c>
      <x:c r="J367" s="228" t="str">
        <x:v>23</x:v>
      </x:c>
      <x:c r="K367" s="228" t="str">
        <x:v>17 EEG (+forehead)</x:v>
      </x:c>
      <x:c r="L367" s="228" t="str">
        <x:v>1000.0</x:v>
      </x:c>
      <x:c r="M367" s="228" t="str">
        <x:v>MAT</x:v>
      </x:c>
      <x:c r="N367" s="228" t="str">
        <x:v>Processed (segmented; DE &amp; PSD features)</x:v>
      </x:c>
      <x:c r="O367" s="228" t="str">
        <x:v>Free academic use; signed license/application</x:v>
      </x:c>
      <x:c r="P367" s="228" t="str">
        <x:v>A multimodal approach to estimating vigilance using EEG and forehead EOG (SEED-VIG). Zheng &amp; Lu, 2017, Journal of Neural Engineering 14(2):026017.</x:v>
      </x:c>
      <x:c r="Q367" s="228" t="str">
        <x:v>04_Cognition_and_Emotion/Vigilance_Detection/SEED-VIG</x:v>
      </x:c>
      <x:c r="R367" s="228" t="str">
        <x:v>官方数据存在，但需申请、签署协议或获得权限</x:v>
      </x:c>
      <x:c r="S367" s="228"/>
      <x:c r="T367" s="228"/>
      <x:c r="U367" s="205"/>
    </x:row>
    <x:row r="368" ht="60" customHeight="1">
      <x:c r="A368" s="262" t="str">
        <x:v>EEG-0176</x:v>
      </x:c>
      <x:c r="B368" s="263" t="str">
        <x:v>04_Cognition_and_Emotion</x:v>
      </x:c>
      <x:c r="C368" s="263" t="str">
        <x:v>Emotion_Recognition</x:v>
      </x:c>
      <x:c r="D368" s="263" t="str">
        <x:v>EEG-SVRec</x:v>
      </x:c>
      <x:c r="E368" s="263" t="str">
        <x:v>EEG-SvRec</x:v>
      </x:c>
      <x:c r="F368" s="263"/>
      <x:c r="G368" s="263" t="str">
        <x:v>DOWNLOAD_APPLICATION_REQUIRED</x:v>
      </x:c>
      <x:c r="H368" s="263" t="str">
        <x:v>https://huggingface.co/datasets/hezy18/EEG-SVRec/</x:v>
      </x:c>
      <x:c r="I368" s="263" t="str">
        <x:v>Affective engagement/preference during short-video browsing</x:v>
      </x:c>
      <x:c r="J368" s="263" t="str">
        <x:v>30</x:v>
      </x:c>
      <x:c r="K368" s="263" t="str">
        <x:v>62 (64-cap)</x:v>
      </x:c>
      <x:c r="L368" s="263" t="str">
        <x:v>1000 Hz</x:v>
      </x:c>
      <x:c r="M368" s="263" t="str">
        <x:v>Neuroscan (.cnt) + DE (JSON)</x:v>
      </x:c>
      <x:c r="N368" s="263" t="str">
        <x:v>Processed (cleaned + DE features)</x:v>
      </x:c>
      <x:c r="O368" s="263" t="str">
        <x:v>Public on Hugging Face; redistribution of modified copies restricted</x:v>
      </x:c>
      <x:c r="P368" s="263" t="str">
        <x:v>EEG-SVRec: an EEG dataset with user multidimensional affective engagement labels in short video recommendation. Zhang et al., 2024, SIGIR 2024 (arXiv:2404.01008).</x:v>
      </x:c>
      <x:c r="Q368" s="263" t="str">
        <x:v>04_Cognition_and_Emotion/Emotion_Recognition/EEG-SVRec</x:v>
      </x:c>
      <x:c r="R368" s="263" t="str">
        <x:v>官方数据存在，但需申请、签署协议或获得权限</x:v>
      </x:c>
      <x:c r="S368" s="263"/>
      <x:c r="T368" s="263"/>
      <x:c r="U368" s="264"/>
    </x:row>
    <x:row r="369" ht="60" customHeight="1">
      <x:c r="A369" s="239" t="str">
        <x:v>EEG-0180</x:v>
      </x:c>
      <x:c r="B369" s="228" t="str">
        <x:v>04_Cognition_and_Emotion</x:v>
      </x:c>
      <x:c r="C369" s="228" t="str">
        <x:v>Emotion_Recognition</x:v>
      </x:c>
      <x:c r="D369" s="228" t="str">
        <x:v>eNTERFACE 2006 (Emobrain) Dataset</x:v>
      </x:c>
      <x:c r="E369" s="228" t="str">
        <x:v>Emobrain [EEG-0177]</x:v>
      </x:c>
      <x:c r="F369" s="228"/>
      <x:c r="G369" s="228" t="str">
        <x:v>DOWNLOAD_PUBLIC</x:v>
      </x:c>
      <x:c r="H369" s="228" t="str">
        <x:v>https://archive-ouverte.unige.ch/unige:47926 | [eNTERFACE'06 results](http://www.enterface.net/results/)</x:v>
      </x:c>
      <x:c r="I369" s="228" t="str">
        <x:v>Emotion recognition；multimodal emotion recognition; IAPS emotion elicitation</x:v>
      </x:c>
      <x:c r="J369" s="228" t="str">
        <x:v>5</x:v>
      </x:c>
      <x:c r="K369" s="228" t="str">
        <x:v>54 EEG channels</x:v>
      </x:c>
      <x:c r="L369" s="228" t="str">
        <x:v>1024 Hz；参与者1的第一次会话为256 Hz</x:v>
      </x:c>
      <x:c r="M369" s="228" t="str">
        <x:v>Biosemi BDF</x:v>
      </x:c>
      <x:c r="N369" s="228" t="str">
        <x:v>Raw multimodal EEG and fNIRS data</x:v>
      </x:c>
      <x:c r="O369" s="228" t="str">
        <x:v>Requires request to project authors</x:v>
      </x:c>
      <x:c r="P369" s="228" t="str">
        <x:v>Savran et al. 2006；Savran et al. (2006); LaBraM/NeuroLM dataset table</x:v>
      </x:c>
      <x:c r="Q369" s="228" t="str">
        <x:v>04_Cognition_and_Emotion/Emotion_Recognition/eNTERFACE_2006_Emobrain_Dataset</x:v>
      </x:c>
      <x:c r="R369" s="228" t="str">
        <x:v>Canonical five-subject release; EEG-0177 removed as a duplicate after user review on 2026-08-04</x:v>
      </x:c>
      <x:c r="S369" s="228"/>
      <x:c r="T369" s="228"/>
      <x:c r="U369" s="205"/>
    </x:row>
    <x:row r="370" ht="60" customHeight="1">
      <x:c r="A370" s="262" t="str">
        <x:v>EEG-0186</x:v>
      </x:c>
      <x:c r="B370" s="263" t="str">
        <x:v>04_Cognition_and_Emotion</x:v>
      </x:c>
      <x:c r="C370" s="263" t="str">
        <x:v>Emotion_Recognition</x:v>
      </x:c>
      <x:c r="D370" s="263" t="str">
        <x:v>MPED</x:v>
      </x:c>
      <x:c r="E370" s="263"/>
      <x:c r="F370" s="263"/>
      <x:c r="G370" s="263" t="str">
        <x:v>DOWNLOAD_APPLICATION_REQUIRED</x:v>
      </x:c>
      <x:c r="H370" s="263" t="str">
        <x:v>[MPED GitHub](https://github.com/Tengfei000/MPED)</x:v>
      </x:c>
      <x:c r="I370" s="263" t="str">
        <x:v>discrete emotion recognition from EEG + GSR + respiration + ECG</x:v>
      </x:c>
      <x:c r="J370" s="263" t="str">
        <x:v>23</x:v>
      </x:c>
      <x:c r="K370" s="263" t="str">
        <x:v>62 EEG + 3 peripheral channels</x:v>
      </x:c>
      <x:c r="L370" s="263" t="str">
        <x:v>1000 Hz</x:v>
      </x:c>
      <x:c r="M370" s="263" t="str">
        <x:v>MAT (MATLAB); raw signals and precomputed feature sets (HHS, Hjorth, PSD, STFT, HOC)</x:v>
      </x:c>
      <x:c r="N370" s="263" t="str">
        <x:v>Raw and processed EEG + peripheral signals</x:v>
      </x:c>
      <x:c r="O370" s="263" t="str">
        <x:v>Academic use agreement required (via BCMI Lab)</x:v>
      </x:c>
      <x:c r="P370" s="263" t="str">
        <x:v>Song et al. (2019). MPED: A Multi-Modal Physiological Emotion Database for Discrete Emotion Recognition. IEEE Access.</x:v>
      </x:c>
      <x:c r="Q370" s="263" t="str">
        <x:v>04_Cognition_and_Emotion/Emotion_Recognition/MPED</x:v>
      </x:c>
      <x:c r="R370" s="263" t="str">
        <x:v>官方数据存在，但需申请、签署协议或获得权限</x:v>
      </x:c>
      <x:c r="S370" s="263"/>
      <x:c r="T370" s="263"/>
      <x:c r="U370" s="264"/>
    </x:row>
    <x:row r="371" ht="60" customHeight="1">
      <x:c r="A371" s="239" t="str">
        <x:v>EEG-0190</x:v>
      </x:c>
      <x:c r="B371" s="228" t="str">
        <x:v>04_Cognition_and_Emotion</x:v>
      </x:c>
      <x:c r="C371" s="228" t="str">
        <x:v>Emotion_Recognition</x:v>
      </x:c>
      <x:c r="D371" s="228" t="str">
        <x:v>SEED</x:v>
      </x:c>
      <x:c r="E371" s="228"/>
      <x:c r="F371" s="228"/>
      <x:c r="G371" s="228" t="str">
        <x:v>DOWNLOAD_APPLICATION_REQUIRED</x:v>
      </x:c>
      <x:c r="H371" s="228" t="str">
        <x:v>https://bcmi.sjtu.edu.cn/home/seed/seed.html</x:v>
      </x:c>
      <x:c r="I371" s="228" t="str">
        <x:v>Emotion 3-class (pos/neutral/neg)</x:v>
      </x:c>
      <x:c r="J371" s="228" t="str">
        <x:v>15</x:v>
      </x:c>
      <x:c r="K371" s="228" t="str">
        <x:v>62</x:v>
      </x:c>
      <x:c r="L371" s="228" t="str">
        <x:v>Raw CNT 1000 Hz; preprocessed MAT downsampled to 200 Hz</x:v>
      </x:c>
      <x:c r="M371" s="228" t="str">
        <x:v>Neuroscan (.cnt) / MAT</x:v>
      </x:c>
      <x:c r="N371" s="228" t="str">
        <x:v>Both (raw + preprocessed + DE/DASM/RASM)</x:v>
      </x:c>
      <x:c r="O371" s="228" t="str">
        <x:v>Free academic use; signed license/application</x:v>
      </x:c>
      <x:c r="P371" s="228" t="str">
        <x:v>Investigating critical frequency bands and channels for EEG-based emotion recognition with deep neural networks (SEED). Zheng &amp; Lu, 2015, IEEE Transactions on Autonomous Mental Development 7(3):162-175.</x:v>
      </x:c>
      <x:c r="Q371" s="228" t="str">
        <x:v>04_Cognition_and_Emotion/Emotion_Recognition/SEED</x:v>
      </x:c>
      <x:c r="R371" s="228" t="str">
        <x:v>官方数据存在，但需申请、签署协议或获得权限</x:v>
      </x:c>
      <x:c r="S371" s="228"/>
      <x:c r="T371" s="228"/>
      <x:c r="U371" s="205"/>
    </x:row>
    <x:row r="372" ht="60" customHeight="1">
      <x:c r="A372" s="262" t="str">
        <x:v>EEG-0191</x:v>
      </x:c>
      <x:c r="B372" s="263" t="str">
        <x:v>04_Cognition_and_Emotion</x:v>
      </x:c>
      <x:c r="C372" s="263" t="str">
        <x:v>Emotion_Recognition</x:v>
      </x:c>
      <x:c r="D372" s="263" t="str">
        <x:v>SEED-DV</x:v>
      </x:c>
      <x:c r="E372" s="263"/>
      <x:c r="F372" s="263"/>
      <x:c r="G372" s="263" t="str">
        <x:v>DOWNLOAD_APPLICATION_REQUIRED</x:v>
      </x:c>
      <x:c r="H372" s="263" t="str">
        <x:v>https://bcmi.sjtu.edu.cn/home/eeg2video/</x:v>
      </x:c>
      <x:c r="I372" s="263" t="str">
        <x:v>Dynamic visual perception decoding; EEG-to-video reconstruction (40 concepts in 9 classes)</x:v>
      </x:c>
      <x:c r="J372" s="263" t="str">
        <x:v>20</x:v>
      </x:c>
      <x:c r="K372" s="263" t="str">
        <x:v>62 EEG</x:v>
      </x:c>
      <x:c r="L372" s="263" t="str">
        <x:v>Raw 1000 Hz; preprocessed 200 Hz</x:v>
      </x:c>
      <x:c r="M372" s="263" t="str">
        <x:v>CNT raw; preprocessed MAT/features; GIF stimuli</x:v>
      </x:c>
      <x:c r="N372" s="263" t="str">
        <x:v>Raw EEG, preprocessed EEG, video stimuli and annotations</x:v>
      </x:c>
      <x:c r="O372" s="263" t="str">
        <x:v>Apply/download via SJTU BCMI; EEG with video stimuli metadata</x:v>
      </x:c>
      <x:c r="P372" s="263" t="str">
        <x:v>https://bcmi.sjtu.edu.cn/home/eeg2video/</x:v>
      </x:c>
      <x:c r="Q372" s="263" t="str">
        <x:v>04_Cognition_and_Emotion/Emotion_Recognition/SEED-DV</x:v>
      </x:c>
      <x:c r="R372" s="263" t="str">
        <x:v>官方数据存在，但需申请、签署协议或获得权限</x:v>
      </x:c>
      <x:c r="S372" s="263"/>
      <x:c r="T372" s="263"/>
      <x:c r="U372" s="264"/>
    </x:row>
    <x:row r="373" ht="60" customHeight="1">
      <x:c r="A373" s="239" t="str">
        <x:v>EEG-0192</x:v>
      </x:c>
      <x:c r="B373" s="228" t="str">
        <x:v>04_Cognition_and_Emotion</x:v>
      </x:c>
      <x:c r="C373" s="228" t="str">
        <x:v>Emotion_Recognition</x:v>
      </x:c>
      <x:c r="D373" s="228" t="str">
        <x:v>SEED-FRA</x:v>
      </x:c>
      <x:c r="E373" s="228"/>
      <x:c r="F373" s="228"/>
      <x:c r="G373" s="228" t="str">
        <x:v>DOWNLOAD_APPLICATION_REQUIRED</x:v>
      </x:c>
      <x:c r="H373" s="228" t="str">
        <x:v>https://bcmi.sjtu.edu.cn/home/seed/seed-FRA.html</x:v>
      </x:c>
      <x:c r="I373" s="228" t="str">
        <x:v>Emotion 3-class (French film stimuli)</x:v>
      </x:c>
      <x:c r="J373" s="228" t="str">
        <x:v>8</x:v>
      </x:c>
      <x:c r="K373" s="228" t="str">
        <x:v>62</x:v>
      </x:c>
      <x:c r="L373" s="228" t="str">
        <x:v>Raw CNT 1000 Hz</x:v>
      </x:c>
      <x:c r="M373" s="228" t="str">
        <x:v>MAT</x:v>
      </x:c>
      <x:c r="N373" s="228" t="str">
        <x:v>Both (raw + DE; eye features)</x:v>
      </x:c>
      <x:c r="O373" s="228" t="str">
        <x:v>Free academic use; signed license + apply</x:v>
      </x:c>
      <x:c r="P373" s="228" t="str">
        <x:v>Identifying similarities and differences in emotion recognition with EEG and eye movements among Chinese, German, and French people (SEED-FRA). Liu et al., 2022, Journal of Neural Engineering 19(2):026012.</x:v>
      </x:c>
      <x:c r="Q373" s="228" t="str">
        <x:v>04_Cognition_and_Emotion/Emotion_Recognition/SEED-FRA</x:v>
      </x:c>
      <x:c r="R373" s="228" t="str">
        <x:v>官方数据存在，但需申请、签署协议或获得权限</x:v>
      </x:c>
      <x:c r="S373" s="228"/>
      <x:c r="T373" s="228"/>
      <x:c r="U373" s="205"/>
    </x:row>
    <x:row r="374" ht="60" customHeight="1">
      <x:c r="A374" s="262" t="str">
        <x:v>EEG-0193</x:v>
      </x:c>
      <x:c r="B374" s="263" t="str">
        <x:v>04_Cognition_and_Emotion</x:v>
      </x:c>
      <x:c r="C374" s="263" t="str">
        <x:v>Emotion_Recognition</x:v>
      </x:c>
      <x:c r="D374" s="263" t="str">
        <x:v>SEED-GER</x:v>
      </x:c>
      <x:c r="E374" s="263"/>
      <x:c r="F374" s="263"/>
      <x:c r="G374" s="263" t="str">
        <x:v>DOWNLOAD_APPLICATION_REQUIRED</x:v>
      </x:c>
      <x:c r="H374" s="263" t="str">
        <x:v>https://bcmi.sjtu.edu.cn/home/seed/seed-GER.html</x:v>
      </x:c>
      <x:c r="I374" s="263" t="str">
        <x:v>3-class emotion: positive, neutral, negative; EEG + eye movement</x:v>
      </x:c>
      <x:c r="J374" s="263" t="str">
        <x:v>8</x:v>
      </x:c>
      <x:c r="K374" s="263" t="str">
        <x:v>62 EEG</x:v>
      </x:c>
      <x:c r="L374" s="263" t="str">
        <x:v>Raw CNT 1000 Hz</x:v>
      </x:c>
      <x:c r="M374" s="263" t="str">
        <x:v>CNT raw; DE features; eye-tracking Excel/features</x:v>
      </x:c>
      <x:c r="N374" s="263" t="str">
        <x:v>Raw EEG, EEG DE features, eye movement raw/features</x:v>
      </x:c>
      <x:c r="O374" s="263" t="str">
        <x:v>BCMI academic application; download link/password by request.</x:v>
      </x:c>
      <x:c r="P374" s="263" t="str">
        <x:v>Liu et al. (2022); LaBraM/NeuroLM/BrainGPT/EEGPT2 dataset tables</x:v>
      </x:c>
      <x:c r="Q374" s="263" t="str">
        <x:v>04_Cognition_and_Emotion/Emotion_Recognition/SEED-GER</x:v>
      </x:c>
      <x:c r="R374" s="263" t="str">
        <x:v>官方数据存在，但需申请、签署协议或获得权限</x:v>
      </x:c>
      <x:c r="S374" s="263"/>
      <x:c r="T374" s="263"/>
      <x:c r="U374" s="264"/>
    </x:row>
    <x:row r="375" ht="60" customHeight="1">
      <x:c r="A375" s="239" t="str">
        <x:v>EEG-0194</x:v>
      </x:c>
      <x:c r="B375" s="228" t="str">
        <x:v>04_Cognition_and_Emotion</x:v>
      </x:c>
      <x:c r="C375" s="228" t="str">
        <x:v>Emotion_Recognition</x:v>
      </x:c>
      <x:c r="D375" s="228" t="str">
        <x:v>SEED-IV</x:v>
      </x:c>
      <x:c r="E375" s="228"/>
      <x:c r="F375" s="228"/>
      <x:c r="G375" s="228" t="str">
        <x:v>DOWNLOAD_APPLICATION_REQUIRED</x:v>
      </x:c>
      <x:c r="H375" s="228" t="str">
        <x:v>https://bcmi.sjtu.edu.cn/home/seed/seed-iv.html</x:v>
      </x:c>
      <x:c r="I375" s="228" t="str">
        <x:v>Emotion 4-class (happy/sad/fear/neutral)</x:v>
      </x:c>
      <x:c r="J375" s="228" t="str">
        <x:v>15 (7M/8F)</x:v>
      </x:c>
      <x:c r="K375" s="228" t="str">
        <x:v>62</x:v>
      </x:c>
      <x:c r="L375" s="228" t="str">
        <x:v>Raw CNT 1000 Hz(may change);Features downsampled to 200 Hz</x:v>
      </x:c>
      <x:c r="M375" s="228" t="str">
        <x:v>MAT</x:v>
      </x:c>
      <x:c r="N375" s="228" t="str">
        <x:v>Both (raw + preprocessed + DE/PSD)</x:v>
      </x:c>
      <x:c r="O375" s="228" t="str">
        <x:v>Free academic use; signed license + apply</x:v>
      </x:c>
      <x:c r="P375" s="228" t="str">
        <x:v>EmotionMeter: a multimodal framework for recognizing human emotions (SEED-IV). Zheng et al., 2018, IEEE Transactions on Cybernetics 49(3):1110-1122.</x:v>
      </x:c>
      <x:c r="Q375" s="228" t="str">
        <x:v>04_Cognition_and_Emotion/Emotion_Recognition/SEED-IV</x:v>
      </x:c>
      <x:c r="R375" s="228" t="str">
        <x:v>官方数据存在，但需申请、签署协议或获得权限</x:v>
      </x:c>
      <x:c r="S375" s="228"/>
      <x:c r="T375" s="228"/>
      <x:c r="U375" s="205"/>
    </x:row>
    <x:row r="376" ht="60" customHeight="1">
      <x:c r="A376" s="262" t="str">
        <x:v>EEG-0196</x:v>
      </x:c>
      <x:c r="B376" s="263" t="str">
        <x:v>04_Cognition_and_Emotion</x:v>
      </x:c>
      <x:c r="C376" s="263" t="str">
        <x:v>Emotion_Recognition</x:v>
      </x:c>
      <x:c r="D376" s="263" t="str">
        <x:v>SEED-V</x:v>
      </x:c>
      <x:c r="E376" s="263"/>
      <x:c r="F376" s="263"/>
      <x:c r="G376" s="263" t="str">
        <x:v>DOWNLOAD_APPLICATION_REQUIRED</x:v>
      </x:c>
      <x:c r="H376" s="263" t="str">
        <x:v>https://bcmi.sjtu.edu.cn/home/seed/seed-v.html</x:v>
      </x:c>
      <x:c r="I376" s="263" t="str">
        <x:v>Emotion 5-class (happy/sad/fear/disgust/neutral)</x:v>
      </x:c>
      <x:c r="J376" s="263" t="str">
        <x:v>16 (6M/10F)</x:v>
      </x:c>
      <x:c r="K376" s="263" t="str">
        <x:v>62</x:v>
      </x:c>
      <x:c r="L376" s="263" t="str">
        <x:v>1000.0</x:v>
      </x:c>
      <x:c r="M376" s="263" t="str">
        <x:v>MAT</x:v>
      </x:c>
      <x:c r="N376" s="263" t="str">
        <x:v>Both (raw + DE + 33-dim eye features)</x:v>
      </x:c>
      <x:c r="O376" s="263" t="str">
        <x:v>Free academic use; signed license + apply</x:v>
      </x:c>
      <x:c r="P376" s="263" t="str">
        <x:v>A multimodal emotion recognition dataset with five emotions (SEED-V). Liu et al., 2021, IEEE Transactions on Cognitive and Developmental Systems.</x:v>
      </x:c>
      <x:c r="Q376" s="263" t="str">
        <x:v>04_Cognition_and_Emotion/Emotion_Recognition/SEED-V</x:v>
      </x:c>
      <x:c r="R376" s="263" t="str">
        <x:v>官方数据存在，但需申请、签署协议或获得权限</x:v>
      </x:c>
      <x:c r="S376" s="263"/>
      <x:c r="T376" s="263"/>
      <x:c r="U376" s="264"/>
    </x:row>
    <x:row r="377" ht="60" customHeight="1">
      <x:c r="A377" s="239" t="str">
        <x:v>EEG-0197</x:v>
      </x:c>
      <x:c r="B377" s="228" t="str">
        <x:v>04_Cognition_and_Emotion</x:v>
      </x:c>
      <x:c r="C377" s="228" t="str">
        <x:v>Emotion_Recognition</x:v>
      </x:c>
      <x:c r="D377" s="228" t="str">
        <x:v>SEED-VII</x:v>
      </x:c>
      <x:c r="E377" s="228"/>
      <x:c r="F377" s="228"/>
      <x:c r="G377" s="228" t="str">
        <x:v>DOWNLOAD_APPLICATION_REQUIRED</x:v>
      </x:c>
      <x:c r="H377" s="228" t="str">
        <x:v>https://bcmi.sjtu.edu.cn/home/seed/seed-vii.html</x:v>
      </x:c>
      <x:c r="I377" s="228" t="str">
        <x:v>Emotion 7-class (multimodal + intensity)</x:v>
      </x:c>
      <x:c r="J377" s="228" t="str">
        <x:v>20 (10M/10F)</x:v>
      </x:c>
      <x:c r="K377" s="228" t="str">
        <x:v>62</x:v>
      </x:c>
      <x:c r="L377" s="228" t="str">
        <x:v>Raw 1000 Hz; downsampled to 200 Hz for features</x:v>
      </x:c>
      <x:c r="M377" s="228" t="str">
        <x:v>MAT</x:v>
      </x:c>
      <x:c r="N377" s="228" t="str">
        <x:v>Both (raw + preprocessed + DE; eye features)</x:v>
      </x:c>
      <x:c r="O377" s="228" t="str">
        <x:v>Public academic use; signed license + apply</x:v>
      </x:c>
      <x:c r="P377" s="228" t="str">
        <x:v>SEED-VII: a multimodal dataset of six basic emotions with continuous labels for emotion recognition. Jiang et al., 2024, IEEE Transactions on Affective Computing.</x:v>
      </x:c>
      <x:c r="Q377" s="228" t="str">
        <x:v>04_Cognition_and_Emotion/Emotion_Recognition/SEED-VII</x:v>
      </x:c>
      <x:c r="R377" s="228" t="str">
        <x:v>官方数据存在，但需申请、签署协议或获得权限</x:v>
      </x:c>
      <x:c r="S377" s="228"/>
      <x:c r="T377" s="228"/>
      <x:c r="U377" s="205"/>
    </x:row>
    <x:row r="378" ht="60" customHeight="1">
      <x:c r="A378" s="262" t="str">
        <x:v>EEG-0211</x:v>
      </x:c>
      <x:c r="B378" s="263" t="str">
        <x:v>04_Cognition_and_Emotion</x:v>
      </x:c>
      <x:c r="C378" s="263" t="str">
        <x:v>Cognitive_Task_Recognition</x:v>
      </x:c>
      <x:c r="D378" s="263" t="str">
        <x:v>CamCAN EEG</x:v>
      </x:c>
      <x:c r="E378" s="263"/>
      <x:c r="F378" s="263"/>
      <x:c r="G378" s="263" t="str">
        <x:v>DOWNLOAD_PUBLIC</x:v>
      </x:c>
      <x:c r="H378" s="263" t="str">
        <x:v>https://cam-can.mrc-cbu.cam.ac.uk/dataset/</x:v>
      </x:c>
      <x:c r="I378" s="263" t="str">
        <x:v>Cognitive aging research (resting state + task; no standard classification; used for aging/cognition research)</x:v>
      </x:c>
      <x:c r="J378" s="263" t="str">
        <x:v>~700</x:v>
      </x:c>
      <x:c r="K378" s="263" t="str">
        <x:v>306 MEG + 70 EEG (concurrent)</x:v>
      </x:c>
      <x:c r="L378" s="263" t="str">
        <x:v>1000 Hz</x:v>
      </x:c>
      <x:c r="M378" s="263" t="str">
        <x:v>FIF (MNE format)</x:v>
      </x:c>
      <x:c r="N378" s="263" t="str">
        <x:v>Raw</x:v>
      </x:c>
      <x:c r="O378" s="263" t="str">
        <x:v>Free (requires DUA via CamCAN)</x:v>
      </x:c>
      <x:c r="P378" s="263" t="str">
        <x:v>Taylor et al. 2017, NeuroImage</x:v>
      </x:c>
      <x:c r="Q378" s="263" t="str">
        <x:v>04_Cognition_and_Emotion/Cognitive_Task_Recognition/CamCAN_EEG</x:v>
      </x:c>
      <x:c r="R378" s="263" t="str">
        <x:v>存在公开仓库、官方入口或稳定数据访问号</x:v>
      </x:c>
      <x:c r="S378" s="263"/>
      <x:c r="T378" s="263"/>
      <x:c r="U378" s="264"/>
    </x:row>
    <x:row r="379" ht="60" customHeight="1">
      <x:c r="A379" s="239" t="str">
        <x:v>EEG-0217</x:v>
      </x:c>
      <x:c r="B379" s="228" t="str">
        <x:v>04_Cognition_and_Emotion</x:v>
      </x:c>
      <x:c r="C379" s="228" t="str">
        <x:v>Workload_Detection</x:v>
      </x:c>
      <x:c r="D379" s="228" t="str">
        <x:v>da Vinci Surgical Workload EEG Dataset</x:v>
      </x:c>
      <x:c r="E379" s="228"/>
      <x:c r="F379" s="228" t="str">
        <x:v>DOI:10.13026/qj5m-n649</x:v>
      </x:c>
      <x:c r="G379" s="228" t="str">
        <x:v>DOWNLOAD_PUBLIC</x:v>
      </x:c>
      <x:c r="H379" s="228" t="str">
        <x:v>https://doi.org/10.13026/qj5m-n649</x:v>
      </x:c>
      <x:c r="I379" s="228" t="str">
        <x:v>Robot-assisted surgery / cognitive workload performance evaluation</x:v>
      </x:c>
      <x:c r="J379" s="228" t="str">
        <x:v>25</x:v>
      </x:c>
      <x:c r="K379" s="228" t="str">
        <x:v>14 EEG channels + eye-gaze tracking</x:v>
      </x:c>
      <x:c r="L379" s="228" t="str">
        <x:v>128 Hz (EEG) / 50 Hz (Eye-gaze)</x:v>
      </x:c>
      <x:c r="M379" s="228" t="str">
        <x:v>EDF / CSV</x:v>
      </x:c>
      <x:c r="N379" s="228" t="str">
        <x:v>Synchronized raw EEG + eye-gaze tracking coordinates + performance scores</x:v>
      </x:c>
      <x:c r="O379" s="228" t="str">
        <x:v>Open Access (PhysioNet; ODC Attribution License v1.0)</x:v>
      </x:c>
      <x:c r="P379" s="228"/>
      <x:c r="Q379" s="228" t="str">
        <x:v>04_Cognition_and_Emotion/Workload_Detection/da_Vinci_Surgical_Workload_EEG_Dataset</x:v>
      </x:c>
      <x:c r="R379" s="228" t="str">
        <x:v>存在公开仓库、官方入口或稳定数据访问号</x:v>
      </x:c>
      <x:c r="S379" s="228"/>
      <x:c r="T379" s="228"/>
      <x:c r="U379" s="205"/>
    </x:row>
    <x:row r="380" ht="60" customHeight="1">
      <x:c r="A380" s="262" t="str">
        <x:v>EEG-0229</x:v>
      </x:c>
      <x:c r="B380" s="263" t="str">
        <x:v>04_Cognition_and_Emotion</x:v>
      </x:c>
      <x:c r="C380" s="263" t="str">
        <x:v>Cognitive_Task_Recognition</x:v>
      </x:c>
      <x:c r="D380" s="263" t="str">
        <x:v>EPFL P300 dataset</x:v>
      </x:c>
      <x:c r="E380" s="263"/>
      <x:c r="F380" s="263"/>
      <x:c r="G380" s="263" t="str">
        <x:v>DOWNLOAD_PUBLIC</x:v>
      </x:c>
      <x:c r="H380" s="263" t="str">
        <x:v>https://www.epfl.ch/labs/mmspg/research/page-58317-en-html/bci-2/</x:v>
      </x:c>
      <x:c r="I380" s="263" t="str">
        <x:v>6-choice P300 paradigm (attend to 1 of 6 flashing images)</x:v>
      </x:c>
      <x:c r="J380" s="263" t="str">
        <x:v>8</x:v>
      </x:c>
      <x:c r="K380" s="263" t="str">
        <x:v>32 EEG channels</x:v>
      </x:c>
      <x:c r="L380" s="263" t="str">
        <x:v>2048 Hz</x:v>
      </x:c>
      <x:c r="M380" s="263" t="str">
        <x:v>MAT</x:v>
      </x:c>
      <x:c r="N380" s="263" t="str">
        <x:v>Raw EEG with target/non-target flash annotations</x:v>
      </x:c>
      <x:c r="O380" s="263" t="str">
        <x:v>Open Access (EPFL MMSPG; also via BNCI Horizon 2020 / MOABB)</x:v>
      </x:c>
      <x:c r="P380" s="263" t="str">
        <x:v>EPFL (Hoffmann et al.)</x:v>
      </x:c>
      <x:c r="Q380" s="263" t="str">
        <x:v>04_Cognition_and_Emotion/Cognitive_Task_Recognition/EPFL_P300_dataset</x:v>
      </x:c>
      <x:c r="R380" s="263" t="str">
        <x:v>存在公开仓库、官方入口或稳定数据访问号</x:v>
      </x:c>
      <x:c r="S380" s="263"/>
      <x:c r="T380" s="263"/>
      <x:c r="U380" s="264"/>
    </x:row>
    <x:row r="381" ht="60" customHeight="1">
      <x:c r="A381" s="239" t="str">
        <x:v>EEG-0245</x:v>
      </x:c>
      <x:c r="B381" s="228" t="str">
        <x:v>04_Cognition_and_Emotion</x:v>
      </x:c>
      <x:c r="C381" s="228" t="str">
        <x:v>Workload_Detection</x:v>
      </x:c>
      <x:c r="D381" s="228" t="str">
        <x:v>Shin EEG-NIRS (cognitive)</x:v>
      </x:c>
      <x:c r="E381" s="228"/>
      <x:c r="F381" s="228"/>
      <x:c r="G381" s="228" t="str">
        <x:v>DOWNLOAD_PUBLIC</x:v>
      </x:c>
      <x:c r="H381" s="228" t="str">
        <x:v>http://doc.ml.tu-berlin.de/hBCI</x:v>
      </x:c>
      <x:c r="I381" s="228" t="str">
        <x:v>n-back / DSR / word-generation (hybrid EEG-NIRS)</x:v>
      </x:c>
      <x:c r="J381" s="228" t="str">
        <x:v>26</x:v>
      </x:c>
      <x:c r="K381" s="228" t="str">
        <x:v>28 (30 EEG)</x:v>
      </x:c>
      <x:c r="L381" s="228" t="str">
        <x:v>1000 Hz</x:v>
      </x:c>
      <x:c r="M381" s="228" t="str">
        <x:v>BrainVision</x:v>
      </x:c>
      <x:c r="N381" s="228" t="str">
        <x:v>Both (raw + ERP/TF/hemodynamic results)</x:v>
      </x:c>
      <x:c r="O381" s="228" t="str">
        <x:v>Open under GNU GPL; agree to license to download</x:v>
      </x:c>
      <x:c r="P381" s="228" t="str">
        <x:v>Simultaneous acquisition of EEG and NIRS during cognitive tasks for an open access dataset. Shin et al., 2018, Scientific Data 5:180003.</x:v>
      </x:c>
      <x:c r="Q381" s="228" t="str">
        <x:v>04_Cognition_and_Emotion/Workload_Detection/Shin_EEG-NIRS_cognitive</x:v>
      </x:c>
      <x:c r="R381" s="228" t="str">
        <x:v>存在公开仓库、官方入口或稳定数据访问号</x:v>
      </x:c>
      <x:c r="S381" s="228"/>
      <x:c r="T381" s="228"/>
      <x:c r="U381" s="205"/>
    </x:row>
    <x:row r="382" ht="60" customHeight="1">
      <x:c r="A382" s="262" t="str">
        <x:v>EEG-0246</x:v>
      </x:c>
      <x:c r="B382" s="263" t="str">
        <x:v>04_Cognition_and_Emotion</x:v>
      </x:c>
      <x:c r="C382" s="263" t="str">
        <x:v>Workload_Detection</x:v>
      </x:c>
      <x:c r="D382" s="263" t="str">
        <x:v>Shin2017B</x:v>
      </x:c>
      <x:c r="E382" s="263"/>
      <x:c r="F382" s="263"/>
      <x:c r="G382" s="263" t="str">
        <x:v>DOWNLOAD_PUBLIC</x:v>
      </x:c>
      <x:c r="H382" s="263" t="str">
        <x:v>http://doc.ml.tu-berlin.de/hBCI</x:v>
      </x:c>
      <x:c r="I382" s="263" t="str">
        <x:v>Mental Arithmetic (3-digit minus 1-digit subtraction) vs. baseline/rest, 2-class cognitive task</x:v>
      </x:c>
      <x:c r="J382" s="263" t="str">
        <x:v>29</x:v>
      </x:c>
      <x:c r="K382" s="263" t="str">
        <x:v>30</x:v>
      </x:c>
      <x:c r="L382" s="263" t="str">
        <x:v>1000</x:v>
      </x:c>
      <x:c r="M382" s="263" t="str">
        <x:v>MAT</x:v>
      </x:c>
      <x:c r="N382" s="263" t="str">
        <x:v>Processed</x:v>
      </x:c>
      <x:c r="O382" s="263" t="str">
        <x:v>Public, but must agree to GNU GPL v3 license terms before download</x:v>
      </x:c>
      <x:c r="P382" s="263" t="str">
        <x:v>"Shin, J., von Lühmann, A., Blankertz, B., Kim, D.W., Jeong, J., Hwang, H.J. and Müller, K.R., 2017. Open access dataset for EEG+NIRS single-trial classification. IEEE Transactions on Neural Systems and Rehabilitation Engineering, 25(10), pp.1735-1745."</x:v>
      </x:c>
      <x:c r="Q382" s="263" t="str">
        <x:v>04_Cognition_and_Emotion/Workload_Detection/Shin2017B</x:v>
      </x:c>
      <x:c r="R382" s="263" t="str">
        <x:v>存在公开仓库、官方入口或稳定数据访问号</x:v>
      </x:c>
      <x:c r="S382" s="263"/>
      <x:c r="T382" s="263"/>
      <x:c r="U382" s="264"/>
    </x:row>
    <x:row r="383" ht="60" customHeight="1">
      <x:c r="A383" s="239" t="str">
        <x:v>EEG-0259</x:v>
      </x:c>
      <x:c r="B383" s="228" t="str">
        <x:v>04_Cognition_and_Emotion</x:v>
      </x:c>
      <x:c r="C383" s="228" t="str">
        <x:v>ERP_and_Event_Detection</x:v>
      </x:c>
      <x:c r="D383" s="228" t="str">
        <x:v>BI2012-BI2015</x:v>
      </x:c>
      <x:c r="E383" s="228"/>
      <x:c r="F383" s="228" t="str">
        <x:v>Zenodo:2649006</x:v>
      </x:c>
      <x:c r="G383" s="228" t="str">
        <x:v>DOWNLOAD_PUBLIC</x:v>
      </x:c>
      <x:c r="H383" s="228" t="str">
        <x:v>https://zenodo.org/records/2649006</x:v>
      </x:c>
      <x:c r="I383" s="228" t="str">
        <x:v>P300 / ERP</x:v>
      </x:c>
      <x:c r="J383" s="228" t="str">
        <x:v>24-64 (varies by year)</x:v>
      </x:c>
      <x:c r="K383" s="228" t="str">
        <x:v>16 or 32 EEG</x:v>
      </x:c>
      <x:c r="L383" s="228" t="str">
        <x:v>128-512 Hz</x:v>
      </x:c>
      <x:c r="M383" s="228"/>
      <x:c r="N383" s="228" t="str">
        <x:v>Raw</x:v>
      </x:c>
      <x:c r="O383" s="228" t="str">
        <x:v>Open; license not re-verified</x:v>
      </x:c>
      <x:c r="P383" s="228" t="str">
        <x:v>GIPSA-lab CNRS (Congedo)</x:v>
      </x:c>
      <x:c r="Q383" s="228" t="str">
        <x:v>04_Cognition_and_Emotion/ERP_and_Event_Detection/BI2012-BI2015</x:v>
      </x:c>
      <x:c r="R383" s="228" t="str">
        <x:v>存在公开仓库、官方入口或稳定数据访问号</x:v>
      </x:c>
      <x:c r="S383" s="228"/>
      <x:c r="T383" s="228"/>
      <x:c r="U383" s="205"/>
    </x:row>
    <x:row r="384" ht="60" customHeight="1">
      <x:c r="A384" s="262" t="str">
        <x:v>EEG-0262</x:v>
      </x:c>
      <x:c r="B384" s="263" t="str">
        <x:v>04_Cognition_and_Emotion</x:v>
      </x:c>
      <x:c r="C384" s="263" t="str">
        <x:v>ERP_and_Event_Detection</x:v>
      </x:c>
      <x:c r="D384" s="263" t="str">
        <x:v>Cattan2019 VR P300 (Zenodo)</x:v>
      </x:c>
      <x:c r="E384" s="263" t="str">
        <x:v>VR.EEG.2018-GIPSA (Brain Invaders VR 2018) [EEG-0491]</x:v>
      </x:c>
      <x:c r="F384" s="263" t="str">
        <x:v>Zenodo:2605204 | DOI:10.5281/zenodo.2605204</x:v>
      </x:c>
      <x:c r="G384" s="263" t="str">
        <x:v>DOWNLOAD_PUBLIC</x:v>
      </x:c>
      <x:c r="H384" s="263" t="str">
        <x:v>https://zenodo.org/records/2605204 | https://doi.org/10.5281/zenodo.2605204</x:v>
      </x:c>
      <x:c r="I384" s="263" t="str">
        <x:v>P300 / ERP (VR)；Visual P300 BCI (Brain Invaders; PC vs Virtual Reality comparison)</x:v>
      </x:c>
      <x:c r="J384" s="263" t="str">
        <x:v>21</x:v>
      </x:c>
      <x:c r="K384" s="263" t="str">
        <x:v>16 EEG</x:v>
      </x:c>
      <x:c r="L384" s="263" t="str">
        <x:v>512 Hz</x:v>
      </x:c>
      <x:c r="M384" s="263"/>
      <x:c r="N384" s="263" t="str">
        <x:v>Raw</x:v>
      </x:c>
      <x:c r="O384" s="263" t="str">
        <x:v>Open; license not re-verified</x:v>
      </x:c>
      <x:c r="P384" s="263" t="str">
        <x:v>GIPSA-lab；Cattan et al. 2019</x:v>
      </x:c>
      <x:c r="Q384" s="263" t="str">
        <x:v>04_Cognition_and_Emotion/ERP_and_Event_Detection/Cattan2019_VR_P300_Zenodo</x:v>
      </x:c>
      <x:c r="R384" s="263" t="str">
        <x:v>存在公开仓库、官方入口或稳定数据访问号；2026-08-04去重：EEG-0491并入EEG-0262（Zenodo record 2605204）</x:v>
      </x:c>
      <x:c r="S384" s="263"/>
      <x:c r="T384" s="263"/>
      <x:c r="U384" s="264"/>
    </x:row>
    <x:row r="385" ht="60" customHeight="1">
      <x:c r="A385" s="239" t="str">
        <x:v>EEG-0267</x:v>
      </x:c>
      <x:c r="B385" s="228" t="str">
        <x:v>04_Cognition_and_Emotion</x:v>
      </x:c>
      <x:c r="C385" s="228" t="str">
        <x:v>ERP_and_Event_Detection</x:v>
      </x:c>
      <x:c r="D385" s="228" t="str">
        <x:v>ERP Core</x:v>
      </x:c>
      <x:c r="E385" s="228"/>
      <x:c r="F385" s="228"/>
      <x:c r="G385" s="228" t="str">
        <x:v>DOWNLOAD_APPLICATION_REQUIRED</x:v>
      </x:c>
      <x:c r="H385" s="228" t="str">
        <x:v>https://osf.io/thsqg/</x:v>
      </x:c>
      <x:c r="I385" s="228" t="str">
        <x:v>ERP Component Detection — 7 paradigms (MMN / N170 / N2pc / N400 / P3 / LRP / ERN)</x:v>
      </x:c>
      <x:c r="J385" s="228" t="str">
        <x:v>40</x:v>
      </x:c>
      <x:c r="K385" s="228" t="str">
        <x:v>30 EEG + 6 EOG/EMG</x:v>
      </x:c>
      <x:c r="L385" s="228" t="str">
        <x:v>1024 Hz</x:v>
      </x:c>
      <x:c r="M385" s="228" t="str">
        <x:v>BrainVision (.vhdr/.vmrk/.eeg; EEG-BIDS)</x:v>
      </x:c>
      <x:c r="N385" s="228" t="str">
        <x:v>Raw + processed</x:v>
      </x:c>
      <x:c r="O385" s="228" t="str">
        <x:v>Open, CC-BY 4.0 / CC BY-SA 4.0, no application</x:v>
      </x:c>
      <x:c r="P385" s="228" t="str">
        <x:v>Kappenman, Luck et al. 2021, UC Davis</x:v>
      </x:c>
      <x:c r="Q385" s="228" t="str">
        <x:v>04_Cognition_and_Emotion/ERP_and_Event_Detection/ERP_Core</x:v>
      </x:c>
      <x:c r="R385" s="228" t="str">
        <x:v>官方数据存在，但需申请、签署协议或获得权限</x:v>
      </x:c>
      <x:c r="S385" s="228"/>
      <x:c r="T385" s="228"/>
      <x:c r="U385" s="205"/>
    </x:row>
    <x:row r="386" ht="60" customHeight="1">
      <x:c r="A386" s="262" t="str">
        <x:v>EEG-0285</x:v>
      </x:c>
      <x:c r="B386" s="263" t="str">
        <x:v>04_Cognition_and_Emotion</x:v>
      </x:c>
      <x:c r="C386" s="263" t="str">
        <x:v>ERP_and_Event_Detection</x:v>
      </x:c>
      <x:c r="D386" s="263" t="str">
        <x:v>Target-vs-NonTarget</x:v>
      </x:c>
      <x:c r="E386" s="263"/>
      <x:c r="F386" s="263" t="str">
        <x:v>Zenodo:3268762</x:v>
      </x:c>
      <x:c r="G386" s="263" t="str">
        <x:v>DOWNLOAD_PUBLIC</x:v>
      </x:c>
      <x:c r="H386" s="263" t="str">
        <x:v>[BI2015b](https://zenodo.org/records/3268762)</x:v>
      </x:c>
      <x:c r="I386" s="263" t="str">
        <x:v>P300 target vs non-target classification</x:v>
      </x:c>
      <x:c r="J386" s="263" t="str">
        <x:v>50</x:v>
      </x:c>
      <x:c r="K386" s="263" t="str">
        <x:v>32</x:v>
      </x:c>
      <x:c r="L386" s="263" t="str">
        <x:v>512Hz</x:v>
      </x:c>
      <x:c r="M386" s="263" t="str">
        <x:v>MOABB-supported / 原始格式</x:v>
      </x:c>
      <x:c r="N386" s="263" t="str">
        <x:v>raw / 原始发布数据</x:v>
      </x:c>
      <x:c r="O386" s="263" t="str">
        <x:v>公开下载：对应 Brain Invaders / TVNT 数据在 Zenodo，例如 BI2015b (https://zenodo.org/records/3268762)；也可通过 MOABB 相关 dataset object 自动拉取。</x:v>
      </x:c>
      <x:c r="P386" s="263" t="str">
        <x:v>未给出</x:v>
      </x:c>
      <x:c r="Q386" s="263" t="str">
        <x:v>04_Cognition_and_Emotion/ERP_and_Event_Detection/Target-vs-NonTarget</x:v>
      </x:c>
      <x:c r="R386" s="263" t="str">
        <x:v>存在公开仓库、官方入口或稳定数据访问号</x:v>
      </x:c>
      <x:c r="S386" s="263"/>
      <x:c r="T386" s="263"/>
      <x:c r="U386" s="264"/>
    </x:row>
    <x:row r="387" ht="60" customHeight="1">
      <x:c r="A387" s="239" t="str">
        <x:v>EEG-0292</x:v>
      </x:c>
      <x:c r="B387" s="228" t="str">
        <x:v>05_Naturalistic_Stimulus_Decoding</x:v>
      </x:c>
      <x:c r="C387" s="228" t="str">
        <x:v>Language_and_Reading</x:v>
      </x:c>
      <x:c r="D387" s="228" t="str">
        <x:v>Brain Treebank</x:v>
      </x:c>
      <x:c r="E387" s="228"/>
      <x:c r="F387" s="228"/>
      <x:c r="G387" s="228" t="str">
        <x:v>DOWNLOAD_PUBLIC</x:v>
      </x:c>
      <x:c r="H387" s="228" t="str">
        <x:v>[Brain Treebank](https://braintreebank.dev/)</x:v>
      </x:c>
      <x:c r="I387" s="228" t="str">
        <x:v>naturalistic language/movie iEEG; sentence onset, speech/non-speech, pitch, volume decoding</x:v>
      </x:c>
      <x:c r="J387" s="228" t="str">
        <x:v>10</x:v>
      </x:c>
      <x:c r="K387" s="228" t="str">
        <x:v>~168 electrodes/subj avg</x:v>
      </x:c>
      <x:c r="L387" s="228" t="str">
        <x:v>2048Hz</x:v>
      </x:c>
      <x:c r="M387" s="228" t="str">
        <x:v>H5 / ZIP</x:v>
      </x:c>
      <x:c r="N387" s="228" t="str">
        <x:v>raw iEEG + annotations/features</x:v>
      </x:c>
      <x:c r="O387" s="228" t="str">
        <x:v>Public download; ~130GB zipped; CC BY 4.0.</x:v>
      </x:c>
      <x:c r="P387" s="228" t="str">
        <x:v>Wang et al. (2023, BrainBERT); Wang et al. (2024, Brain Treebank)</x:v>
      </x:c>
      <x:c r="Q387" s="228" t="str">
        <x:v>05_Naturalistic_Stimulus_Decoding/Language_and_Reading/Brain_Treebank</x:v>
      </x:c>
      <x:c r="R387" s="228" t="str">
        <x:v>存在公开仓库、官方入口或稳定数据访问号</x:v>
      </x:c>
      <x:c r="S387" s="228"/>
      <x:c r="T387" s="228"/>
      <x:c r="U387" s="205"/>
    </x:row>
    <x:row r="388" ht="60" customHeight="1">
      <x:c r="A388" s="262" t="str">
        <x:v>EEG-0302</x:v>
      </x:c>
      <x:c r="B388" s="263" t="str">
        <x:v>05_Naturalistic_Stimulus_Decoding</x:v>
      </x:c>
      <x:c r="C388" s="263" t="str">
        <x:v>Language_and_Reading</x:v>
      </x:c>
      <x:c r="D388" s="263" t="str">
        <x:v>Kymata-SOTO Language Dataset</x:v>
      </x:c>
      <x:c r="E388" s="263"/>
      <x:c r="F388" s="263"/>
      <x:c r="G388" s="263" t="str">
        <x:v>DOWNLOAD_PUBLIC</x:v>
      </x:c>
      <x:c r="H388" s="263" t="str">
        <x:v>[Cambridge Repository Kymata-SOTO](https://www.repository.cam.ac.uk/items/7f3929d0-c2e7-4553-b0e5-f12ac702b4f3)</x:v>
      </x:c>
      <x:c r="I388" s="263" t="str">
        <x:v>natural conversational speech listening; EEG/MEG language processing</x:v>
      </x:c>
      <x:c r="J388" s="263" t="str">
        <x:v>35</x:v>
      </x:c>
      <x:c r="K388" s="263" t="str">
        <x:v>EEG + MEG; EEG channel count not stated in brief</x:v>
      </x:c>
      <x:c r="L388" s="263" t="str">
        <x:v>未给出 in brief</x:v>
      </x:c>
      <x:c r="M388" s="263" t="str">
        <x:v>raw EEG/MEG release</x:v>
      </x:c>
      <x:c r="N388" s="263" t="str">
        <x:v>raw</x:v>
      </x:c>
      <x:c r="O388" s="263" t="str">
        <x:v>Cambridge repository public record; license/terms on repository page</x:v>
      </x:c>
      <x:c r="P388" s="263" t="str">
        <x:v>Yang et al. (2026), Scientific Data; BrainOmni (2025/2026)</x:v>
      </x:c>
      <x:c r="Q388" s="263" t="str">
        <x:v>05_Naturalistic_Stimulus_Decoding/Language_and_Reading/Kymata-SOTO_Language_Dataset</x:v>
      </x:c>
      <x:c r="R388" s="263" t="str">
        <x:v>存在公开仓库、官方入口或稳定数据访问号</x:v>
      </x:c>
      <x:c r="S388" s="263"/>
      <x:c r="T388" s="263"/>
      <x:c r="U388" s="264"/>
    </x:row>
    <x:row r="389" ht="60" customHeight="1">
      <x:c r="A389" s="239" t="str">
        <x:v>EEG-0311</x:v>
      </x:c>
      <x:c r="B389" s="228" t="str">
        <x:v>05_Naturalistic_Stimulus_Decoding</x:v>
      </x:c>
      <x:c r="C389" s="228" t="str">
        <x:v>Language_and_Reading</x:v>
      </x:c>
      <x:c r="D389" s="228" t="str">
        <x:v>ZuCo</x:v>
      </x:c>
      <x:c r="E389" s="228"/>
      <x:c r="F389" s="228"/>
      <x:c r="G389" s="228" t="str">
        <x:v>DOWNLOAD_PUBLIC</x:v>
      </x:c>
      <x:c r="H389" s="228" t="str">
        <x:v>https://osf.io/q3zws/</x:v>
      </x:c>
      <x:c r="I389" s="228" t="str">
        <x:v>Natural sentence reading (EEG + eye-tracking)</x:v>
      </x:c>
      <x:c r="J389" s="228" t="str">
        <x:v>12 (ZuCo 1.0) + 18 (ZuCo 2.0)</x:v>
      </x:c>
      <x:c r="K389" s="228" t="str">
        <x:v>128</x:v>
      </x:c>
      <x:c r="L389" s="228" t="str">
        <x:v>500 Hz</x:v>
      </x:c>
      <x:c r="M389" s="228" t="str">
        <x:v>MAT</x:v>
      </x:c>
      <x:c r="N389" s="228" t="str">
        <x:v>Both (raw + Automagic-preprocessed + features)</x:v>
      </x:c>
      <x:c r="O389" s="228" t="str">
        <x:v>Open (OSF q3zws), CC-BY 4.0</x:v>
      </x:c>
      <x:c r="P389" s="228" t="str">
        <x:v>ZuCo, a simultaneous EEG and eye-tracking resource for natural sentence reading. Hollenstein et al., 2018, Scientific Data 5:180291.</x:v>
      </x:c>
      <x:c r="Q389" s="228" t="str">
        <x:v>05_Naturalistic_Stimulus_Decoding/Language_and_Reading/ZuCo</x:v>
      </x:c>
      <x:c r="R389" s="228" t="str">
        <x:v>存在公开仓库、官方入口或稳定数据访问号</x:v>
      </x:c>
      <x:c r="S389" s="228"/>
      <x:c r="T389" s="228"/>
      <x:c r="U389" s="205"/>
    </x:row>
    <x:row r="390" ht="60" customHeight="1">
      <x:c r="A390" s="262" t="str">
        <x:v>EEG-0325</x:v>
      </x:c>
      <x:c r="B390" s="263" t="str">
        <x:v>05_Naturalistic_Stimulus_Decoding</x:v>
      </x:c>
      <x:c r="C390" s="263" t="str">
        <x:v>Visual_Perception</x:v>
      </x:c>
      <x:c r="D390" s="263" t="str">
        <x:v>CineBrain</x:v>
      </x:c>
      <x:c r="E390" s="263"/>
      <x:c r="F390" s="263"/>
      <x:c r="G390" s="263" t="str">
        <x:v>DOWNLOAD_PUBLIC</x:v>
      </x:c>
      <x:c r="H390" s="263" t="str">
        <x:v>https://huggingface.co/datasets/Fudan-fMRI/CineBrain</x:v>
      </x:c>
      <x:c r="I390" s="263" t="str">
        <x:v>audiovisual brain-conditioned video generation / continuous video reconstruction</x:v>
      </x:c>
      <x:c r="J390" s="263" t="str">
        <x:v>6</x:v>
      </x:c>
      <x:c r="K390" s="263" t="str">
        <x:v>64</x:v>
      </x:c>
      <x:c r="L390" s="263" t="str">
        <x:v>1000 Hz</x:v>
      </x:c>
      <x:c r="M390" s="263" t="str">
        <x:v>.mff</x:v>
      </x:c>
      <x:c r="N390" s="263" t="str">
        <x:v>Both</x:v>
      </x:c>
      <x:c r="O390" s="263" t="str">
        <x:v>License</x:v>
      </x:c>
      <x:c r="P390" s="263" t="str">
        <x:v>arXiv:2503.06940 / CVPR 2026</x:v>
      </x:c>
      <x:c r="Q390" s="263" t="str">
        <x:v>05_Naturalistic_Stimulus_Decoding/Visual_Perception/CineBrain</x:v>
      </x:c>
      <x:c r="R390" s="263" t="str">
        <x:v>存在公开仓库、官方入口或稳定数据访问号</x:v>
      </x:c>
      <x:c r="S390" s="263"/>
      <x:c r="T390" s="263"/>
      <x:c r="U390" s="264"/>
    </x:row>
    <x:row r="391" ht="60" customHeight="1">
      <x:c r="A391" s="239" t="str">
        <x:v>EEG-0328</x:v>
      </x:c>
      <x:c r="B391" s="228" t="str">
        <x:v>05_Naturalistic_Stimulus_Decoding</x:v>
      </x:c>
      <x:c r="C391" s="228" t="str">
        <x:v>Visual_Perception</x:v>
      </x:c>
      <x:c r="D391" s="228" t="str">
        <x:v>EEG-3D</x:v>
      </x:c>
      <x:c r="E391" s="228"/>
      <x:c r="F391" s="228"/>
      <x:c r="G391" s="228" t="str">
        <x:v>DOWNLOAD_PUBLIC</x:v>
      </x:c>
      <x:c r="H391" s="228" t="str">
        <x:v>https://huggingface.co/datasets/guozq21/neuro-3D</x:v>
      </x:c>
      <x:c r="I391" s="228" t="str">
        <x:v>3D visual decoding from EEG (colored 3D point cloud reconstruction); 3D visual classification: object classification (72 categories) and color-type classification (6 categories); 3D object reconstruction benchmark (N-way top-K, Chamfer Distance, F1)</x:v>
      </x:c>
      <x:c r="J391" s="228" t="str">
        <x:v>12.0</x:v>
      </x:c>
      <x:c r="K391" s="228" t="str">
        <x:v>64.0</x:v>
      </x:c>
      <x:c r="L391" s="228" t="str">
        <x:v>1000.0</x:v>
      </x:c>
      <x:c r="M391" s="228" t="str">
        <x:v>NumPy .npy (per-subject processed arrays, e.g. process_data_1s_250Hz.npy and process_data_6s_100Hz.npy); hosted on HuggingFace (guozq21/neuro-3D)</x:v>
      </x:c>
      <x:c r="N391" s="228" t="str">
        <x:v>Processed Data</x:v>
      </x:c>
      <x:c r="O391" s="228" t="str">
        <x:v>Fully open</x:v>
      </x:c>
      <x:c r="P391" s="228" t="str">
        <x:v>Guo et al. (2025). Neuro-3D: Towards 3D Visual Decoding from EEG Signals. CVPR 2025.</x:v>
      </x:c>
      <x:c r="Q391" s="228" t="str">
        <x:v>05_Naturalistic_Stimulus_Decoding/Visual_Perception/EEG-3D</x:v>
      </x:c>
      <x:c r="R391" s="228" t="str">
        <x:v>存在公开仓库、官方入口或稳定数据访问号</x:v>
      </x:c>
      <x:c r="S391" s="228"/>
      <x:c r="T391" s="228"/>
      <x:c r="U391" s="205"/>
    </x:row>
    <x:row r="392" ht="60" customHeight="1">
      <x:c r="A392" s="262" t="str">
        <x:v>EEG-0329</x:v>
      </x:c>
      <x:c r="B392" s="263" t="str">
        <x:v>05_Naturalistic_Stimulus_Decoding</x:v>
      </x:c>
      <x:c r="C392" s="263" t="str">
        <x:v>Visual_Perception</x:v>
      </x:c>
      <x:c r="D392" s="263" t="str">
        <x:v>EEG-ImageNet</x:v>
      </x:c>
      <x:c r="E392" s="263"/>
      <x:c r="F392" s="263"/>
      <x:c r="G392" s="263" t="str">
        <x:v>DOWNLOAD_PUBLIC</x:v>
      </x:c>
      <x:c r="H392" s="263" t="str">
        <x:v>https://tinyurl.com/eeg-visual-classification</x:v>
      </x:c>
      <x:c r="I392" s="263" t="str">
        <x:v>ImageNet visual object classification；multi-granularity labels；image reconstruction benchmark</x:v>
      </x:c>
      <x:c r="J392" s="263" t="str">
        <x:v>8.0</x:v>
      </x:c>
      <x:c r="K392" s="263" t="str">
        <x:v>62.0</x:v>
      </x:c>
      <x:c r="L392" s="263" t="str">
        <x:v>1000.0</x:v>
      </x:c>
      <x:c r="M392" s="263" t="str">
        <x:v>.pth (PyTorch tensor files; EEG-ImageNet_1.pth + EEG-ImageNet_2.pth)</x:v>
      </x:c>
      <x:c r="N392" s="263" t="str">
        <x:v>Processed Data</x:v>
      </x:c>
      <x:c r="O392" s="263" t="str">
        <x:v>公开下载：official GitHub (https://github.com/Promise-Z5Q2SQ/EEG-ImageNet-Dataset)；仓库 README 提供 cloud storage 数据包链接。</x:v>
      </x:c>
      <x:c r="P392" s="263" t="str">
        <x:v>Shuqi Zhu et al. (2024). EEG-ImageNet: An Electroencephalogram Dataset and Benchmarks with Image Visual Stimuli of Multi-Granularity Labels. arXiv:2406.07151</x:v>
      </x:c>
      <x:c r="Q392" s="263" t="str">
        <x:v>05_Naturalistic_Stimulus_Decoding/Visual_Perception/EEG-ImageNet</x:v>
      </x:c>
      <x:c r="R392" s="263" t="str">
        <x:v>存在公开仓库、官方入口或稳定数据访问号</x:v>
      </x:c>
      <x:c r="S392" s="263"/>
      <x:c r="T392" s="263"/>
      <x:c r="U392" s="264"/>
    </x:row>
    <x:row r="393" ht="60" customHeight="1">
      <x:c r="A393" s="239" t="str">
        <x:v>EEG-0331</x:v>
      </x:c>
      <x:c r="B393" s="228" t="str">
        <x:v>05_Naturalistic_Stimulus_Decoding</x:v>
      </x:c>
      <x:c r="C393" s="228" t="str">
        <x:v>Visual_Perception</x:v>
      </x:c>
      <x:c r="D393" s="228" t="str">
        <x:v>EgoBrain</x:v>
      </x:c>
      <x:c r="E393" s="228"/>
      <x:c r="F393" s="228"/>
      <x:c r="G393" s="228" t="str">
        <x:v>DOWNLOAD_APPLICATION_REQUIRED</x:v>
      </x:c>
      <x:c r="H393" s="228" t="str">
        <x:v>https://huggingface.co/datasets/ut-vision/EgoBrain</x:v>
      </x:c>
      <x:c r="I393" s="228" t="str">
        <x:v>Multimodal (EEG + egocentric video) human action understanding / action recognition (29 daily-activity categories)</x:v>
      </x:c>
      <x:c r="J393" s="228" t="str">
        <x:v>40.0</x:v>
      </x:c>
      <x:c r="K393" s="228" t="str">
        <x:v>32.0</x:v>
      </x:c>
      <x:c r="L393" s="228" t="str">
        <x:v>256.0</x:v>
      </x:c>
      <x:c r="M393" s="228" t="str">
        <x:v>raw EDF converted to HDF5</x:v>
      </x:c>
      <x:c r="N393" s="228" t="str">
        <x:v>both</x:v>
      </x:c>
      <x:c r="O393" s="228" t="str">
        <x:v>Need apply</x:v>
      </x:c>
      <x:c r="P393" s="228" t="str">
        <x:v>Nie Lin et al. (2025). EgoBrain: Synergizing Minds and Eyes For Human Action Understanding. arXiv:2506.01353</x:v>
      </x:c>
      <x:c r="Q393" s="228" t="str">
        <x:v>05_Naturalistic_Stimulus_Decoding/Visual_Perception/EgoBrain</x:v>
      </x:c>
      <x:c r="R393" s="228" t="str">
        <x:v>官方数据存在，但需申请、签署协议或获得权限</x:v>
      </x:c>
      <x:c r="S393" s="228"/>
      <x:c r="T393" s="228"/>
      <x:c r="U393" s="205"/>
    </x:row>
    <x:row r="394" ht="60" customHeight="1">
      <x:c r="A394" s="262" t="str">
        <x:v>EEG-0338</x:v>
      </x:c>
      <x:c r="B394" s="263" t="str">
        <x:v>05_Naturalistic_Stimulus_Decoding</x:v>
      </x:c>
      <x:c r="C394" s="263" t="str">
        <x:v>Visual_Perception</x:v>
      </x:c>
      <x:c r="D394" s="263" t="str">
        <x:v>THINGS-EEG2</x:v>
      </x:c>
      <x:c r="E394" s="263"/>
      <x:c r="F394" s="263"/>
      <x:c r="G394" s="263" t="str">
        <x:v>DOWNLOAD_PUBLIC</x:v>
      </x:c>
      <x:c r="H394" s="263" t="str">
        <x:v>https://osf.io/3jk45/ (preproc: https://osf.io/3eayd/)</x:v>
      </x:c>
      <x:c r="I394" s="263" t="str">
        <x:v>Rapid serial visual object recognition (THINGS images)</x:v>
      </x:c>
      <x:c r="J394" s="263" t="str">
        <x:v>10</x:v>
      </x:c>
      <x:c r="K394" s="263" t="str">
        <x:v>64 (63 usable)</x:v>
      </x:c>
      <x:c r="L394" s="263" t="str">
        <x:v>1000 Hz</x:v>
      </x:c>
      <x:c r="M394" s="263" t="str">
        <x:v>BrainVision (raw) / NumPy (preproc)</x:v>
      </x:c>
      <x:c r="N394" s="263" t="str">
        <x:v>Both</x:v>
      </x:c>
      <x:c r="O394" s="263" t="str">
        <x:v>Free on OSF</x:v>
      </x:c>
      <x:c r="P394" s="263" t="str">
        <x:v>A large and rich EEG dataset for modeling human visual object recognition (THINGS-EEG2). Gifford et al., 2022, NeuroImage 264:119754.</x:v>
      </x:c>
      <x:c r="Q394" s="263" t="str">
        <x:v>05_Naturalistic_Stimulus_Decoding/Visual_Perception/THINGS-EEG2</x:v>
      </x:c>
      <x:c r="R394" s="263" t="str">
        <x:v>存在公开仓库、官方入口或稳定数据访问号</x:v>
      </x:c>
      <x:c r="S394" s="263"/>
      <x:c r="T394" s="263"/>
      <x:c r="U394" s="264"/>
    </x:row>
    <x:row r="395" ht="60" customHeight="1">
      <x:c r="A395" s="239" t="str">
        <x:v>EEG-0346</x:v>
      </x:c>
      <x:c r="B395" s="228" t="str">
        <x:v>05_Naturalistic_Stimulus_Decoding</x:v>
      </x:c>
      <x:c r="C395" s="228" t="str">
        <x:v>Multisensory_Perception</x:v>
      </x:c>
      <x:c r="D395" s="228" t="str">
        <x:v>NATVIEW (EEG-fMRI)</x:v>
      </x:c>
      <x:c r="E395" s="228" t="str">
        <x:v>Telesford (2023) [EEG-0347]</x:v>
      </x:c>
      <x:c r="F395" s="228"/>
      <x:c r="G395" s="228" t="str">
        <x:v>DOWNLOAD_PUBLIC</x:v>
      </x:c>
      <x:c r="H395" s="228" t="str">
        <x:v>http://fcon_1000.projects.nitrc.org/indi/eeg_fmri_nat_view.html | https://fcon_1000.projects.nitrc.org/indi/retro/nat_view.html</x:v>
      </x:c>
      <x:c r="I395" s="228" t="str">
        <x:v>Naturalistic movie viewing (simultaneous EEG-fMRI)；Visual: Movie, rest, Inscapes, checkerboard</x:v>
      </x:c>
      <x:c r="J395" s="228" t="str">
        <x:v>22</x:v>
      </x:c>
      <x:c r="K395" s="228" t="str">
        <x:v>64 (61 EEG +EOG/ECG)</x:v>
      </x:c>
      <x:c r="L395" s="228" t="str">
        <x:v>5000 Hz</x:v>
      </x:c>
      <x:c r="M395" s="228" t="str">
        <x:v>EEGLAB</x:v>
      </x:c>
      <x:c r="N395" s="228" t="str">
        <x:v>Both (raw + preprocessed, BIDS)</x:v>
      </x:c>
      <x:c r="O395" s="228" t="str">
        <x:v>Open (FCP/INDI, AWS S3), CC BY 4.0</x:v>
      </x:c>
      <x:c r="P395" s="228" t="str">
        <x:v>An open-access dataset of naturalistic viewing using simultaneous EEG-fMRI. Telesford et al., 2023, Scientific Data 10:554.；Q. K. Telesford et al., “An open-access dataset of naturalistic viewing using simultaneous EEG-fMRI,” Sci. Data, vol. 10, no. 1, p. 554, 2023.</x:v>
      </x:c>
      <x:c r="Q395" s="228" t="str">
        <x:v>05_Naturalistic_Stimulus_Decoding/Multisensory_Perception/NATVIEW_EEG-fMRI</x:v>
      </x:c>
      <x:c r="R395" s="228" t="str">
        <x:v>存在公开仓库、官方入口或稳定数据访问号；2026-08-04去重：EEG-0347并入EEG-0346（NATVIEW/NITRC official project identity）</x:v>
      </x:c>
      <x:c r="S395" s="228"/>
      <x:c r="T395" s="228"/>
      <x:c r="U395" s="205"/>
    </x:row>
    <x:row r="396" ht="60" customHeight="1">
      <x:c r="A396" s="262" t="str">
        <x:v>EEG-0349</x:v>
      </x:c>
      <x:c r="B396" s="263" t="str">
        <x:v>06_Motor_and_Interaction</x:v>
      </x:c>
      <x:c r="C396" s="263" t="str">
        <x:v>Motor_Imagery_and_Execution</x:v>
      </x:c>
      <x:c r="D396" s="263" t="str">
        <x:v>AlexMI</x:v>
      </x:c>
      <x:c r="E396" s="263"/>
      <x:c r="F396" s="263"/>
      <x:c r="G396" s="263" t="str">
        <x:v>DOWNLOAD_PUBLIC</x:v>
      </x:c>
      <x:c r="H396" s="263" t="str">
        <x:v>[MOABB AlexMI](https://moabb.neurotechx.com/docs/generated/moabb.datasets.AlexMI.html)</x:v>
      </x:c>
      <x:c r="I396" s="263" t="str">
        <x:v>motor imagery: right hand, feet, rest</x:v>
      </x:c>
      <x:c r="J396" s="263" t="str">
        <x:v>8</x:v>
      </x:c>
      <x:c r="K396" s="263" t="str">
        <x:v>16</x:v>
      </x:c>
      <x:c r="L396" s="263" t="str">
        <x:v>512Hz</x:v>
      </x:c>
      <x:c r="M396" s="263" t="str">
        <x:v>MNE raw / MOABB</x:v>
      </x:c>
      <x:c r="N396" s="263" t="str">
        <x:v>raw</x:v>
      </x:c>
      <x:c r="O396" s="263" t="str">
        <x:v>MOABB auto-download; original Barachant PhD dataset.</x:v>
      </x:c>
      <x:c r="P396" s="263" t="str">
        <x:v>Barachant; MIRepNet; Liu et al. (2026), EEG Foundation Models Tables VIII-XIV</x:v>
      </x:c>
      <x:c r="Q396" s="263" t="str">
        <x:v>06_Motor_and_Interaction/Motor_Imagery_and_Execution/AlexMI</x:v>
      </x:c>
      <x:c r="R396" s="263" t="str">
        <x:v>存在公开仓库、官方入口或稳定数据访问号</x:v>
      </x:c>
      <x:c r="S396" s="263"/>
      <x:c r="T396" s="263"/>
      <x:c r="U396" s="264"/>
    </x:row>
    <x:row r="397" ht="60" customHeight="1">
      <x:c r="A397" s="239" t="str">
        <x:v>EEG-0350</x:v>
      </x:c>
      <x:c r="B397" s="228" t="str">
        <x:v>06_Motor_and_Interaction</x:v>
      </x:c>
      <x:c r="C397" s="228" t="str">
        <x:v>Motor_Imagery_and_Execution</x:v>
      </x:c>
      <x:c r="D397" s="228" t="str">
        <x:v>AlexMI (Zenodo)</x:v>
      </x:c>
      <x:c r="E397" s="228"/>
      <x:c r="F397" s="228" t="str">
        <x:v>Zenodo:806023</x:v>
      </x:c>
      <x:c r="G397" s="228" t="str">
        <x:v>DOWNLOAD_APPLICATION_REQUIRED</x:v>
      </x:c>
      <x:c r="H397" s="228" t="str">
        <x:v>https://zenodo.org/records/806023</x:v>
      </x:c>
      <x:c r="I397" s="228" t="str">
        <x:v>Motor Imagery (right hand, feet, rest)</x:v>
      </x:c>
      <x:c r="J397" s="228" t="str">
        <x:v>8</x:v>
      </x:c>
      <x:c r="K397" s="228" t="str">
        <x:v>16 EEG</x:v>
      </x:c>
      <x:c r="L397" s="228" t="str">
        <x:v>512 Hz</x:v>
      </x:c>
      <x:c r="M397" s="228"/>
      <x:c r="N397" s="228" t="str">
        <x:v>Raw</x:v>
      </x:c>
      <x:c r="O397" s="228" t="str">
        <x:v>Open; CC BY-SA 4.0; no application</x:v>
      </x:c>
      <x:c r="P397" s="228" t="str">
        <x:v>Barachant, Univ. Grenoble</x:v>
      </x:c>
      <x:c r="Q397" s="228" t="str">
        <x:v>06_Motor_and_Interaction/Motor_Imagery_and_Execution/AlexMI_Zenodo</x:v>
      </x:c>
      <x:c r="R397" s="228" t="str">
        <x:v>官方数据存在，但需申请、签署协议或获得权限</x:v>
      </x:c>
      <x:c r="S397" s="228"/>
      <x:c r="T397" s="228"/>
      <x:c r="U397" s="205"/>
    </x:row>
    <x:row r="398" ht="60" customHeight="1">
      <x:c r="A398" s="262" t="str">
        <x:v>EEG-0351</x:v>
      </x:c>
      <x:c r="B398" s="263" t="str">
        <x:v>06_Motor_and_Interaction</x:v>
      </x:c>
      <x:c r="C398" s="263" t="str">
        <x:v>Motor_Imagery_and_Execution</x:v>
      </x:c>
      <x:c r="D398" s="263" t="str">
        <x:v>BCI Competition III Dataset IIIa</x:v>
      </x:c>
      <x:c r="E398" s="263"/>
      <x:c r="F398" s="263"/>
      <x:c r="G398" s="263" t="str">
        <x:v>DOWNLOAD_PUBLIC</x:v>
      </x:c>
      <x:c r="H398" s="263" t="str">
        <x:v>https://www.bbci.de/competition/iii/</x:v>
      </x:c>
      <x:c r="I398" s="263" t="str">
        <x:v>Motor imagery</x:v>
      </x:c>
      <x:c r="J398" s="263" t="str">
        <x:v>3</x:v>
      </x:c>
      <x:c r="K398" s="263" t="str">
        <x:v>60 EEG</x:v>
      </x:c>
      <x:c r="L398" s="263" t="str">
        <x:v>250 Hz commonly reported</x:v>
      </x:c>
      <x:c r="M398" s="263" t="str">
        <x:v>GDF/MAT</x:v>
      </x:c>
      <x:c r="N398" s="263" t="str">
        <x:v>Raw EEG</x:v>
      </x:c>
      <x:c r="O398" s="263" t="str">
        <x:v>Open competition data</x:v>
      </x:c>
      <x:c r="P398" s="263" t="str">
        <x:v>Blankertz et al. 2006</x:v>
      </x:c>
      <x:c r="Q398" s="263" t="str">
        <x:v>06_Motor_and_Interaction/Motor_Imagery_and_Execution/BCI_Competition_III_Dataset_IIIa</x:v>
      </x:c>
      <x:c r="R398" s="263" t="str">
        <x:v>存在公开仓库、官方入口或稳定数据访问号</x:v>
      </x:c>
      <x:c r="S398" s="263"/>
      <x:c r="T398" s="263"/>
      <x:c r="U398" s="264"/>
    </x:row>
    <x:row r="399" ht="60" customHeight="1">
      <x:c r="A399" s="239" t="str">
        <x:v>EEG-0352</x:v>
      </x:c>
      <x:c r="B399" s="228" t="str">
        <x:v>06_Motor_and_Interaction</x:v>
      </x:c>
      <x:c r="C399" s="228" t="str">
        <x:v>Motor_Imagery_and_Execution</x:v>
      </x:c>
      <x:c r="D399" s="228" t="str">
        <x:v>BCI Competition III Dataset IVa</x:v>
      </x:c>
      <x:c r="E399" s="228"/>
      <x:c r="F399" s="228"/>
      <x:c r="G399" s="228" t="str">
        <x:v>DOWNLOAD_PUBLIC</x:v>
      </x:c>
      <x:c r="H399" s="228" t="str">
        <x:v>https://www.bbci.de/competition/iii/</x:v>
      </x:c>
      <x:c r="I399" s="228" t="str">
        <x:v>Motor imagery</x:v>
      </x:c>
      <x:c r="J399" s="228" t="str">
        <x:v>5</x:v>
      </x:c>
      <x:c r="K399" s="228" t="str">
        <x:v>118 EEG</x:v>
      </x:c>
      <x:c r="L399" s="228" t="str">
        <x:v>100 Hz commonly reported</x:v>
      </x:c>
      <x:c r="M399" s="228" t="str">
        <x:v>MAT</x:v>
      </x:c>
      <x:c r="N399" s="228" t="str">
        <x:v>Raw EEG</x:v>
      </x:c>
      <x:c r="O399" s="228" t="str">
        <x:v>Open competition data</x:v>
      </x:c>
      <x:c r="P399" s="228" t="str">
        <x:v>Blankertz et al. 2006</x:v>
      </x:c>
      <x:c r="Q399" s="228" t="str">
        <x:v>06_Motor_and_Interaction/Motor_Imagery_and_Execution/BCI_Competition_III_Dataset_IVa</x:v>
      </x:c>
      <x:c r="R399" s="228" t="str">
        <x:v>存在公开仓库、官方入口或稳定数据访问号</x:v>
      </x:c>
      <x:c r="S399" s="228"/>
      <x:c r="T399" s="228"/>
      <x:c r="U399" s="205"/>
    </x:row>
    <x:row r="400" ht="60" customHeight="1">
      <x:c r="A400" s="262" t="str">
        <x:v>EEG-0354</x:v>
      </x:c>
      <x:c r="B400" s="263" t="str">
        <x:v>06_Motor_and_Interaction</x:v>
      </x:c>
      <x:c r="C400" s="263" t="str">
        <x:v>Motor_Imagery_and_Execution</x:v>
      </x:c>
      <x:c r="D400" s="263" t="str">
        <x:v>BCI Competition IV-1</x:v>
      </x:c>
      <x:c r="E400" s="263" t="str">
        <x:v>BCI Competition IV Data set 1</x:v>
      </x:c>
      <x:c r="F400" s="263"/>
      <x:c r="G400" s="263" t="str">
        <x:v>DOWNLOAD_PUBLIC</x:v>
      </x:c>
      <x:c r="H400" s="263" t="str">
        <x:v>https://www.bbci.de/competition/iv/desc_1.html</x:v>
      </x:c>
      <x:c r="I400" s="263" t="str">
        <x:v>Motor imagery (2 of left/right/foot) + continuous eval</x:v>
      </x:c>
      <x:c r="J400" s="263" t="str">
        <x:v>7 (4 real + 3 artificial)</x:v>
      </x:c>
      <x:c r="K400" s="263" t="str">
        <x:v>59</x:v>
      </x:c>
      <x:c r="L400" s="263" t="str">
        <x:v>1000 Hz (also 100)</x:v>
      </x:c>
      <x:c r="M400" s="263" t="str">
        <x:v>ASCII / MAT</x:v>
      </x:c>
      <x:c r="N400" s="263" t="str">
        <x:v>Raw (BP 0.05-200 Hz)</x:v>
      </x:c>
      <x:c r="O400" s="263" t="str">
        <x:v>Free for academic use</x:v>
      </x:c>
      <x:c r="P400" s="263" t="str">
        <x:v>The non-invasive Berlin brain-computer interface: fast acquisition of effective performance in untrained subjects (BCI Competition IV-1). Blankertz et al., 2007, NeuroImage 37(2):539-550.</x:v>
      </x:c>
      <x:c r="Q400" s="263" t="str">
        <x:v>06_Motor_and_Interaction/Motor_Imagery_and_Execution/BCI_Competition_IV-1</x:v>
      </x:c>
      <x:c r="R400" s="263" t="str">
        <x:v>存在公开仓库、官方入口或稳定数据访问号</x:v>
      </x:c>
      <x:c r="S400" s="263"/>
      <x:c r="T400" s="263"/>
      <x:c r="U400" s="264"/>
    </x:row>
    <x:row r="401" ht="60" customHeight="1">
      <x:c r="A401" s="239" t="str">
        <x:v>EEG-0356</x:v>
      </x:c>
      <x:c r="B401" s="228" t="str">
        <x:v>06_Motor_and_Interaction</x:v>
      </x:c>
      <x:c r="C401" s="228" t="str">
        <x:v>Motor_Imagery_and_Execution</x:v>
      </x:c>
      <x:c r="D401" s="228" t="str">
        <x:v>BCIC-Upperlimb</x:v>
      </x:c>
      <x:c r="E401" s="228"/>
      <x:c r="F401" s="228"/>
      <x:c r="G401" s="228" t="str">
        <x:v>DOWNLOAD_PUBLIC</x:v>
      </x:c>
      <x:c r="H401" s="228" t="str">
        <x:v>https://moabb.neurotechx.com/docs/generated/moabb.datasets.BCIComp2020UpperLimb.html</x:v>
      </x:c>
      <x:c r="I401" s="228" t="str">
        <x:v>3-class upper-limb motor imagery: cylindrical, spherical, lumbrical grasp</x:v>
      </x:c>
      <x:c r="J401" s="228" t="str">
        <x:v>15</x:v>
      </x:c>
      <x:c r="K401" s="228" t="str">
        <x:v>60</x:v>
      </x:c>
      <x:c r="L401" s="228" t="str">
        <x:v>250 Hz</x:v>
      </x:c>
      <x:c r="M401" s="228" t="str">
        <x:v>MAT / MOABB</x:v>
      </x:c>
      <x:c r="N401" s="228" t="str">
        <x:v>raw / MOABB-prepared</x:v>
      </x:c>
      <x:c r="O401" s="228" t="str">
        <x:v>MOABB auto-download; BCI Competition 2020 Track 4; CC BY 4.0.</x:v>
      </x:c>
      <x:c r="P401" s="228" t="str">
        <x:v>Jeong et al. / BCI Competition 2020; ELASTIQ; Liu et al. (2026), EEG Foundation Models Tables VIII-XIV</x:v>
      </x:c>
      <x:c r="Q401" s="228" t="str">
        <x:v>06_Motor_and_Interaction/Motor_Imagery_and_Execution/BCIC-Upperlimb</x:v>
      </x:c>
      <x:c r="R401" s="228" t="str">
        <x:v>存在公开仓库、官方入口或稳定数据访问号</x:v>
      </x:c>
      <x:c r="S401" s="228"/>
      <x:c r="T401" s="228"/>
      <x:c r="U401" s="205"/>
    </x:row>
    <x:row r="402" ht="60" customHeight="1">
      <x:c r="A402" s="262" t="str">
        <x:v>EEG-0366</x:v>
      </x:c>
      <x:c r="B402" s="263" t="str">
        <x:v>06_Motor_and_Interaction</x:v>
      </x:c>
      <x:c r="C402" s="263" t="str">
        <x:v>Motor_Imagery_and_Execution</x:v>
      </x:c>
      <x:c r="D402" s="263" t="str">
        <x:v>BNCI2003_004 (BCI Competition II)</x:v>
      </x:c>
      <x:c r="E402" s="263"/>
      <x:c r="F402" s="263"/>
      <x:c r="G402" s="263" t="str">
        <x:v>DOWNLOAD_APPLICATION_REQUIRED</x:v>
      </x:c>
      <x:c r="H402" s="263" t="str">
        <x:v>https://moabb.neurotechx.com/docs/generated/moabb.datasets.BNCI2003_004.html</x:v>
      </x:c>
      <x:c r="I402" s="263" t="str">
        <x:v>Motor Imagery (right hand, feet)</x:v>
      </x:c>
      <x:c r="J402" s="263" t="str">
        <x:v>5</x:v>
      </x:c>
      <x:c r="K402" s="263" t="str">
        <x:v>118</x:v>
      </x:c>
      <x:c r="L402" s="263" t="str">
        <x:v>100 Hz</x:v>
      </x:c>
      <x:c r="M402" s="263" t="str">
        <x:v>MOABB-supported / 原始格式</x:v>
      </x:c>
      <x:c r="N402" s="263" t="str">
        <x:v>raw / 原始发布数据</x:v>
      </x:c>
      <x:c r="O402" s="263" t="str">
        <x:v>Open, CC BY 4.0, no application</x:v>
      </x:c>
      <x:c r="P402" s="263" t="str">
        <x:v>Klaus-Robert Müller, Fraunhofer FIRST</x:v>
      </x:c>
      <x:c r="Q402" s="263" t="str">
        <x:v>06_Motor_and_Interaction/Motor_Imagery_and_Execution/BNCI2003_004_BCI_Competition_II</x:v>
      </x:c>
      <x:c r="R402" s="263" t="str">
        <x:v>官方数据存在，但需申请、签署协议或获得权限</x:v>
      </x:c>
      <x:c r="S402" s="263"/>
      <x:c r="T402" s="263"/>
      <x:c r="U402" s="264"/>
    </x:row>
    <x:row r="403" ht="60" customHeight="1">
      <x:c r="A403" s="239" t="str">
        <x:v>EEG-0369</x:v>
      </x:c>
      <x:c r="B403" s="228" t="str">
        <x:v>06_Motor_and_Interaction</x:v>
      </x:c>
      <x:c r="C403" s="228" t="str">
        <x:v>Motor_Imagery_and_Execution</x:v>
      </x:c>
      <x:c r="D403" s="228" t="str">
        <x:v>BNCI 001-2019 (Attempted arm movement)</x:v>
      </x:c>
      <x:c r="E403" s="228" t="str">
        <x:v>BNCI 001-2019 (Attempted arm [EEG-0496]</x:v>
      </x:c>
      <x:c r="F403" s="228" t="str">
        <x:v>BNCI:BNCI 001-2019</x:v>
      </x:c>
      <x:c r="G403" s="228" t="str">
        <x:v>DOWNLOAD_PUBLIC</x:v>
      </x:c>
      <x:c r="H403" s="228" t="str">
        <x:v>[BNCI Horizon Data sets](https://bnci-horizon-2020.eu/database/data-sets) | http://bnci-horizon-2020.eu/database/data-sets</x:v>
      </x:c>
      <x:c r="I403" s="228" t="str">
        <x:v>5-class motor imagery；Decoding 5 attempted hand movements vs rest in SCI</x:v>
      </x:c>
      <x:c r="J403" s="228" t="str">
        <x:v>10</x:v>
      </x:c>
      <x:c r="K403" s="228" t="str">
        <x:v>61</x:v>
      </x:c>
      <x:c r="L403" s="228" t="str">
        <x:v>256Hz</x:v>
      </x:c>
      <x:c r="M403" s="228" t="str">
        <x:v>MOABB-supported / 原始格式</x:v>
      </x:c>
      <x:c r="N403" s="228" t="str">
        <x:v>未给出</x:v>
      </x:c>
      <x:c r="O403" s="228" t="str">
        <x:v>public BNCI; CC-BY-4.0</x:v>
      </x:c>
      <x:c r="P403" s="228" t="str">
        <x:v>未给出；Ofner/Müller-Putz, TU Graz</x:v>
      </x:c>
      <x:c r="Q403" s="228" t="str">
        <x:v>06_Motor_and_Interaction/Motor_Imagery_and_Execution/BNCI_001-2019_Attempted_Arm_Movement</x:v>
      </x:c>
      <x:c r="R403" s="228" t="str">
        <x:v>存在公开仓库、官方入口或稳定数据访问号；2026-08-04去重：EEG-0496并入EEG-0369（BNCI 001-2019 / BNCI2019_001）</x:v>
      </x:c>
      <x:c r="S403" s="228"/>
      <x:c r="T403" s="228"/>
      <x:c r="U403" s="205"/>
    </x:row>
    <x:row r="404" ht="60" customHeight="1">
      <x:c r="A404" s="262" t="str">
        <x:v>EEG-0371</x:v>
      </x:c>
      <x:c r="B404" s="263" t="str">
        <x:v>06_Motor_and_Interaction</x:v>
      </x:c>
      <x:c r="C404" s="263" t="str">
        <x:v>Motor_Imagery_and_Execution</x:v>
      </x:c>
      <x:c r="D404" s="263" t="str">
        <x:v>BNCI2022_001 (Difficulty level)</x:v>
      </x:c>
      <x:c r="E404" s="263" t="str">
        <x:v>BNCI 001-2022 (EEG correlates of difficulty level) [EEG-0526]</x:v>
      </x:c>
      <x:c r="F404" s="263" t="str">
        <x:v>BNCI:BNCI 001-2022</x:v>
      </x:c>
      <x:c r="G404" s="263" t="str">
        <x:v>DOWNLOAD_PUBLIC</x:v>
      </x:c>
      <x:c r="H404" s="263" t="str">
        <x:v>https://moabb.neurotechx.com/docs/generated/moabb.datasets.BNCI2022_001.html | http://bnci-horizon-2020.eu/database/data-sets</x:v>
      </x:c>
      <x:c r="I404" s="263" t="str">
        <x:v>Motor Imagery / Cognitive Difficulty；Drone joystick piloting in simulation under varying difficulty levels</x:v>
      </x:c>
      <x:c r="J404" s="263" t="str">
        <x:v>13</x:v>
      </x:c>
      <x:c r="K404" s="263" t="str">
        <x:v>64</x:v>
      </x:c>
      <x:c r="L404" s="263" t="str">
        <x:v>256 Hz</x:v>
      </x:c>
      <x:c r="M404" s="263"/>
      <x:c r="N404" s="263" t="str">
        <x:v>Raw</x:v>
      </x:c>
      <x:c r="O404" s="263" t="str">
        <x:v>Open, CC BY 4.0, no application</x:v>
      </x:c>
      <x:c r="P404" s="263" t="str">
        <x:v>José del R. Millán, EPFL；Jao et al. 2021</x:v>
      </x:c>
      <x:c r="Q404" s="263" t="str">
        <x:v>06_Motor_and_Interaction/Motor_Imagery_and_Execution/BNCI2022_001_Difficulty_level</x:v>
      </x:c>
      <x:c r="R404" s="263" t="str">
        <x:v>官方数据存在，但需申请、签署协议或获得权限；2026-08-04去重：EEG-0526并入EEG-0371（BNCI 001-2022 / BNCI2022_001）</x:v>
      </x:c>
      <x:c r="S404" s="263"/>
      <x:c r="T404" s="263"/>
      <x:c r="U404" s="264"/>
    </x:row>
    <x:row r="405" ht="60" customHeight="1">
      <x:c r="A405" s="239" t="str">
        <x:v>EEG-0372</x:v>
      </x:c>
      <x:c r="B405" s="228" t="str">
        <x:v>06_Motor_and_Interaction</x:v>
      </x:c>
      <x:c r="C405" s="228" t="str">
        <x:v>Motor_Imagery_and_Execution</x:v>
      </x:c>
      <x:c r="D405" s="228" t="str">
        <x:v>BNCI2024_001 (Handwritten characters)</x:v>
      </x:c>
      <x:c r="E405" s="228" t="str">
        <x:v>BNCI 001-2024 (Handwritten character classification through continuous kinematic decoding) [EEG-0527]</x:v>
      </x:c>
      <x:c r="F405" s="228" t="str">
        <x:v>BNCI:BNCI 001-2024</x:v>
      </x:c>
      <x:c r="G405" s="228" t="str">
        <x:v>DOWNLOAD_PUBLIC</x:v>
      </x:c>
      <x:c r="H405" s="228" t="str">
        <x:v>https://moabb.neurotechx.com/docs/generated/moabb.datasets.BNCI2024_001.html | http://bnci-horizon-2020.eu/database/data-sets</x:v>
      </x:c>
      <x:c r="I405" s="228" t="str">
        <x:v>Motor Imagery / Kinematic Decoding (handwriting)；Writing 10 handwritten letters with right index finger</x:v>
      </x:c>
      <x:c r="J405" s="228" t="str">
        <x:v>20</x:v>
      </x:c>
      <x:c r="K405" s="228" t="str">
        <x:v>60</x:v>
      </x:c>
      <x:c r="L405" s="228" t="str">
        <x:v>500 Hz</x:v>
      </x:c>
      <x:c r="M405" s="228"/>
      <x:c r="N405" s="228" t="str">
        <x:v>Raw</x:v>
      </x:c>
      <x:c r="O405" s="228" t="str">
        <x:v>Open, CC BY 4.0, no application</x:v>
      </x:c>
      <x:c r="P405" s="228" t="str">
        <x:v>Gernot Müller-Putz, Graz Univ. of Technology；Crell &amp; Müller-Putz 2024</x:v>
      </x:c>
      <x:c r="Q405" s="228" t="str">
        <x:v>06_Motor_and_Interaction/Motor_Imagery_and_Execution/BNCI2024_001_Handwritten_characters</x:v>
      </x:c>
      <x:c r="R405" s="228" t="str">
        <x:v>官方数据存在，但需申请、签署协议或获得权限；2026-08-04去重：EEG-0527并入EEG-0372（BNCI 001-2024 / BNCI2024_001）</x:v>
      </x:c>
      <x:c r="S405" s="228"/>
      <x:c r="T405" s="228"/>
      <x:c r="U405" s="205"/>
    </x:row>
    <x:row r="406" ht="60" customHeight="1">
      <x:c r="A406" s="262" t="str">
        <x:v>EEG-0373</x:v>
      </x:c>
      <x:c r="B406" s="263" t="str">
        <x:v>06_Motor_and_Interaction</x:v>
      </x:c>
      <x:c r="C406" s="263" t="str">
        <x:v>Motor_Imagery_and_Execution</x:v>
      </x:c>
      <x:c r="D406" s="263" t="str">
        <x:v>BNCI2025_001 (Motor Kinematics Reaching)</x:v>
      </x:c>
      <x:c r="E406" s="263" t="str">
        <x:v>BNCI 001-2025 (Simultaneous encoding of speed, distance, and direction in discrete reaching) [EEG-0528]</x:v>
      </x:c>
      <x:c r="F406" s="263" t="str">
        <x:v>BNCI:BNCI 001-2025</x:v>
      </x:c>
      <x:c r="G406" s="263" t="str">
        <x:v>DOWNLOAD_PUBLIC</x:v>
      </x:c>
      <x:c r="H406" s="263" t="str">
        <x:v>https://moabb.neurotechx.com/docs/generated/moabb.datasets.BNCI2025_001.html | http://bnci-horizon-2020.eu/database/data-sets</x:v>
      </x:c>
      <x:c r="I406" s="263" t="str">
        <x:v>Motor Execution (center-out reaching)；Discrete hand reaching in 4 directions with varying speed and distance</x:v>
      </x:c>
      <x:c r="J406" s="263" t="str">
        <x:v>20</x:v>
      </x:c>
      <x:c r="K406" s="263" t="str">
        <x:v>67</x:v>
      </x:c>
      <x:c r="L406" s="263" t="str">
        <x:v>500 Hz</x:v>
      </x:c>
      <x:c r="M406" s="263"/>
      <x:c r="N406" s="263" t="str">
        <x:v>Raw</x:v>
      </x:c>
      <x:c r="O406" s="263" t="str">
        <x:v>Open, CC BY 4.0, no application</x:v>
      </x:c>
      <x:c r="P406" s="263" t="str">
        <x:v>Gernot Müller-Putz, Graz；Srisrisawang &amp; Müller-Putz 2024</x:v>
      </x:c>
      <x:c r="Q406" s="263" t="str">
        <x:v>06_Motor_and_Interaction/Motor_Imagery_and_Execution/BNCI2025_001_Motor_Kinematics_Reaching</x:v>
      </x:c>
      <x:c r="R406" s="263" t="str">
        <x:v>官方数据存在，但需申请、签署协议或获得权限；2026-08-04去重：EEG-0528并入EEG-0373（BNCI 001-2025 / BNCI2025_001）</x:v>
      </x:c>
      <x:c r="S406" s="263"/>
      <x:c r="T406" s="263"/>
      <x:c r="U406" s="264"/>
    </x:row>
    <x:row r="407" ht="60" customHeight="1">
      <x:c r="A407" s="239" t="str">
        <x:v>EEG-0374</x:v>
      </x:c>
      <x:c r="B407" s="228" t="str">
        <x:v>06_Motor_and_Interaction</x:v>
      </x:c>
      <x:c r="C407" s="228" t="str">
        <x:v>Motor_Imagery_and_Execution</x:v>
      </x:c>
      <x:c r="D407" s="228" t="str">
        <x:v>BNCI2025_002 (Continuous 2D Trajectory)</x:v>
      </x:c>
      <x:c r="E407" s="228" t="str">
        <x:v>BNCI 002-2025 (Continuous 2D trajectory decoding from attempted movement) [EEG-0529]</x:v>
      </x:c>
      <x:c r="F407" s="228" t="str">
        <x:v>BNCI:BNCI 002-2025</x:v>
      </x:c>
      <x:c r="G407" s="228" t="str">
        <x:v>DOWNLOAD_PUBLIC</x:v>
      </x:c>
      <x:c r="H407" s="228" t="str">
        <x:v>https://moabb.neurotechx.com/docs/generated/moabb.datasets.BNCI2025_002.html | http://bnci-horizon-2020.eu/database/data-sets</x:v>
      </x:c>
      <x:c r="I407" s="228" t="str">
        <x:v>Motor Imagery (continuous 2D trajectory)；Continuous 2D trajectory tracking of attempted hand movements</x:v>
      </x:c>
      <x:c r="J407" s="228" t="str">
        <x:v>10</x:v>
      </x:c>
      <x:c r="K407" s="228" t="str">
        <x:v>60</x:v>
      </x:c>
      <x:c r="L407" s="228" t="str">
        <x:v>200 Hz</x:v>
      </x:c>
      <x:c r="M407" s="228"/>
      <x:c r="N407" s="228" t="str">
        <x:v>Raw</x:v>
      </x:c>
      <x:c r="O407" s="228" t="str">
        <x:v>Open, CC BY 4.0, no application</x:v>
      </x:c>
      <x:c r="P407" s="228" t="str">
        <x:v>Gernot Müller-Putz, Graz；Pulferer et al. 2022</x:v>
      </x:c>
      <x:c r="Q407" s="228" t="str">
        <x:v>06_Motor_and_Interaction/Motor_Imagery_and_Execution/BNCI2025_002_Continuous_2D_Trajectory</x:v>
      </x:c>
      <x:c r="R407" s="228" t="str">
        <x:v>官方数据存在，但需申请、签署协议或获得权限；2026-08-04去重：EEG-0529并入EEG-0374（BNCI 002-2025 / BNCI2025_002）</x:v>
      </x:c>
      <x:c r="S407" s="228"/>
      <x:c r="T407" s="228"/>
      <x:c r="U407" s="205"/>
    </x:row>
    <x:row r="408" ht="60" customHeight="1">
      <x:c r="A408" s="262" t="str">
        <x:v>EEG-0375</x:v>
      </x:c>
      <x:c r="B408" s="263" t="str">
        <x:v>06_Motor_and_Interaction</x:v>
      </x:c>
      <x:c r="C408" s="263" t="str">
        <x:v>Motor_Imagery_and_Execution</x:v>
      </x:c>
      <x:c r="D408" s="263" t="str">
        <x:v>Brandl (2020)</x:v>
      </x:c>
      <x:c r="E408" s="263"/>
      <x:c r="F408" s="263"/>
      <x:c r="G408" s="263" t="str">
        <x:v>DOWNLOAD_APPLICATION_REQUIRED</x:v>
      </x:c>
      <x:c r="H408" s="263" t="str">
        <x:v>https://depositonce.tu-berlin.de/handle/11303/10934.2</x:v>
      </x:c>
      <x:c r="I408" s="263" t="str">
        <x:v>MI 2-class (left/right hand) under 6 distraction conditions</x:v>
      </x:c>
      <x:c r="J408" s="263" t="str">
        <x:v>16</x:v>
      </x:c>
      <x:c r="K408" s="263" t="str">
        <x:v>63</x:v>
      </x:c>
      <x:c r="L408" s="263" t="str">
        <x:v>1000</x:v>
      </x:c>
      <x:c r="M408" s="263" t="str">
        <x:v>MAT (MATLAB v7.3 / HDF5)</x:v>
      </x:c>
      <x:c r="N408" s="263" t="str">
        <x:v>Raw (BBCI/MATLAB format)</x:v>
      </x:c>
      <x:c r="O408" s="263" t="str">
        <x:v>Open access on DepositOnce, no application needed</x:v>
      </x:c>
      <x:c r="P408" s="263" t="str">
        <x:v>S. Brandl et al., “Motor imagery under distraction—an open access BCI dataset,” Front. Neurosci., vol. 14, p. 566147, 2020.</x:v>
      </x:c>
      <x:c r="Q408" s="263" t="str">
        <x:v>06_Motor_and_Interaction/Motor_Imagery_and_Execution/Brandl_2020</x:v>
      </x:c>
      <x:c r="R408" s="263" t="str">
        <x:v>官方数据存在，但需申请、签署协议或获得权限</x:v>
      </x:c>
      <x:c r="S408" s="263"/>
      <x:c r="T408" s="263"/>
      <x:c r="U408" s="264"/>
    </x:row>
    <x:row r="409" ht="60" customHeight="1">
      <x:c r="A409" s="239" t="str">
        <x:v>EEG-0381</x:v>
      </x:c>
      <x:c r="B409" s="228" t="str">
        <x:v>06_Motor_and_Interaction</x:v>
      </x:c>
      <x:c r="C409" s="228" t="str">
        <x:v>Motor_Imagery_and_Execution</x:v>
      </x:c>
      <x:c r="D409" s="228" t="str">
        <x:v>DriverDistraction</x:v>
      </x:c>
      <x:c r="E409" s="228"/>
      <x:c r="F409" s="228"/>
      <x:c r="G409" s="228" t="str">
        <x:v>DOWNLOAD_PUBLIC</x:v>
      </x:c>
      <x:c r="H409" s="228" t="str">
        <x:v>https://moabb.neurotechx.com/docs/generated/moabb.datasets.Brandl2020.html</x:v>
      </x:c>
      <x:c r="I409" s="228" t="str">
        <x:v>driver distraction / motor imagery under distraction; EEG-X/SAMBA source</x:v>
      </x:c>
      <x:c r="J409" s="228" t="str">
        <x:v>16</x:v>
      </x:c>
      <x:c r="K409" s="228" t="str">
        <x:v>63</x:v>
      </x:c>
      <x:c r="L409" s="228" t="str">
        <x:v>1000 Hz</x:v>
      </x:c>
      <x:c r="M409" s="228" t="str">
        <x:v>MOABB-supported / original release</x:v>
      </x:c>
      <x:c r="N409" s="228" t="str">
        <x:v>raw / release-dependent</x:v>
      </x:c>
      <x:c r="O409" s="228" t="str">
        <x:v>MOABB lists Brandl2020 as Motor Imagery under distraction; verify exact link and metadata before use.</x:v>
      </x:c>
      <x:c r="P409" s="228" t="str">
        <x:v>Brandl &amp; Blankertz (2020); EEG-X/SAMBA; Liu et al. (2026), EEG Foundation Models Tables VIII-XIV</x:v>
      </x:c>
      <x:c r="Q409" s="228" t="str">
        <x:v>06_Motor_and_Interaction/Motor_Imagery_and_Execution/DriverDistraction</x:v>
      </x:c>
      <x:c r="R409" s="228" t="str">
        <x:v>存在公开仓库、官方入口或稳定数据访问号</x:v>
      </x:c>
      <x:c r="S409" s="228"/>
      <x:c r="T409" s="228"/>
      <x:c r="U409" s="205"/>
    </x:row>
    <x:row r="410" ht="60" customHeight="1">
      <x:c r="A410" s="262" t="str">
        <x:v>EEG-0382</x:v>
      </x:c>
      <x:c r="B410" s="263" t="str">
        <x:v>06_Motor_and_Interaction</x:v>
      </x:c>
      <x:c r="C410" s="263" t="str">
        <x:v>Motor_Imagery_and_Execution</x:v>
      </x:c>
      <x:c r="D410" s="263" t="str">
        <x:v>EEG-Controlled Exoskeleton</x:v>
      </x:c>
      <x:c r="E410" s="263"/>
      <x:c r="F410" s="263"/>
      <x:c r="G410" s="263" t="str">
        <x:v>DOWNLOAD_PUBLIC</x:v>
      </x:c>
      <x:c r="H410" s="263" t="str">
        <x:v>https://www.nature.com/articles/s41597-026-07476-w</x:v>
      </x:c>
      <x:c r="I410" s="263" t="str">
        <x:v>Closed-loop BMI lower-limb exoskeleton (walk/stop via kinesthetic MI)</x:v>
      </x:c>
      <x:c r="J410" s="263" t="str">
        <x:v>7</x:v>
      </x:c>
      <x:c r="K410" s="263" t="str">
        <x:v>60 (+EOG/IMU; MRI for 5)</x:v>
      </x:c>
      <x:c r="L410" s="263" t="str">
        <x:v>100 Hz (in Experiment-Sessions); 5 kHz (in MRI-Sessions)</x:v>
      </x:c>
      <x:c r="M410" s="263" t="str">
        <x:v>N.A. (multimodal)</x:v>
      </x:c>
      <x:c r="N410" s="263" t="str">
        <x:v>Raw (multimodal)</x:v>
      </x:c>
      <x:c r="O410" s="263" t="str">
        <x:v>Open; CC BY-NC-ND 4.0</x:v>
      </x:c>
      <x:c r="P410" s="263" t="str">
        <x:v>A dataset for closed-loop BMI control of a lower-limb exoskeleton during walking. Sarkar et al., 2026, Scientific Data.</x:v>
      </x:c>
      <x:c r="Q410" s="263" t="str">
        <x:v>06_Motor_and_Interaction/Motor_Imagery_and_Execution/EEG-Controlled_Exoskeleton</x:v>
      </x:c>
      <x:c r="R410" s="263" t="str">
        <x:v>存在公开仓库、官方入口或稳定数据访问号</x:v>
      </x:c>
      <x:c r="S410" s="263"/>
      <x:c r="T410" s="263"/>
      <x:c r="U410" s="264"/>
    </x:row>
    <x:row r="411" ht="60" customHeight="1">
      <x:c r="A411" s="239" t="str">
        <x:v>EEG-0387</x:v>
      </x:c>
      <x:c r="B411" s="228" t="str">
        <x:v>06_Motor_and_Interaction</x:v>
      </x:c>
      <x:c r="C411" s="228" t="str">
        <x:v>Motor_Imagery_and_Execution</x:v>
      </x:c>
      <x:c r="D411" s="228" t="str">
        <x:v>GrosseWentrup2009</x:v>
      </x:c>
      <x:c r="E411" s="228"/>
      <x:c r="F411" s="228"/>
      <x:c r="G411" s="228" t="str">
        <x:v>DOWNLOAD_PUBLIC</x:v>
      </x:c>
      <x:c r="H411" s="228" t="str">
        <x:v>[MOABB GrosseWentrup2009](https://moabb.neurotechx.com/docs/generated/moabb.datasets.GrosseWentrup2009.html)</x:v>
      </x:c>
      <x:c r="I411" s="228" t="str">
        <x:v>Motor imagery classification (Z=2 classes: left vs right hand imagined movement); used with Nearest Centroid classifier on covariance/Frechet-mean features</x:v>
      </x:c>
      <x:c r="J411" s="228" t="str">
        <x:v>10.0</x:v>
      </x:c>
      <x:c r="K411" s="228" t="str">
        <x:v>128.0</x:v>
      </x:c>
      <x:c r="L411" s="228" t="str">
        <x:v>500.0</x:v>
      </x:c>
      <x:c r="M411" s="228" t="str">
        <x:v>Accessed programmatically via the MOABB (Mother of All BCI Benchmarks) platform (Aristimunha et al., 2023)</x:v>
      </x:c>
      <x:c r="N411" s="228" t="str">
        <x:v>raw / 原始发布数据</x:v>
      </x:c>
      <x:c r="O411" s="228" t="str">
        <x:v>public via MOABB; CC-BY-4.0</x:v>
      </x:c>
      <x:c r="P411" s="228" t="str">
        <x:v>Grosse-Wentrup, M., Liefhold, C., Gramann, K., &amp; Buss, M. (2009). Beamforming in noninvasive brain-computer interfaces. IEEE Transactions on Biomedical Engineering, 56(4), 1209-1219.</x:v>
      </x:c>
      <x:c r="Q411" s="228" t="str">
        <x:v>06_Motor_and_Interaction/Motor_Imagery_and_Execution/GrosseWentrup2009</x:v>
      </x:c>
      <x:c r="R411" s="228" t="str">
        <x:v>存在公开仓库、官方入口或稳定数据访问号</x:v>
      </x:c>
      <x:c r="S411" s="228"/>
      <x:c r="T411" s="228"/>
      <x:c r="U411" s="205"/>
    </x:row>
    <x:row r="412" ht="60" customHeight="1">
      <x:c r="A412" s="262" t="str">
        <x:v>EEG-0391</x:v>
      </x:c>
      <x:c r="B412" s="263" t="str">
        <x:v>06_Motor_and_Interaction</x:v>
      </x:c>
      <x:c r="C412" s="263" t="str">
        <x:v>Motor_Imagery_and_Execution</x:v>
      </x:c>
      <x:c r="D412" s="263" t="str">
        <x:v>HGD</x:v>
      </x:c>
      <x:c r="E412" s="263"/>
      <x:c r="F412" s="263"/>
      <x:c r="G412" s="263" t="str">
        <x:v>DOWNLOAD_PUBLIC</x:v>
      </x:c>
      <x:c r="H412" s="263" t="str">
        <x:v>https://gin.g-node.org/robintibor/high-gamma-dataset</x:v>
      </x:c>
      <x:c r="I412" s="263" t="str">
        <x:v>Motor Imagery / motor execution; 4 targets (left hand, right hand, both feet, rest)</x:v>
      </x:c>
      <x:c r="J412" s="263" t="str">
        <x:v>14</x:v>
      </x:c>
      <x:c r="K412" s="263" t="str">
        <x:v>128</x:v>
      </x:c>
      <x:c r="L412" s="263" t="str">
        <x:v>500 Hz</x:v>
      </x:c>
      <x:c r="M412" s="263" t="str">
        <x:v>accessed via MOABB</x:v>
      </x:c>
      <x:c r="N412" s="263" t="str">
        <x:v>raw / preprocessed variants</x:v>
      </x:c>
      <x:c r="O412" s="263" t="str">
        <x:v>公开下载：High-Gamma Dataset GitHub (https://github.com/robintibor/high-gamma-dataset)；也可用 MOABB Schirrmeister2017 (https://moabb.neurotechx.com/docs/generated/moabb.datasets.Schirrmeister2017.html) 或 Braindecode 自动拉取。</x:v>
      </x:c>
      <x:c r="P412" s="263" t="str">
        <x:v>Schirrmeister et al. (2017). Deep learning with convolutional neural networks for EEG decoding and visualization. Human Brain Mapping 38(11):5391-5420.</x:v>
      </x:c>
      <x:c r="Q412" s="263" t="str">
        <x:v>06_Motor_and_Interaction/Motor_Imagery_and_Execution/HGD</x:v>
      </x:c>
      <x:c r="R412" s="263" t="str">
        <x:v>存在公开仓库、官方入口或稳定数据访问号</x:v>
      </x:c>
      <x:c r="S412" s="263"/>
      <x:c r="T412" s="263"/>
      <x:c r="U412" s="264"/>
    </x:row>
    <x:row r="413" ht="60" customHeight="1">
      <x:c r="A413" s="239" t="str">
        <x:v>EEG-0393</x:v>
      </x:c>
      <x:c r="B413" s="228" t="str">
        <x:v>06_Motor_and_Interaction</x:v>
      </x:c>
      <x:c r="C413" s="228" t="str">
        <x:v>Motor_Imagery_and_Execution</x:v>
      </x:c>
      <x:c r="D413" s="228" t="str">
        <x:v>Kaya2018</x:v>
      </x:c>
      <x:c r="E413" s="228"/>
      <x:c r="F413" s="228"/>
      <x:c r="G413" s="228" t="str">
        <x:v>DOWNLOAD_PUBLIC</x:v>
      </x:c>
      <x:c r="H413" s="228" t="str">
        <x:v>https://moabb.neurotechx.com/docs/generated/moabb.datasets.Kaya2018.html</x:v>
      </x:c>
      <x:c r="I413" s="228" t="str">
        <x:v>motor imagery: left hand, right hand, passive/rest</x:v>
      </x:c>
      <x:c r="J413" s="228" t="str">
        <x:v>7</x:v>
      </x:c>
      <x:c r="K413" s="228" t="str">
        <x:v>19</x:v>
      </x:c>
      <x:c r="L413" s="228" t="str">
        <x:v>200 Hz</x:v>
      </x:c>
      <x:c r="M413" s="228" t="str">
        <x:v>MOABB-supported / original release</x:v>
      </x:c>
      <x:c r="N413" s="228" t="str">
        <x:v>raw / MOABB-prepared</x:v>
      </x:c>
      <x:c r="O413" s="228" t="str">
        <x:v>MOABB auto-download; cite original Kaya dataset.</x:v>
      </x:c>
      <x:c r="P413" s="228" t="str">
        <x:v>Kaya et al.; SingLEM; Liu et al. (2026), EEG Foundation Models Tables VIII-XIV</x:v>
      </x:c>
      <x:c r="Q413" s="228" t="str">
        <x:v>06_Motor_and_Interaction/Motor_Imagery_and_Execution/Kaya2018</x:v>
      </x:c>
      <x:c r="R413" s="228" t="str">
        <x:v>存在公开仓库、官方入口或稳定数据访问号</x:v>
      </x:c>
      <x:c r="S413" s="228"/>
      <x:c r="T413" s="228"/>
      <x:c r="U413" s="205"/>
    </x:row>
    <x:row r="414" ht="60" customHeight="1">
      <x:c r="A414" s="262" t="str">
        <x:v>EEG-0401</x:v>
      </x:c>
      <x:c r="B414" s="263" t="str">
        <x:v>06_Motor_and_Interaction</x:v>
      </x:c>
      <x:c r="C414" s="263" t="str">
        <x:v>Motor_Imagery_and_Execution</x:v>
      </x:c>
      <x:c r="D414" s="263" t="str">
        <x:v>MI-under-Distraction</x:v>
      </x:c>
      <x:c r="E414" s="263"/>
      <x:c r="F414" s="263"/>
      <x:c r="G414" s="263" t="str">
        <x:v>DOWNLOAD_PUBLIC</x:v>
      </x:c>
      <x:c r="H414" s="263" t="str">
        <x:v>https://github.com/stephaniebrandl/bci-under-distraction</x:v>
      </x:c>
      <x:c r="I414" s="263" t="str">
        <x:v>Motor imagery under distraction (Stroop context)</x:v>
      </x:c>
      <x:c r="J414" s="263" t="str">
        <x:v>16</x:v>
      </x:c>
      <x:c r="K414" s="263" t="str">
        <x:v>63</x:v>
      </x:c>
      <x:c r="L414" s="263" t="str">
        <x:v>1000 Hz</x:v>
      </x:c>
      <x:c r="M414" s="263" t="str">
        <x:v>Neuroscan/BBCI .mat</x:v>
      </x:c>
      <x:c r="N414" s="263" t="str">
        <x:v>Raw (.mat, BBCI format)</x:v>
      </x:c>
      <x:c r="O414" s="263" t="str">
        <x:v>Open (TU Berlin DepositOnce)</x:v>
      </x:c>
      <x:c r="P414" s="263" t="str">
        <x:v>Motor imagery under distraction - an open access BCI dataset. Brandl et al., 2020, Frontiers in Neuroscience 14:566147.</x:v>
      </x:c>
      <x:c r="Q414" s="263" t="str">
        <x:v>06_Motor_and_Interaction/Motor_Imagery_and_Execution/MI-under-Distraction</x:v>
      </x:c>
      <x:c r="R414" s="263" t="str">
        <x:v>存在公开仓库、官方入口或稳定数据访问号</x:v>
      </x:c>
      <x:c r="S414" s="263"/>
      <x:c r="T414" s="263"/>
      <x:c r="U414" s="264"/>
    </x:row>
    <x:row r="415" ht="60" customHeight="1">
      <x:c r="A415" s="239" t="str">
        <x:v>EEG-0408</x:v>
      </x:c>
      <x:c r="B415" s="228" t="str">
        <x:v>06_Motor_and_Interaction</x:v>
      </x:c>
      <x:c r="C415" s="228" t="str">
        <x:v>Motor_Imagery_and_Execution</x:v>
      </x:c>
      <x:c r="D415" s="228" t="str">
        <x:v>OpenBMI</x:v>
      </x:c>
      <x:c r="E415" s="228"/>
      <x:c r="F415" s="228"/>
      <x:c r="G415" s="228" t="str">
        <x:v>DOWNLOAD_PUBLIC</x:v>
      </x:c>
      <x:c r="H415" s="228" t="str">
        <x:v>http://gigadb.org/dataset/100542</x:v>
      </x:c>
      <x:c r="I415" s="228" t="str">
        <x:v>MI + ERP (P300) + SSVEP</x:v>
      </x:c>
      <x:c r="J415" s="228" t="str">
        <x:v>54</x:v>
      </x:c>
      <x:c r="K415" s="228" t="str">
        <x:v>62</x:v>
      </x:c>
      <x:c r="L415" s="228" t="str">
        <x:v>1000 Hz</x:v>
      </x:c>
      <x:c r="M415" s="228" t="str">
        <x:v>MAT</x:v>
      </x:c>
      <x:c r="N415" s="228" t="str">
        <x:v>Raw (+ OpenBMI toolbox)</x:v>
      </x:c>
      <x:c r="O415" s="228" t="str">
        <x:v>Open (GigaDB), CC-BY</x:v>
      </x:c>
      <x:c r="P415" s="228" t="str">
        <x:v>EEG dataset and OpenBMI toolbox for three BCI paradigms: an investigation into BCI illiteracy. Lee et al., 2019, GigaScience 8(5):giz002.</x:v>
      </x:c>
      <x:c r="Q415" s="228" t="str">
        <x:v>06_Motor_and_Interaction/Motor_Imagery_and_Execution/OpenBMI</x:v>
      </x:c>
      <x:c r="R415" s="228" t="str">
        <x:v>存在公开仓库、官方入口或稳定数据访问号</x:v>
      </x:c>
      <x:c r="S415" s="228"/>
      <x:c r="T415" s="228"/>
      <x:c r="U415" s="205"/>
    </x:row>
    <x:row r="416" ht="60" customHeight="1">
      <x:c r="A416" s="262" t="str">
        <x:v>EEG-0409</x:v>
      </x:c>
      <x:c r="B416" s="263" t="str">
        <x:v>06_Motor_and_Interaction</x:v>
      </x:c>
      <x:c r="C416" s="263" t="str">
        <x:v>Motor_Imagery_and_Execution</x:v>
      </x:c>
      <x:c r="D416" s="263" t="str">
        <x:v>OpenNeuro ds002336</x:v>
      </x:c>
      <x:c r="E416" s="263"/>
      <x:c r="F416" s="263" t="str">
        <x:v>OpenNeuro:ds002336,ds002338</x:v>
      </x:c>
      <x:c r="G416" s="263" t="str">
        <x:v>DOWNLOAD_PUBLIC</x:v>
      </x:c>
      <x:c r="H416" s="263" t="str">
        <x:v>[OpenNeuro ds002336](https://openneuro.org/datasets/ds002336)</x:v>
      </x:c>
      <x:c r="I416" s="263" t="str">
        <x:v>motor imagery neurofeedback；EEG-fMRI integration；NF scores；activation maps</x:v>
      </x:c>
      <x:c r="J416" s="263" t="str">
        <x:v>30</x:v>
      </x:c>
      <x:c r="K416" s="263" t="str">
        <x:v>10-20</x:v>
      </x:c>
      <x:c r="L416" s="263" t="str">
        <x:v>5000Hz</x:v>
      </x:c>
      <x:c r="M416" s="263" t="str">
        <x:v>BIDS</x:v>
      </x:c>
      <x:c r="N416" s="263" t="str">
        <x:v>raw BIDS</x:v>
      </x:c>
      <x:c r="O416" s="263" t="str">
        <x:v>公开下载：OpenNeuro ds002336 (https://openneuro.org/datasets/ds002336) 和 OpenNeuro ds002338 (https://openneuro.org/datasets/ds002338)；用 OpenNeuro CLI / DataLad 分别获取 XP1 / XP2。</x:v>
      </x:c>
      <x:c r="P416" s="263" t="str">
        <x:v>未给出</x:v>
      </x:c>
      <x:c r="Q416" s="263" t="str">
        <x:v>06_Motor_and_Interaction/Motor_Imagery_and_Execution/OpenNeuro_ds002336</x:v>
      </x:c>
      <x:c r="R416" s="263" t="str">
        <x:v>存在公开仓库、官方入口或稳定数据访问号</x:v>
      </x:c>
      <x:c r="S416" s="263" t="str">
        <x:v>2 (ds002336) / 1 (ds002338)</x:v>
      </x:c>
      <x:c r="T416" s="263" t="str">
        <x:v>ds002336: motorloc 320, MI 200, NF 400; ds002338: ~320/run</x:v>
      </x:c>
      <x:c r="U416" s="264" t="str">
        <x:v>ds002336: 6 runs/subject; ds002338: 5 runs/subject</x:v>
      </x:c>
    </x:row>
    <x:row r="417" ht="60" customHeight="1">
      <x:c r="A417" s="239" t="str">
        <x:v>EEG-0410</x:v>
      </x:c>
      <x:c r="B417" s="228" t="str">
        <x:v>06_Motor_and_Interaction</x:v>
      </x:c>
      <x:c r="C417" s="228" t="str">
        <x:v>Motor_Imagery_and_Execution</x:v>
      </x:c>
      <x:c r="D417" s="228" t="str">
        <x:v>Shin EEG-NIRS (MI)</x:v>
      </x:c>
      <x:c r="E417" s="228"/>
      <x:c r="F417" s="228"/>
      <x:c r="G417" s="228" t="str">
        <x:v>DOWNLOAD_PUBLIC</x:v>
      </x:c>
      <x:c r="H417" s="228" t="str">
        <x:v>http://doc.ml.tu-berlin.de/simultaneous_EEG_NIRS/</x:v>
      </x:c>
      <x:c r="I417" s="228" t="str">
        <x:v>Motor imagery + mental arithmetic (hybrid EEG-NIRS)</x:v>
      </x:c>
      <x:c r="J417" s="228" t="str">
        <x:v>29</x:v>
      </x:c>
      <x:c r="K417" s="228" t="str">
        <x:v>30</x:v>
      </x:c>
      <x:c r="L417" s="228" t="str">
        <x:v>200 Hz (rec 1000)</x:v>
      </x:c>
      <x:c r="M417" s="228" t="str">
        <x:v>MAT (BrainVision)</x:v>
      </x:c>
      <x:c r="N417" s="228" t="str">
        <x:v>Both (raw + preprocessed/ERP)</x:v>
      </x:c>
      <x:c r="O417" s="228" t="str">
        <x:v>Open (TU-Berlin DepositOnce), CC-BY</x:v>
      </x:c>
      <x:c r="P417" s="228" t="str">
        <x:v>Open access dataset for EEG+NIRS single-trial classification. Shin et al., 2017, IEEE TNSRE 25(10):1735-1745.</x:v>
      </x:c>
      <x:c r="Q417" s="228" t="str">
        <x:v>06_Motor_and_Interaction/Motor_Imagery_and_Execution/Shin_EEG-NIRS_MI</x:v>
      </x:c>
      <x:c r="R417" s="228" t="str">
        <x:v>存在公开仓库、官方入口或稳定数据访问号</x:v>
      </x:c>
      <x:c r="S417" s="228"/>
      <x:c r="T417" s="228"/>
      <x:c r="U417" s="205"/>
    </x:row>
    <x:row r="418" ht="60" customHeight="1">
      <x:c r="A418" s="262" t="str">
        <x:v>EEG-0416</x:v>
      </x:c>
      <x:c r="B418" s="263" t="str">
        <x:v>06_Motor_and_Interaction</x:v>
      </x:c>
      <x:c r="C418" s="263" t="str">
        <x:v>Motor_Imagery_and_Execution</x:v>
      </x:c>
      <x:c r="D418" s="263" t="str">
        <x:v>Weibo2014</x:v>
      </x:c>
      <x:c r="E418" s="263"/>
      <x:c r="F418" s="263"/>
      <x:c r="G418" s="263" t="str">
        <x:v>DOWNLOAD_PUBLIC</x:v>
      </x:c>
      <x:c r="H418" s="263" t="str">
        <x:v>https://moabb.neurotechx.com/docs/generated/moabb.datasets.Weibo2014.html</x:v>
      </x:c>
      <x:c r="I418" s="263" t="str">
        <x:v>Motor Imagery (7-class)</x:v>
      </x:c>
      <x:c r="J418" s="263" t="str">
        <x:v>10</x:v>
      </x:c>
      <x:c r="K418" s="263" t="str">
        <x:v>60</x:v>
      </x:c>
      <x:c r="L418" s="263" t="str">
        <x:v>200 Hz</x:v>
      </x:c>
      <x:c r="M418" s="263" t="str">
        <x:v>MOABB-supported / 原始格式</x:v>
      </x:c>
      <x:c r="N418" s="263" t="str">
        <x:v>raw / 原始发布数据</x:v>
      </x:c>
      <x:c r="O418" s="263" t="str">
        <x:v>public via MOABB; CC0-1.0</x:v>
      </x:c>
      <x:c r="P418" s="263" t="str">
        <x:v>Weibo et al., PLoS ONE</x:v>
      </x:c>
      <x:c r="Q418" s="263" t="str">
        <x:v>06_Motor_and_Interaction/Motor_Imagery_and_Execution/Weibo2014</x:v>
      </x:c>
      <x:c r="R418" s="263" t="str">
        <x:v>存在公开仓库、官方入口或稳定数据访问号</x:v>
      </x:c>
      <x:c r="S418" s="263"/>
      <x:c r="T418" s="263"/>
      <x:c r="U418" s="264"/>
    </x:row>
    <x:row r="419" ht="60" customHeight="1">
      <x:c r="A419" s="239" t="str">
        <x:v>EEG-0422</x:v>
      </x:c>
      <x:c r="B419" s="228" t="str">
        <x:v>06_Motor_and_Interaction</x:v>
      </x:c>
      <x:c r="C419" s="228" t="str">
        <x:v>SSVEP_and_Evoked_BCI</x:v>
      </x:c>
      <x:c r="D419" s="228" t="str">
        <x:v>Castillos c-VEP</x:v>
      </x:c>
      <x:c r="E419" s="228"/>
      <x:c r="F419" s="228" t="str">
        <x:v>Zenodo:8255618</x:v>
      </x:c>
      <x:c r="G419" s="228" t="str">
        <x:v>DOWNLOAD_APPLICATION_REQUIRED</x:v>
      </x:c>
      <x:c r="H419" s="228" t="str">
        <x:v>https://zenodo.org/records/8255618</x:v>
      </x:c>
      <x:c r="I419" s="228" t="str">
        <x:v>c-VEP (code-modulated)</x:v>
      </x:c>
      <x:c r="J419" s="228" t="str">
        <x:v>12</x:v>
      </x:c>
      <x:c r="K419" s="228" t="str">
        <x:v>32 EEG</x:v>
      </x:c>
      <x:c r="L419" s="228" t="str">
        <x:v>500 Hz</x:v>
      </x:c>
      <x:c r="M419" s="228"/>
      <x:c r="N419" s="228" t="str">
        <x:v>Raw</x:v>
      </x:c>
      <x:c r="O419" s="228" t="str">
        <x:v>Open, CC-BY 4.0, no application</x:v>
      </x:c>
      <x:c r="P419" s="228" t="str">
        <x:v>Castillos et al.</x:v>
      </x:c>
      <x:c r="Q419" s="228" t="str">
        <x:v>06_Motor_and_Interaction/SSVEP_and_Evoked_BCI/Castillos_c-VEP</x:v>
      </x:c>
      <x:c r="R419" s="228" t="str">
        <x:v>官方数据存在，但需申请、签署协议或获得权限</x:v>
      </x:c>
      <x:c r="S419" s="228"/>
      <x:c r="T419" s="228"/>
      <x:c r="U419" s="205"/>
    </x:row>
    <x:row r="420" ht="60" customHeight="1">
      <x:c r="A420" s="262" t="str">
        <x:v>EEG-0428</x:v>
      </x:c>
      <x:c r="B420" s="263" t="str">
        <x:v>06_Motor_and_Interaction</x:v>
      </x:c>
      <x:c r="C420" s="263" t="str">
        <x:v>SSVEP_and_Evoked_BCI</x:v>
      </x:c>
      <x:c r="D420" s="263" t="str">
        <x:v>Data for Efficient dual-frequency SSVEP brain-computer interface system</x:v>
      </x:c>
      <x:c r="E420" s="263"/>
      <x:c r="F420" s="263"/>
      <x:c r="G420" s="263" t="str">
        <x:v>DOWNLOAD_PUBLIC</x:v>
      </x:c>
      <x:c r="H420" s="263" t="str">
        <x:v>https://bci.med.tsinghua.edu.cn/download.html</x:v>
      </x:c>
      <x:c r="I420" s="263" t="str">
        <x:v>Binocular interocular dual-frequency SSVEP spelling task</x:v>
      </x:c>
      <x:c r="J420" s="263" t="str">
        <x:v>10 subjects</x:v>
      </x:c>
      <x:c r="K420" s="263" t="str">
        <x:v>9 EEG channels</x:v>
      </x:c>
      <x:c r="L420" s="263" t="str">
        <x:v>250 Hz</x:v>
      </x:c>
      <x:c r="M420" s="263" t="str">
        <x:v>MAT</x:v>
      </x:c>
      <x:c r="N420" s="263" t="str">
        <x:v>Raw EEG</x:v>
      </x:c>
      <x:c r="O420" s="263" t="str">
        <x:v>Open Access</x:v>
      </x:c>
      <x:c r="P420" s="263" t="str">
        <x:v>Sun et al. 2024</x:v>
      </x:c>
      <x:c r="Q420" s="263" t="str">
        <x:v>06_Motor_and_Interaction/SSVEP_and_Evoked_BCI/Data_for_Efficient_dual-frequency_SSVEP_brain-computer_interface_system</x:v>
      </x:c>
      <x:c r="R420" s="263" t="str">
        <x:v>存在公开仓库、官方入口或稳定数据访问号</x:v>
      </x:c>
      <x:c r="S420" s="263"/>
      <x:c r="T420" s="263"/>
      <x:c r="U420" s="264"/>
    </x:row>
    <x:row r="421" ht="60" customHeight="1">
      <x:c r="A421" s="239" t="str">
        <x:v>EEG-0431</x:v>
      </x:c>
      <x:c r="B421" s="228" t="str">
        <x:v>06_Motor_and_Interaction</x:v>
      </x:c>
      <x:c r="C421" s="228" t="str">
        <x:v>SSVEP_and_Evoked_BCI</x:v>
      </x:c>
      <x:c r="D421" s="228" t="str">
        <x:v>Dual Frequency and Phase Modulation SSVEP-BCI Dataset</x:v>
      </x:c>
      <x:c r="E421" s="228"/>
      <x:c r="F421" s="228"/>
      <x:c r="G421" s="228" t="str">
        <x:v>DOWNLOAD_PUBLIC</x:v>
      </x:c>
      <x:c r="H421" s="228" t="str">
        <x:v>https://bci.med.tsinghua.edu.cn/download.html</x:v>
      </x:c>
      <x:c r="I421" s="228" t="str">
        <x:v>Dual-frequency and phase modulated SSVEP target spelling task</x:v>
      </x:c>
      <x:c r="J421" s="228" t="str">
        <x:v>12 subjects</x:v>
      </x:c>
      <x:c r="K421" s="228" t="str">
        <x:v>9 EEG channels</x:v>
      </x:c>
      <x:c r="L421" s="228" t="str">
        <x:v>1000 Hz</x:v>
      </x:c>
      <x:c r="M421" s="228" t="str">
        <x:v>MAT</x:v>
      </x:c>
      <x:c r="N421" s="228" t="str">
        <x:v>Raw EEG</x:v>
      </x:c>
      <x:c r="O421" s="228" t="str">
        <x:v>Open Access</x:v>
      </x:c>
      <x:c r="P421" s="228" t="str">
        <x:v>Liang et al. 2020</x:v>
      </x:c>
      <x:c r="Q421" s="228" t="str">
        <x:v>06_Motor_and_Interaction/SSVEP_and_Evoked_BCI/Dual_Frequency_and_Phase_Modulation_SSVEP-BCI_Dataset</x:v>
      </x:c>
      <x:c r="R421" s="228" t="str">
        <x:v>存在公开仓库、官方入口或稳定数据访问号</x:v>
      </x:c>
      <x:c r="S421" s="228"/>
      <x:c r="T421" s="228"/>
      <x:c r="U421" s="205"/>
    </x:row>
    <x:row r="422" ht="60" customHeight="1">
      <x:c r="A422" s="262" t="str">
        <x:v>EEG-0434</x:v>
      </x:c>
      <x:c r="B422" s="263" t="str">
        <x:v>06_Motor_and_Interaction</x:v>
      </x:c>
      <x:c r="C422" s="263" t="str">
        <x:v>SSVEP_and_Evoked_BCI</x:v>
      </x:c>
      <x:c r="D422" s="263" t="str">
        <x:v>FBCCA-DW dataset</x:v>
      </x:c>
      <x:c r="E422" s="263"/>
      <x:c r="F422" s="263"/>
      <x:c r="G422" s="263" t="str">
        <x:v>DOWNLOAD_PUBLIC</x:v>
      </x:c>
      <x:c r="H422" s="263" t="str">
        <x:v>https://bci.med.tsinghua.edu.cn/download.html</x:v>
      </x:c>
      <x:c r="I422" s="263" t="str">
        <x:v>40-class visual SSVEP target spelling task (8-15.8 Hz)</x:v>
      </x:c>
      <x:c r="J422" s="263" t="str">
        <x:v>14 subjects</x:v>
      </x:c>
      <x:c r="K422" s="263" t="str">
        <x:v>65 channels (64 EEG + 1 trigger)</x:v>
      </x:c>
      <x:c r="L422" s="263" t="str">
        <x:v>250 Hz</x:v>
      </x:c>
      <x:c r="M422" s="263" t="str">
        <x:v>MAT</x:v>
      </x:c>
      <x:c r="N422" s="263" t="str">
        <x:v>Raw EEG</x:v>
      </x:c>
      <x:c r="O422" s="263" t="str">
        <x:v>Open Access</x:v>
      </x:c>
      <x:c r="P422" s="263" t="str">
        <x:v>Chen et al. 2021</x:v>
      </x:c>
      <x:c r="Q422" s="263" t="str">
        <x:v>06_Motor_and_Interaction/SSVEP_and_Evoked_BCI/FBCCA-DW_dataset</x:v>
      </x:c>
      <x:c r="R422" s="263" t="str">
        <x:v>存在公开仓库、官方入口或稳定数据访问号</x:v>
      </x:c>
      <x:c r="S422" s="263"/>
      <x:c r="T422" s="263"/>
      <x:c r="U422" s="264"/>
    </x:row>
    <x:row r="423" ht="60" customHeight="1">
      <x:c r="A423" s="239" t="str">
        <x:v>EEG-0438</x:v>
      </x:c>
      <x:c r="B423" s="228" t="str">
        <x:v>06_Motor_and_Interaction</x:v>
      </x:c>
      <x:c r="C423" s="228" t="str">
        <x:v>SSVEP_and_Evoked_BCI</x:v>
      </x:c>
      <x:c r="D423" s="228" t="str">
        <x:v>Kalunga2016 (SSVEP Exo)</x:v>
      </x:c>
      <x:c r="E423" s="228"/>
      <x:c r="F423" s="228"/>
      <x:c r="G423" s="228" t="str">
        <x:v>DOWNLOAD_PUBLIC</x:v>
      </x:c>
      <x:c r="H423" s="228" t="str">
        <x:v>https://moabb.neurotechx.com/docs/generated/moabb.datasets.Kalunga2016.html</x:v>
      </x:c>
      <x:c r="I423" s="228" t="str">
        <x:v>SSVEP EEG; EEG-X downstream source</x:v>
      </x:c>
      <x:c r="J423" s="228" t="str">
        <x:v>12</x:v>
      </x:c>
      <x:c r="K423" s="228" t="str">
        <x:v>8</x:v>
      </x:c>
      <x:c r="L423" s="228" t="str">
        <x:v>256 Hz</x:v>
      </x:c>
      <x:c r="M423" s="228" t="str">
        <x:v>MAT</x:v>
      </x:c>
      <x:c r="N423" s="228" t="str">
        <x:v>raw / release-dependent</x:v>
      </x:c>
      <x:c r="O423" s="228" t="str">
        <x:v>Reported by EEG-X; exact public dataset/access route needs confirmation.</x:v>
      </x:c>
      <x:c r="P423" s="228" t="str">
        <x:v>Kalunga et al. (2016); EEG-X; Liu et al. (2026), EEG Foundation Models Tables VIII-XIV</x:v>
      </x:c>
      <x:c r="Q423" s="228" t="str">
        <x:v>06_Motor_and_Interaction/SSVEP_and_Evoked_BCI/Kalunga2016_SSVEP_Exo</x:v>
      </x:c>
      <x:c r="R423" s="228" t="str">
        <x:v>存在公开仓库、官方入口或稳定数据访问号</x:v>
      </x:c>
      <x:c r="S423" s="228"/>
      <x:c r="T423" s="228"/>
      <x:c r="U423" s="205"/>
    </x:row>
    <x:row r="424" ht="60" customHeight="1">
      <x:c r="A424" s="262" t="str">
        <x:v>EEG-0444</x:v>
      </x:c>
      <x:c r="B424" s="263" t="str">
        <x:v>06_Motor_and_Interaction</x:v>
      </x:c>
      <x:c r="C424" s="263" t="str">
        <x:v>SSVEP_and_Evoked_BCI</x:v>
      </x:c>
      <x:c r="D424" s="263" t="str">
        <x:v>Nakanishi2015</x:v>
      </x:c>
      <x:c r="E424" s="263" t="str">
        <x:v>Nakanishi 2015 SSVEP dataset</x:v>
      </x:c>
      <x:c r="F424" s="263"/>
      <x:c r="G424" s="263" t="str">
        <x:v>DOWNLOAD_PUBLIC</x:v>
      </x:c>
      <x:c r="H424" s="263" t="str">
        <x:v>https://moabb.neurotechx.com/docs/generated/moabb.datasets.Nakanishi2015.html</x:v>
      </x:c>
      <x:c r="I424" s="263" t="str">
        <x:v>12-class SSVEP (joint frequency-phase modulation)</x:v>
      </x:c>
      <x:c r="J424" s="263" t="str">
        <x:v>9</x:v>
      </x:c>
      <x:c r="K424" s="263" t="str">
        <x:v>8.0</x:v>
      </x:c>
      <x:c r="L424" s="263" t="str">
        <x:v>256.0</x:v>
      </x:c>
      <x:c r="M424" s="263" t="str">
        <x:v>MAT (MATLAB; 4-D tensor [12 targets x 8 channels x 1114 samples x 15 trials] per subject)</x:v>
      </x:c>
      <x:c r="N424" s="263" t="str">
        <x:v>raw / MOABB-prepared</x:v>
      </x:c>
      <x:c r="O424" s="263" t="str">
        <x:v>MOABB auto-download; original paper reports 10 subjects, MOABB/benchmark snapshot uses 9.</x:v>
      </x:c>
      <x:c r="P424" s="263" t="str">
        <x:v>Nakanishi et al. (2015). A Comparison Study of Canonical Correlation Analysis Based Methods for Detecting Steady-State Visual Evoked Potentials. PLoS ONE.</x:v>
      </x:c>
      <x:c r="Q424" s="263" t="str">
        <x:v>06_Motor_and_Interaction/SSVEP_and_Evoked_BCI/Nakanishi2015</x:v>
      </x:c>
      <x:c r="R424" s="263" t="str">
        <x:v>存在公开仓库、官方入口或稳定数据访问号</x:v>
      </x:c>
      <x:c r="S424" s="263"/>
      <x:c r="T424" s="263"/>
      <x:c r="U424" s="264"/>
    </x:row>
    <x:row r="425" ht="60" customHeight="1">
      <x:c r="A425" s="239" t="str">
        <x:v>EEG-0449</x:v>
      </x:c>
      <x:c r="B425" s="228" t="str">
        <x:v>06_Motor_and_Interaction</x:v>
      </x:c>
      <x:c r="C425" s="228" t="str">
        <x:v>SSVEP_and_Evoked_BCI</x:v>
      </x:c>
      <x:c r="D425" s="228" t="str">
        <x:v>Thielen2021</x:v>
      </x:c>
      <x:c r="E425" s="228"/>
      <x:c r="F425" s="228"/>
      <x:c r="G425" s="228" t="str">
        <x:v>DOWNLOAD_PUBLIC</x:v>
      </x:c>
      <x:c r="H425" s="228" t="str">
        <x:v>https://moabb.neurotechx.com/docs/generated/moabb.datasets.Thielen2021.html</x:v>
      </x:c>
      <x:c r="I425" s="228" t="str">
        <x:v>code-modulated visual evoked potential BCI</x:v>
      </x:c>
      <x:c r="J425" s="228" t="str">
        <x:v>30</x:v>
      </x:c>
      <x:c r="K425" s="228" t="str">
        <x:v>8</x:v>
      </x:c>
      <x:c r="L425" s="228" t="str">
        <x:v>512Hz</x:v>
      </x:c>
      <x:c r="M425" s="228" t="str">
        <x:v>MOABB-supported / 原始格式</x:v>
      </x:c>
      <x:c r="N425" s="228" t="str">
        <x:v>raw / 原始发布数据</x:v>
      </x:c>
      <x:c r="O425" s="228" t="str">
        <x:v>public via MOABB; CC0-1.0</x:v>
      </x:c>
      <x:c r="P425" s="228" t="str">
        <x:v>Thielen, Marsman, Farquhar, Desain, Radboud University</x:v>
      </x:c>
      <x:c r="Q425" s="228" t="str">
        <x:v>06_Motor_and_Interaction/SSVEP_and_Evoked_BCI/Thielen2021</x:v>
      </x:c>
      <x:c r="R425" s="228" t="str">
        <x:v>存在公开仓库、官方入口或稳定数据访问号</x:v>
      </x:c>
      <x:c r="S425" s="228"/>
      <x:c r="T425" s="228"/>
      <x:c r="U425" s="205"/>
    </x:row>
    <x:row r="426" ht="60" customHeight="1">
      <x:c r="A426" s="262" t="str">
        <x:v>EEG-0451</x:v>
      </x:c>
      <x:c r="B426" s="263" t="str">
        <x:v>06_Motor_and_Interaction</x:v>
      </x:c>
      <x:c r="C426" s="263" t="str">
        <x:v>SSVEP_and_Evoked_BCI</x:v>
      </x:c>
      <x:c r="D426" s="263" t="str">
        <x:v>Tsinghua JFPM SSVEP Dataset</x:v>
      </x:c>
      <x:c r="E426" s="263"/>
      <x:c r="F426" s="263"/>
      <x:c r="G426" s="263" t="str">
        <x:v>DOWNLOAD_PUBLIC</x:v>
      </x:c>
      <x:c r="H426" s="263" t="str">
        <x:v>https://bci.med.tsinghua.edu.cn/download.html</x:v>
      </x:c>
      <x:c r="I426" s="263" t="str">
        <x:v>High-speed SSVEP BCI speller spelling task</x:v>
      </x:c>
      <x:c r="J426" s="263" t="str">
        <x:v>10 subjects</x:v>
      </x:c>
      <x:c r="K426" s="263" t="str">
        <x:v>9 EEG channels</x:v>
      </x:c>
      <x:c r="L426" s="263" t="str">
        <x:v>250 Hz</x:v>
      </x:c>
      <x:c r="M426" s="263" t="str">
        <x:v>MAT</x:v>
      </x:c>
      <x:c r="N426" s="263" t="str">
        <x:v>Raw EEG</x:v>
      </x:c>
      <x:c r="O426" s="263" t="str">
        <x:v>Open Access</x:v>
      </x:c>
      <x:c r="P426" s="263" t="str">
        <x:v>Chen et al. 2015</x:v>
      </x:c>
      <x:c r="Q426" s="263" t="str">
        <x:v>06_Motor_and_Interaction/SSVEP_and_Evoked_BCI/Tsinghua_JFPM_SSVEP_Dataset</x:v>
      </x:c>
      <x:c r="R426" s="263" t="str">
        <x:v>存在公开仓库、官方入口或稳定数据访问号</x:v>
      </x:c>
      <x:c r="S426" s="263"/>
      <x:c r="T426" s="263"/>
      <x:c r="U426" s="264"/>
    </x:row>
    <x:row r="427" ht="60" customHeight="1">
      <x:c r="A427" s="239" t="str">
        <x:v>EEG-0455</x:v>
      </x:c>
      <x:c r="B427" s="228" t="str">
        <x:v>06_Motor_and_Interaction</x:v>
      </x:c>
      <x:c r="C427" s="228" t="str">
        <x:v>Interaction_and_Control</x:v>
      </x:c>
      <x:c r="D427" s="228" t="str">
        <x:v>BCI Competition III Dataset II</x:v>
      </x:c>
      <x:c r="E427" s="228"/>
      <x:c r="F427" s="228"/>
      <x:c r="G427" s="228" t="str">
        <x:v>DOWNLOAD_PUBLIC</x:v>
      </x:c>
      <x:c r="H427" s="228" t="str">
        <x:v>https://www.bbci.de/competition/iii/</x:v>
      </x:c>
      <x:c r="I427" s="228" t="str">
        <x:v>P300 speller</x:v>
      </x:c>
      <x:c r="J427" s="228" t="str">
        <x:v>2</x:v>
      </x:c>
      <x:c r="K427" s="228" t="str">
        <x:v>64 EEG</x:v>
      </x:c>
      <x:c r="L427" s="228" t="str">
        <x:v>240 Hz commonly reported</x:v>
      </x:c>
      <x:c r="M427" s="228" t="str">
        <x:v>MAT</x:v>
      </x:c>
      <x:c r="N427" s="228" t="str">
        <x:v>Raw EEG</x:v>
      </x:c>
      <x:c r="O427" s="228" t="str">
        <x:v>Open competition data</x:v>
      </x:c>
      <x:c r="P427" s="228" t="str">
        <x:v>Blankertz et al. 2006</x:v>
      </x:c>
      <x:c r="Q427" s="228" t="str">
        <x:v>06_Motor_and_Interaction/Interaction_and_Control/BCI_Competition_III_Dataset_II</x:v>
      </x:c>
      <x:c r="R427" s="228" t="str">
        <x:v>存在公开仓库、官方入口或稳定数据访问号</x:v>
      </x:c>
      <x:c r="S427" s="228"/>
      <x:c r="T427" s="228"/>
      <x:c r="U427" s="205"/>
    </x:row>
    <x:row r="428" ht="60" customHeight="1">
      <x:c r="A428" s="262" t="str">
        <x:v>EEG-0456</x:v>
      </x:c>
      <x:c r="B428" s="263" t="str">
        <x:v>06_Motor_and_Interaction</x:v>
      </x:c>
      <x:c r="C428" s="263" t="str">
        <x:v>Interaction_and_Control</x:v>
      </x:c>
      <x:c r="D428" s="263" t="str">
        <x:v>BCI-speech (BCIC2020-3)</x:v>
      </x:c>
      <x:c r="E428" s="263" t="str">
        <x:v>BCIC2020-3 (BCI Competition 2020 Track 3)</x:v>
      </x:c>
      <x:c r="F428" s="263"/>
      <x:c r="G428" s="263" t="str">
        <x:v>DOWNLOAD_PUBLIC</x:v>
      </x:c>
      <x:c r="H428" s="263" t="str">
        <x:v>https://nemar.org/dataexplorer/detail?dataset_id=nm000113</x:v>
      </x:c>
      <x:c r="I428" s="263" t="str">
        <x:v>Imagined-speech keyword classification (5 words)</x:v>
      </x:c>
      <x:c r="J428" s="263" t="str">
        <x:v>15 (OmniEEG lists 45*)</x:v>
      </x:c>
      <x:c r="K428" s="263" t="str">
        <x:v>64</x:v>
      </x:c>
      <x:c r="L428" s="263" t="str">
        <x:v>256 Hz</x:v>
      </x:c>
      <x:c r="M428" s="263" t="str">
        <x:v>MAT / EEGLAB</x:v>
      </x:c>
      <x:c r="N428" s="263" t="str">
        <x:v>Raw</x:v>
      </x:c>
      <x:c r="O428" s="263" t="str">
        <x:v>Open via BCI Competition 2020 / NeMAR</x:v>
      </x:c>
      <x:c r="P428" s="263" t="str">
        <x:v>2020 International Brain-Computer Interface Competition (Track 3: imagined speech). Jeong et al., 2022, Frontiers in Human Neuroscience 16:898300.</x:v>
      </x:c>
      <x:c r="Q428" s="263" t="str">
        <x:v>06_Motor_and_Interaction/Interaction_and_Control/BCI-speech_BCIC2020-3</x:v>
      </x:c>
      <x:c r="R428" s="263" t="str">
        <x:v>存在公开仓库、官方入口或稳定数据访问号</x:v>
      </x:c>
      <x:c r="S428" s="263"/>
      <x:c r="T428" s="263"/>
      <x:c r="U428" s="264"/>
    </x:row>
    <x:row r="429" ht="60" customHeight="1">
      <x:c r="A429" s="239" t="str">
        <x:v>EEG-0457</x:v>
      </x:c>
      <x:c r="B429" s="228" t="str">
        <x:v>06_Motor_and_Interaction</x:v>
      </x:c>
      <x:c r="C429" s="228" t="str">
        <x:v>Interaction_and_Control</x:v>
      </x:c>
      <x:c r="D429" s="228" t="str">
        <x:v>BCIC-II-IIb</x:v>
      </x:c>
      <x:c r="E429" s="228"/>
      <x:c r="F429" s="228"/>
      <x:c r="G429" s="228" t="str">
        <x:v>DOWNLOAD_PUBLIC</x:v>
      </x:c>
      <x:c r="H429" s="228" t="str">
        <x:v>[BCI Competition II Data set IIb](https://www.bbci.de/competition/ii/)</x:v>
      </x:c>
      <x:c r="I429" s="228" t="str">
        <x:v>ERN / ERP BCI Competition II dataset IIb; SAMBA downstream source</x:v>
      </x:c>
      <x:c r="J429" s="228" t="str">
        <x:v>1</x:v>
      </x:c>
      <x:c r="K429" s="228" t="str">
        <x:v>64</x:v>
      </x:c>
      <x:c r="L429" s="228" t="str">
        <x:v>240Hz</x:v>
      </x:c>
      <x:c r="M429" s="228" t="str">
        <x:v>BCI Competition release</x:v>
      </x:c>
      <x:c r="N429" s="228" t="str">
        <x:v>raw / release-dependent</x:v>
      </x:c>
      <x:c r="O429" s="228" t="str">
        <x:v>Reported by SAMBA; exact BCI Competition page and metadata need confirmation.</x:v>
      </x:c>
      <x:c r="P429" s="228" t="str">
        <x:v>SAMBA; Liu et al. (2026), EEG Foundation Models Tables VIII-XIV</x:v>
      </x:c>
      <x:c r="Q429" s="228" t="str">
        <x:v>06_Motor_and_Interaction/Interaction_and_Control/BCIC-II-IIb</x:v>
      </x:c>
      <x:c r="R429" s="228" t="str">
        <x:v>存在公开仓库、官方入口或稳定数据访问号</x:v>
      </x:c>
      <x:c r="S429" s="228"/>
      <x:c r="T429" s="228"/>
      <x:c r="U429" s="205"/>
    </x:row>
    <x:row r="430" ht="60" customHeight="1">
      <x:c r="A430" s="262" t="str">
        <x:v>EEG-0458</x:v>
      </x:c>
      <x:c r="B430" s="263" t="str">
        <x:v>06_Motor_and_Interaction</x:v>
      </x:c>
      <x:c r="C430" s="263" t="str">
        <x:v>Interaction_and_Control</x:v>
      </x:c>
      <x:c r="D430" s="263" t="str">
        <x:v>BCIC-III-II</x:v>
      </x:c>
      <x:c r="E430" s="263"/>
      <x:c r="F430" s="263"/>
      <x:c r="G430" s="263" t="str">
        <x:v>DOWNLOAD_PUBLIC</x:v>
      </x:c>
      <x:c r="H430" s="263" t="str">
        <x:v>[BCI Competition III Data set II](https://www.bbci.de/competition/iii/desc_II.pdf)</x:v>
      </x:c>
      <x:c r="I430" s="263" t="str">
        <x:v>ERN / ERP BCI Competition III dataset II; SAMBA downstream source</x:v>
      </x:c>
      <x:c r="J430" s="263" t="str">
        <x:v>2</x:v>
      </x:c>
      <x:c r="K430" s="263" t="str">
        <x:v>64</x:v>
      </x:c>
      <x:c r="L430" s="263" t="str">
        <x:v>240Hz</x:v>
      </x:c>
      <x:c r="M430" s="263" t="str">
        <x:v>BCI Competition release</x:v>
      </x:c>
      <x:c r="N430" s="263" t="str">
        <x:v>raw / release-dependent</x:v>
      </x:c>
      <x:c r="O430" s="263" t="str">
        <x:v>Reported by SAMBA; exact BCI Competition page and metadata need confirmation.</x:v>
      </x:c>
      <x:c r="P430" s="263" t="str">
        <x:v>SAMBA; Liu et al. (2026), EEG Foundation Models Tables VIII-XIV</x:v>
      </x:c>
      <x:c r="Q430" s="263" t="str">
        <x:v>06_Motor_and_Interaction/Interaction_and_Control/BCIC-III-II</x:v>
      </x:c>
      <x:c r="R430" s="263" t="str">
        <x:v>存在公开仓库、官方入口或稳定数据访问号</x:v>
      </x:c>
      <x:c r="S430" s="263"/>
      <x:c r="T430" s="263"/>
      <x:c r="U430" s="264"/>
    </x:row>
    <x:row r="431" ht="60" customHeight="1">
      <x:c r="A431" s="239" t="str">
        <x:v>EEG-0478</x:v>
      </x:c>
      <x:c r="B431" s="228" t="str">
        <x:v>06_Motor_and_Interaction</x:v>
      </x:c>
      <x:c r="C431" s="228" t="str">
        <x:v>Interaction_and_Control</x:v>
      </x:c>
      <x:c r="D431" s="228" t="str">
        <x:v>Brain Invaders family</x:v>
      </x:c>
      <x:c r="E431" s="228"/>
      <x:c r="F431" s="228"/>
      <x:c r="G431" s="228" t="str">
        <x:v>DOWNLOAD_PUBLIC</x:v>
      </x:c>
      <x:c r="H431" s="228" t="str">
        <x:v>https://moabb.neurotechx.com/docs/generated/moabb.datasets.BI2015a.html</x:v>
      </x:c>
      <x:c r="I431" s="228" t="str">
        <x:v>visual P300 BCI；target vs non-target；adaptive vs non-adaptive；single-user vs collaborative</x:v>
      </x:c>
      <x:c r="J431" s="228" t="str">
        <x:v>43</x:v>
      </x:c>
      <x:c r="K431" s="228" t="str">
        <x:v>32</x:v>
      </x:c>
      <x:c r="L431" s="228" t="str">
        <x:v>512 Hz</x:v>
      </x:c>
      <x:c r="M431" s="228" t="str">
        <x:v>MAT / GDF / MOABB-supported</x:v>
      </x:c>
      <x:c r="N431" s="228" t="str">
        <x:v>Raw</x:v>
      </x:c>
      <x:c r="O431" s="228" t="str">
        <x:v>公开下载：通过 MOABB Brain Invaders 系列 (https://moabb.neurotechx.com/docs/dataset_summary.html) 自动获取；手动版本在 Zenodo 的 BI2014a / BI2014b / BI2015a / BI2015b 条目中。</x:v>
      </x:c>
      <x:c r="P431" s="228" t="str">
        <x:v>Congedo et al.; MOABB Brain Invaders releases</x:v>
      </x:c>
      <x:c r="Q431" s="228" t="str">
        <x:v>06_Motor_and_Interaction/Interaction_and_Control/Brain_Invaders_family</x:v>
      </x:c>
      <x:c r="R431" s="228" t="str">
        <x:v>存在公开仓库、官方入口或稳定数据访问号</x:v>
      </x:c>
      <x:c r="S431" s="228"/>
      <x:c r="T431" s="228"/>
      <x:c r="U431" s="205"/>
    </x:row>
    <x:row r="432" ht="60" customHeight="1">
      <x:c r="A432" s="262" t="str">
        <x:v>EEG-0486</x:v>
      </x:c>
      <x:c r="B432" s="263" t="str">
        <x:v>06_Motor_and_Interaction</x:v>
      </x:c>
      <x:c r="C432" s="263" t="str">
        <x:v>Error_Feedback</x:v>
      </x:c>
      <x:c r="D432" s="263" t="str">
        <x:v>KaggleERN (Inria BCI Challenge - Error-Related Negativity)</x:v>
      </x:c>
      <x:c r="E432" s="263" t="str">
        <x:v>Inria BCI Challenge
Perrin2012</x:v>
      </x:c>
      <x:c r="F432" s="263"/>
      <x:c r="G432" s="263" t="str">
        <x:v>DOWNLOAD_PUBLIC</x:v>
      </x:c>
      <x:c r="H432" s="263" t="str">
        <x:v>[Kaggle BCI Challenge @ NER 2015](https://www.kaggle.com/c/inria-bci-challenge)</x:v>
      </x:c>
      <x:c r="I432" s="263" t="str">
        <x:v>error-related negativity / erroneous feedback detection；correct vs incorrect feedback</x:v>
      </x:c>
      <x:c r="J432" s="263" t="str">
        <x:v>26.0</x:v>
      </x:c>
      <x:c r="K432" s="263" t="str">
        <x:v>56.0</x:v>
      </x:c>
      <x:c r="L432" s="263" t="str">
        <x:v>600.0</x:v>
      </x:c>
      <x:c r="M432" s="263" t="str">
        <x:v>CSV / competition files</x:v>
      </x:c>
      <x:c r="N432" s="263" t="str">
        <x:v>competition epochs / raw-like CSV</x:v>
      </x:c>
      <x:c r="O432" s="263" t="str">
        <x:v>竞赛数据：Kaggle BCI Challenge @ NER 2015 (https://www.kaggle.com/c/inria-bci-challenge)；需 Kaggle 账号并同意 competition rules。</x:v>
      </x:c>
      <x:c r="P432" s="263" t="str">
        <x:v>Perrin et al. (2012). Objective and Subjective Evaluation of Online Error Correction during P300-Based Spelling. Advances in Human-Computer Interaction.</x:v>
      </x:c>
      <x:c r="Q432" s="263" t="str">
        <x:v>06_Motor_and_Interaction/Error_Feedback/KaggleERN_Inria_BCI_Challenge_-_Error-Related_Negativity</x:v>
      </x:c>
      <x:c r="R432" s="263" t="str">
        <x:v>存在公开仓库、官方入口或稳定数据访问号</x:v>
      </x:c>
      <x:c r="S432" s="263"/>
      <x:c r="T432" s="263"/>
      <x:c r="U432" s="264"/>
    </x:row>
    <x:row r="433" ht="60" customHeight="1">
      <x:c r="A433" s="239" t="str">
        <x:v>EEG-0488</x:v>
      </x:c>
      <x:c r="B433" s="228" t="str">
        <x:v>06_Motor_and_Interaction</x:v>
      </x:c>
      <x:c r="C433" s="228" t="str">
        <x:v>Interaction_and_Control</x:v>
      </x:c>
      <x:c r="D433" s="228" t="str">
        <x:v>Mainsah2025 BigP3BCI family (Studies A-S2)</x:v>
      </x:c>
      <x:c r="E433" s="228"/>
      <x:c r="F433" s="228" t="str">
        <x:v>DOI:10.13026/0byy-ry86</x:v>
      </x:c>
      <x:c r="G433" s="228" t="str">
        <x:v>DOWNLOAD_PUBLIC</x:v>
      </x:c>
      <x:c r="H433" s="228" t="str">
        <x:v>https://moabb.neurotechx.com/docs/generated/moabb.datasets.mainsah2025.Mainsah2025.html</x:v>
      </x:c>
      <x:c r="I433" s="228" t="str">
        <x:v>P300 / ERP (visual, 2-class)</x:v>
      </x:c>
      <x:c r="J433" s="228" t="str">
        <x:v>5-36 per study</x:v>
      </x:c>
      <x:c r="K433" s="228" t="str">
        <x:v>16</x:v>
      </x:c>
      <x:c r="L433" s="228" t="str">
        <x:v>256 Hz</x:v>
      </x:c>
      <x:c r="M433" s="228"/>
      <x:c r="N433" s="228" t="str">
        <x:v>Raw</x:v>
      </x:c>
      <x:c r="O433" s="228" t="str">
        <x:v>MOABB documentation accessible; source access via PhysioNet/MOABB</x:v>
      </x:c>
      <x:c r="P433" s="228" t="str">
        <x:v>Duke University / East Tennessee State University, DOI 10.13026/0byy-ry86</x:v>
      </x:c>
      <x:c r="Q433" s="228" t="str">
        <x:v>06_Motor_and_Interaction/Interaction_and_Control/Mainsah2025_BigP3BCI_family_Studies_A-S2</x:v>
      </x:c>
      <x:c r="R433" s="228" t="str">
        <x:v>存在公开仓库、官方入口或稳定数据访问号</x:v>
      </x:c>
      <x:c r="S433" s="228"/>
      <x:c r="T433" s="228"/>
      <x:c r="U433" s="205"/>
    </x:row>
    <x:row r="434" ht="60" customHeight="1">
      <x:c r="A434" s="262" t="str">
        <x:v>EEG-0492</x:v>
      </x:c>
      <x:c r="B434" s="263" t="str">
        <x:v>03_Consciousness_and_State</x:v>
      </x:c>
      <x:c r="C434" s="263" t="str">
        <x:v>Resting_State</x:v>
      </x:c>
      <x:c r="D434" s="263" t="str">
        <x:v>ADFSU</x:v>
      </x:c>
      <x:c r="E434" s="263"/>
      <x:c r="F434" s="263"/>
      <x:c r="G434" s="263" t="str">
        <x:v>DOWNLOAD_PUBLIC</x:v>
      </x:c>
      <x:c r="H434" s="263" t="str">
        <x:v>[OSF ADFSU](https://osf.io/2v5md/)</x:v>
      </x:c>
      <x:c r="I434" s="263" t="str">
        <x:v>AD vs healthy control resting-state EEG; eyes-open and eyes-closed</x:v>
      </x:c>
      <x:c r="J434" s="263" t="str">
        <x:v>92</x:v>
      </x:c>
      <x:c r="K434" s="263" t="str">
        <x:v>19</x:v>
      </x:c>
      <x:c r="L434" s="263" t="str">
        <x:v>128Hz</x:v>
      </x:c>
      <x:c r="M434" s="263" t="str">
        <x:v>OSF files / release-dependent</x:v>
      </x:c>
      <x:c r="N434" s="263" t="str">
        <x:v>processed / artifact-cleaned EEG</x:v>
      </x:c>
      <x:c r="O434" s="263" t="str">
        <x:v>Freely available via OSF / Scientific Reports data link; cite Vicchietti et al.</x:v>
      </x:c>
      <x:c r="P434" s="263" t="str">
        <x:v>Vicchietti et al. (2023); BrainWave Table 2</x:v>
      </x:c>
      <x:c r="Q434" s="263" t="str">
        <x:v>03_Consciousness_and_State/Resting_State/ADFSU</x:v>
      </x:c>
      <x:c r="R434" s="263" t="str">
        <x:v>存在公开仓库、官方入口或稳定数据访问号</x:v>
      </x:c>
      <x:c r="S434" s="263"/>
      <x:c r="T434" s="263"/>
      <x:c r="U434" s="264"/>
    </x:row>
    <x:row r="435" ht="60" customHeight="1">
      <x:c r="A435" s="239" t="str">
        <x:v>EEG-0494</x:v>
      </x:c>
      <x:c r="B435" s="228" t="str">
        <x:v>03_Consciousness_and_State</x:v>
      </x:c>
      <x:c r="C435" s="228" t="str">
        <x:v>Resting_State</x:v>
      </x:c>
      <x:c r="D435" s="228" t="str">
        <x:v>Babayan (2021)</x:v>
      </x:c>
      <x:c r="E435" s="228"/>
      <x:c r="F435" s="228"/>
      <x:c r="G435" s="228" t="str">
        <x:v>DOWNLOAD_APPLICATION_REQUIRED</x:v>
      </x:c>
      <x:c r="H435" s="228" t="str">
        <x:v>https://fcon_1000.projects.nitrc.org/indi/retro/MPI_LEMON/downloads/download_EEG.html</x:v>
      </x:c>
      <x:c r="I435" s="228" t="str">
        <x:v>resting-state</x:v>
      </x:c>
      <x:c r="J435" s="228" t="str">
        <x:v>227</x:v>
      </x:c>
      <x:c r="K435" s="228" t="str">
        <x:v>62</x:v>
      </x:c>
      <x:c r="L435" s="228" t="str">
        <x:v>2500 Hz (raw); 500 Hz (after downsampling)</x:v>
      </x:c>
      <x:c r="M435" s="228" t="str">
        <x:v>BrainVision</x:v>
      </x:c>
      <x:c r="N435" s="228" t="str">
        <x:v>Both raw and preprocessed EEG (BrainVision .eeg/.vhdr/.vmrk) provided</x:v>
      </x:c>
      <x:c r="O435" s="228" t="str">
        <x:v>Open access, no application needed for EEG/MRI imaging data (some phenotypic/psychiatric data restricted, requires data use agreement via COINS)</x:v>
      </x:c>
      <x:c r="P435" s="228" t="str">
        <x:v>Babayan A, Erbey M, Kumral D, et al. Sci Data 2019;6:180308. NOTE: table lists Subj=2274, which appears to be a typo/OCR error -- actual paper reports N=227-228 participants (~216 with usable EEG).</x:v>
      </x:c>
      <x:c r="Q435" s="228" t="str">
        <x:v>03_Consciousness_and_State/Resting_State/Babayan_2021</x:v>
      </x:c>
      <x:c r="R435" s="228" t="str">
        <x:v>官方数据存在，但需申请、签署协议或获得权限</x:v>
      </x:c>
      <x:c r="S435" s="228"/>
      <x:c r="T435" s="228"/>
      <x:c r="U435" s="205"/>
    </x:row>
    <x:row r="436" ht="60" customHeight="1">
      <x:c r="A436" s="262" t="str">
        <x:v>EEG-0506</x:v>
      </x:c>
      <x:c r="B436" s="263" t="str">
        <x:v>03_Consciousness_and_State</x:v>
      </x:c>
      <x:c r="C436" s="263" t="str">
        <x:v>Resting_State</x:v>
      </x:c>
      <x:c r="D436" s="263" t="str">
        <x:v>MPI-LEMON</x:v>
      </x:c>
      <x:c r="E436" s="263"/>
      <x:c r="F436" s="263"/>
      <x:c r="G436" s="263" t="str">
        <x:v>DOWNLOAD_PUBLIC</x:v>
      </x:c>
      <x:c r="H436" s="263" t="str">
        <x:v>https://ftp.gwdg.de/pub/misc/MPI-Leipzig_Mind-Brain-Body-LEMON/</x:v>
      </x:c>
      <x:c r="I436" s="263" t="str">
        <x:v>Resting-state (EO/EC); OmniEEG: age/gender/extraversion classification</x:v>
      </x:c>
      <x:c r="J436" s="263" t="str">
        <x:v>203</x:v>
      </x:c>
      <x:c r="K436" s="263" t="str">
        <x:v>62</x:v>
      </x:c>
      <x:c r="L436" s="263" t="str">
        <x:v>500 Hz (rec 2500)</x:v>
      </x:c>
      <x:c r="M436" s="263" t="str">
        <x:v>BrainVision</x:v>
      </x:c>
      <x:c r="N436" s="263" t="str">
        <x:v>Both (raw + preprocessed rs-EEG)</x:v>
      </x:c>
      <x:c r="O436" s="263" t="str">
        <x:v>Open (GWDG/FCP-INDI), CC BY-NC; review data terms</x:v>
      </x:c>
      <x:c r="P436" s="263" t="str">
        <x:v>A mind-brain-body dataset of MRI, EEG, cognition, emotion, and peripheral physiology in young and old adults. Babayan et al., 2019, Scientific Data 6:180308.</x:v>
      </x:c>
      <x:c r="Q436" s="263" t="str">
        <x:v>03_Consciousness_and_State/Resting_State/MPI-LEMON</x:v>
      </x:c>
      <x:c r="R436" s="263" t="str">
        <x:v>存在公开仓库、官方入口或稳定数据访问号</x:v>
      </x:c>
      <x:c r="S436" s="263"/>
      <x:c r="T436" s="263"/>
      <x:c r="U436" s="264"/>
    </x:row>
    <x:row r="437" ht="60" customHeight="1">
      <x:c r="A437" s="239" t="str">
        <x:v>EEG-0516</x:v>
      </x:c>
      <x:c r="B437" s="228" t="str">
        <x:v>03_Consciousness_and_State</x:v>
      </x:c>
      <x:c r="C437" s="228" t="str">
        <x:v>Resting_State</x:v>
      </x:c>
      <x:c r="D437" s="228" t="str">
        <x:v>Single-pulse open-loop TMS-EEG Dataset</x:v>
      </x:c>
      <x:c r="E437" s="228"/>
      <x:c r="F437" s="228" t="str">
        <x:v>OpenNeuro:ds002094</x:v>
      </x:c>
      <x:c r="G437" s="228" t="str">
        <x:v>DOWNLOAD_PUBLIC</x:v>
      </x:c>
      <x:c r="H437" s="228" t="str">
        <x:v>[OpenNeuro ds002094](https://openneuro.org/datasets/ds002094/versions/1.0.0)</x:v>
      </x:c>
      <x:c r="I437" s="228" t="str">
        <x:v>resting EEG + single-pulse TMS-EEG；cortical excitability / evoked response</x:v>
      </x:c>
      <x:c r="J437" s="228" t="str">
        <x:v>20</x:v>
      </x:c>
      <x:c r="K437" s="228" t="str">
        <x:v>30</x:v>
      </x:c>
      <x:c r="L437" s="228" t="str">
        <x:v>5000Hz</x:v>
      </x:c>
      <x:c r="M437" s="228" t="str">
        <x:v>BIDS</x:v>
      </x:c>
      <x:c r="N437" s="228" t="str">
        <x:v>raw BIDS</x:v>
      </x:c>
      <x:c r="O437" s="228" t="str">
        <x:v>公开下载：OpenNeuro ds002094 v1.0.0；CC0，可网页、OpenNeuro CLI 或 DataLad 获取。</x:v>
      </x:c>
      <x:c r="P437" s="228" t="str">
        <x:v>未给出</x:v>
      </x:c>
      <x:c r="Q437" s="228" t="str">
        <x:v>03_Consciousness_and_State/Resting_State/Single-pulse_open-loop_TMS-EEG_Dataset</x:v>
      </x:c>
      <x:c r="R437" s="228" t="str">
        <x:v>存在公开仓库、官方入口或稳定数据访问号</x:v>
      </x:c>
      <x:c r="S437" s="228"/>
      <x:c r="T437" s="228"/>
      <x:c r="U437" s="205"/>
    </x:row>
    <x:row r="438" ht="60" customHeight="1">
      <x:c r="A438" s="262" t="str">
        <x:v>EEG-0518</x:v>
      </x:c>
      <x:c r="B438" s="263" t="str">
        <x:v>03_Consciousness_and_State</x:v>
      </x:c>
      <x:c r="C438" s="263" t="str">
        <x:v>Resting_State</x:v>
      </x:c>
      <x:c r="D438" s="263" t="str">
        <x:v>Virtual T-maze paradigm including resting EEG: Example dataset</x:v>
      </x:c>
      <x:c r="E438" s="263"/>
      <x:c r="F438" s="263" t="str">
        <x:v>Zenodo:4697026 | DOI:10.3389/fnins.2021.660449</x:v>
      </x:c>
      <x:c r="G438" s="263" t="str">
        <x:v>DOWNLOAD_PUBLIC</x:v>
      </x:c>
      <x:c r="H438" s="263" t="str">
        <x:v>https://zenodo.org/records/4697026</x:v>
      </x:c>
      <x:c r="I438" s="263" t="str">
        <x:v>Virtual T-maze task and resting EEG</x:v>
      </x:c>
      <x:c r="J438" s="263" t="str">
        <x:v>34</x:v>
      </x:c>
      <x:c r="K438" s="263" t="str">
        <x:v>64</x:v>
      </x:c>
      <x:c r="L438" s="263"/>
      <x:c r="M438" s="263" t="str">
        <x:v>.eeg .vhd</x:v>
      </x:c>
      <x:c r="N438" s="263" t="str">
        <x:v>Raw</x:v>
      </x:c>
      <x:c r="O438" s="263" t="str">
        <x:v>Fully open</x:v>
      </x:c>
      <x:c r="P438" s="263" t="str">
        <x:v>DOI: 10.3389/fnins.2021.660449</x:v>
      </x:c>
      <x:c r="Q438" s="263" t="str">
        <x:v>03_Consciousness_and_State/Resting_State/Virtual_T-maze_paradigm_including_resting_EEG_Example_dataset</x:v>
      </x:c>
      <x:c r="R438" s="263" t="str">
        <x:v>存在公开仓库、官方入口或稳定数据访问号</x:v>
      </x:c>
      <x:c r="S438" s="263"/>
      <x:c r="T438" s="263"/>
      <x:c r="U438" s="264"/>
    </x:row>
    <x:row r="439" ht="60" customHeight="1">
      <x:c r="A439" s="239" t="str">
        <x:v>EEG-0524</x:v>
      </x:c>
      <x:c r="B439" s="228" t="str">
        <x:v>07_General-purpose</x:v>
      </x:c>
      <x:c r="C439" s="228" t="str">
        <x:v>Biometrics_and_Identity</x:v>
      </x:c>
      <x:c r="D439" s="228" t="str">
        <x:v>M3CV (Multi-Subject Multi-Session Multi-Paradigm database for EEG-based Biometrics)</x:v>
      </x:c>
      <x:c r="E439" s="228"/>
      <x:c r="F439" s="228"/>
      <x:c r="G439" s="228" t="str">
        <x:v>DOWNLOAD_PUBLIC</x:v>
      </x:c>
      <x:c r="H439" s="228" t="str">
        <x:v>[Kaggle M3CV EEG-based Biometric Competition](https://www.kaggle.com/c/eeg-based-biometric-competition)</x:v>
      </x:c>
      <x:c r="I439" s="228" t="str">
        <x:v>Biometrics / brainprint identification (MULTI paradigm: resting state, ERP, evoked stimuli, P300, motor execution, SSVEP)</x:v>
      </x:c>
      <x:c r="J439" s="228" t="str">
        <x:v>106.0</x:v>
      </x:c>
      <x:c r="K439" s="228" t="str">
        <x:v>64.0</x:v>
      </x:c>
      <x:c r="L439" s="228" t="str">
        <x:v>256.0</x:v>
      </x:c>
      <x:c r="M439" s="228" t="str">
        <x:v>MAT (.mat; each epoch shaped 65x1000 = 64 EEG + 1 marker channel x 1000 samples)</x:v>
      </x:c>
      <x:c r="N439" s="228" t="str">
        <x:v>raw</x:v>
      </x:c>
      <x:c r="O439" s="228" t="str">
        <x:v>公开下载：Kaggle M3CV EEG-based Biometric Competition (https://www.kaggle.com/c/eeg-based-biometric-competition)；也可从 NeMAR / OpenNeuro / EEGDash 的 BIDS 版本获取。</x:v>
      </x:c>
      <x:c r="P439" s="228" t="str">
        <x:v>Huang et al. (2022). M3CV: A multi-subject, multi-session, and multi-task database for EEG-based biometrics challenge. NeuroImage.</x:v>
      </x:c>
      <x:c r="Q439" s="228" t="str">
        <x:v>02_Biometrics_and_Disease/Biometrics_and_Traits/M3CV_Multi-Subject_Multi-Session_Multi-Paradigm_database_for_EEG-based_Biometrics</x:v>
      </x:c>
      <x:c r="R439" s="228" t="str">
        <x:v>存在公开仓库、官方入口或稳定数据访问号</x:v>
      </x:c>
      <x:c r="S439" s="228"/>
      <x:c r="T439" s="228"/>
      <x:c r="U439" s="205"/>
    </x:row>
    <x:row r="440" ht="60" customHeight="1">
      <x:c r="A440" s="262" t="str">
        <x:v>EEG-0538</x:v>
      </x:c>
      <x:c r="B440" s="263" t="str">
        <x:v>07_General-purpose_and_Multi-paradigm</x:v>
      </x:c>
      <x:c r="C440" s="263" t="str">
        <x:v>Multi-task_EEG</x:v>
      </x:c>
      <x:c r="D440" s="263" t="str">
        <x:v>EEGEyeNet</x:v>
      </x:c>
      <x:c r="E440" s="263"/>
      <x:c r="F440" s="263"/>
      <x:c r="G440" s="263" t="str">
        <x:v>DOWNLOAD_PUBLIC</x:v>
      </x:c>
      <x:c r="H440" s="263" t="str">
        <x:v>https://osf.io/5n6fm/</x:v>
      </x:c>
      <x:c r="I440" s="263" t="str">
        <x:v>Eye Movement Direction/Amplitude/Position Decoding from EEG (3 paradigms: left-right / angle-amplitude / absolute position)</x:v>
      </x:c>
      <x:c r="J440" s="263" t="str">
        <x:v>356</x:v>
      </x:c>
      <x:c r="K440" s="263" t="str">
        <x:v>128 (EGI Geodesic Hydrocel)</x:v>
      </x:c>
      <x:c r="L440" s="263" t="str">
        <x:v>500 Hz</x:v>
      </x:c>
      <x:c r="M440" s="263" t="str">
        <x:v>EEG (EGI MFF/NetStation; preprocessed NPY on OSF)</x:v>
      </x:c>
      <x:c r="N440" s="263" t="str">
        <x:v>Raw + preprocessed</x:v>
      </x:c>
      <x:c r="O440" s="263" t="str">
        <x:v>public research dataset；按仓库说明下载</x:v>
      </x:c>
      <x:c r="P440" s="263" t="str">
        <x:v>Kastrati et al. 2021, NeurIPS Datasets &amp; Benchmarks</x:v>
      </x:c>
      <x:c r="Q440" s="263" t="str">
        <x:v>07_General-purpose_and_Multi-paradigm/Multi-task_EEG/EEGEyeNet</x:v>
      </x:c>
      <x:c r="R440" s="263" t="str">
        <x:v>存在公开仓库、官方入口或稳定数据访问号</x:v>
      </x:c>
      <x:c r="S440" s="263"/>
      <x:c r="T440" s="263"/>
      <x:c r="U440" s="264"/>
    </x:row>
    <x:row r="441" ht="60" customHeight="1">
      <x:c r="A441" s="239" t="str">
        <x:v>EEG-0008</x:v>
      </x:c>
      <x:c r="B441" s="228" t="str">
        <x:v>02_Healthcare_and_Disease</x:v>
      </x:c>
      <x:c r="C441" s="228" t="str">
        <x:v>Epilepsy_and_Abnormalities</x:v>
      </x:c>
      <x:c r="D441" s="228" t="str">
        <x:v>Bonn EEG Seizure Dataset</x:v>
      </x:c>
      <x:c r="E441" s="228" t="str">
        <x:v>University of Bonn EEG Database (Andrzejak et al. 2001) [EEG-0037]</x:v>
      </x:c>
      <x:c r="F441" s="228"/>
      <x:c r="G441" s="228" t="str">
        <x:v>DOWNLOAD_PUBLIC</x:v>
      </x:c>
      <x:c r="H441" s="228" t="str">
        <x:v>[University of Bonn EEG data](https://www.ukbonn.de/epileptologie/arbeitsgruppen/ag-lehnertz-neurophysik/downloads/) | https://www.ukbonn.de/epileptologie/arbeitsgruppen/ag-lehnertz-neurophysik/downloads/</x:v>
      </x:c>
      <x:c r="I441" s="228" t="str">
        <x:v>seizure vs non-seizure / epilepsy classification；Epileptic seizure classification</x:v>
      </x:c>
      <x:c r="J441" s="228" t="str">
        <x:v>未给出</x:v>
      </x:c>
      <x:c r="K441" s="228" t="str">
        <x:v>1</x:v>
      </x:c>
      <x:c r="L441" s="228" t="str">
        <x:v>173.61Hz</x:v>
      </x:c>
      <x:c r="M441" s="228" t="str">
        <x:v>TXT / ASCII</x:v>
      </x:c>
      <x:c r="N441" s="228" t="str">
        <x:v>processed</x:v>
      </x:c>
      <x:c r="O441" s="228" t="str">
        <x:v>public academic download；citation required</x:v>
      </x:c>
      <x:c r="P441" s="228" t="str">
        <x:v>Andrzejak et al., 2001</x:v>
      </x:c>
      <x:c r="Q441" s="228" t="str">
        <x:v>02_Biometrics_and_Disease/Epilepsy_and_Abnormalities/Bonn_EEG_Seizure_Dataset</x:v>
      </x:c>
      <x:c r="R441" s="228" t="str">
        <x:v>存在公开仓库、官方入口或稳定数据访问号；2026-08-04去重：EEG-0037并入EEG-0008（Official University of Bonn landing page and Andrzejak 2001 corpus identity）</x:v>
      </x:c>
      <x:c r="S441" s="228"/>
      <x:c r="T441" s="228"/>
      <x:c r="U441" s="205"/>
    </x:row>
    <x:row r="442" ht="60" customHeight="1">
      <x:c r="A442" s="262" t="str">
        <x:v>EEG-0039</x:v>
      </x:c>
      <x:c r="B442" s="263" t="str">
        <x:v>02_Healthcare_and_Disease</x:v>
      </x:c>
      <x:c r="C442" s="263" t="str">
        <x:v>Neurodegenerative_Disorders</x:v>
      </x:c>
      <x:c r="D442" s="263" t="str">
        <x:v>AD-Auditory</x:v>
      </x:c>
      <x:c r="E442" s="263"/>
      <x:c r="F442" s="263" t="str">
        <x:v>OpenNeuro:ds005048</x:v>
      </x:c>
      <x:c r="G442" s="263" t="str">
        <x:v>DOWNLOAD_PUBLIC</x:v>
      </x:c>
      <x:c r="H442" s="263" t="str">
        <x:v>[OpenNeuro ds005048](https://openneuro.org/datasets/ds005048)</x:v>
      </x:c>
      <x:c r="I442" s="263" t="str">
        <x:v>AD / MCI / healthy control classification；auditory steady-state response / entrainment biomarkers</x:v>
      </x:c>
      <x:c r="J442" s="263" t="str">
        <x:v>未给出</x:v>
      </x:c>
      <x:c r="K442" s="263" t="str">
        <x:v>19</x:v>
      </x:c>
      <x:c r="L442" s="263" t="str">
        <x:v>250Hz</x:v>
      </x:c>
      <x:c r="M442" s="263" t="str">
        <x:v>BIDS</x:v>
      </x:c>
      <x:c r="N442" s="263" t="str">
        <x:v>raw BIDS</x:v>
      </x:c>
      <x:c r="O442" s="263" t="str">
        <x:v>公开下载：OpenNeuro ds005048 (https://openneuro.org/datasets/ds005048)</x:v>
      </x:c>
      <x:c r="P442" s="263" t="str">
        <x:v>未给出</x:v>
      </x:c>
      <x:c r="Q442" s="263" t="str">
        <x:v>02_Biometrics_and_Disease/Neurodegenerative_Disorders/AD-Auditory</x:v>
      </x:c>
      <x:c r="R442" s="263" t="str">
        <x:v>存在公开仓库、官方入口或稳定数据访问号</x:v>
      </x:c>
      <x:c r="S442" s="263"/>
      <x:c r="T442" s="263"/>
      <x:c r="U442" s="264"/>
    </x:row>
    <x:row r="443" ht="60" customHeight="1">
      <x:c r="A443" s="239" t="str">
        <x:v>EEG-0044</x:v>
      </x:c>
      <x:c r="B443" s="228" t="str">
        <x:v>02_Healthcare_and_Disease</x:v>
      </x:c>
      <x:c r="C443" s="228" t="str">
        <x:v>Neurodegenerative_Disorders</x:v>
      </x:c>
      <x:c r="D443" s="228" t="str">
        <x:v>Dementia Photo-stimulation Open-eyes EEG</x:v>
      </x:c>
      <x:c r="E443" s="228"/>
      <x:c r="F443" s="228" t="str">
        <x:v>OpenNeuro:ds006036</x:v>
      </x:c>
      <x:c r="G443" s="228" t="str">
        <x:v>DOWNLOAD_PUBLIC</x:v>
      </x:c>
      <x:c r="H443" s="228" t="str">
        <x:v>[OpenNeuro ds006036](https://openneuro.org/datasets/ds006036/versions/1.0.6)</x:v>
      </x:c>
      <x:c r="I443" s="228" t="str">
        <x:v>open-eyes EEG in photo-stimulation setting</x:v>
      </x:c>
      <x:c r="J443" s="228" t="str">
        <x:v>88</x:v>
      </x:c>
      <x:c r="K443" s="228" t="str">
        <x:v>未给出</x:v>
      </x:c>
      <x:c r="L443" s="228" t="str">
        <x:v>未给出</x:v>
      </x:c>
      <x:c r="M443" s="228" t="str">
        <x:v>BIDS</x:v>
      </x:c>
      <x:c r="N443" s="228" t="str">
        <x:v>raw BIDS</x:v>
      </x:c>
      <x:c r="O443" s="228" t="str">
        <x:v>公开下载：OpenNeuro ds006036 v1.0.6；CC0，可网页、OpenNeuro CLI 或 DataLad 获取。</x:v>
      </x:c>
      <x:c r="P443" s="228" t="str">
        <x:v>Aimilia Ntetska; Andreas Miltiadous; Alexandros T. Tzallas; Katerina D. Tzimourta; Theodora Afrantou</x:v>
      </x:c>
      <x:c r="Q443" s="228" t="str">
        <x:v>02_Biometrics_and_Disease/Neurodegenerative_Disorders/Dementia_Photo-stimulation_Open-eyes_EEG</x:v>
      </x:c>
      <x:c r="R443" s="228" t="str">
        <x:v>存在公开仓库、官方入口或稳定数据访问号</x:v>
      </x:c>
      <x:c r="S443" s="228"/>
      <x:c r="T443" s="228"/>
      <x:c r="U443" s="205"/>
    </x:row>
    <x:row r="444" ht="60" customHeight="1">
      <x:c r="A444" s="262" t="str">
        <x:v>EEG-0050</x:v>
      </x:c>
      <x:c r="B444" s="263" t="str">
        <x:v>02_Healthcare_and_Disease</x:v>
      </x:c>
      <x:c r="C444" s="263" t="str">
        <x:v>Mental_and_Developmental_Disorders</x:v>
      </x:c>
      <x:c r="D444" s="263" t="str">
        <x:v>Autism Detection Dataset</x:v>
      </x:c>
      <x:c r="E444" s="263"/>
      <x:c r="F444" s="263"/>
      <x:c r="G444" s="263" t="str">
        <x:v>DOWNLOAD_PUBLIC</x:v>
      </x:c>
      <x:c r="H444" s="263" t="str">
        <x:v>https://bci.med.tsinghua.edu.cn/download.html</x:v>
      </x:c>
      <x:c r="I444" s="263" t="str">
        <x:v>Pupillary response and eye-tracking visual paradigm for autism spectrum disorder detection</x:v>
      </x:c>
      <x:c r="J444" s="263" t="str">
        <x:v>75</x:v>
      </x:c>
      <x:c r="K444" s="263" t="str">
        <x:v>Eye-tracking / Pupillary data (No EEG)</x:v>
      </x:c>
      <x:c r="L444" s="263"/>
      <x:c r="M444" s="263" t="str">
        <x:v>CSV</x:v>
      </x:c>
      <x:c r="N444" s="263" t="str">
        <x:v>下载内容仅含眼动/瞳孔数据；未发现 EEG 信号</x:v>
      </x:c>
      <x:c r="O444" s="263" t="str">
        <x:v>Open Access</x:v>
      </x:c>
      <x:c r="P444" s="263" t="str">
        <x:v>Liu et al. 2022</x:v>
      </x:c>
      <x:c r="Q444" s="263" t="str">
        <x:v>02_Biometrics_and_Disease/Mental_and_Developmental_Disorders/Autism_Detection_Dataset</x:v>
      </x:c>
      <x:c r="R444" s="263" t="str">
        <x:v>存在公开仓库、官方入口或稳定数据访问号</x:v>
      </x:c>
      <x:c r="S444" s="263"/>
      <x:c r="T444" s="263"/>
      <x:c r="U444" s="264"/>
    </x:row>
    <x:row r="445" ht="60" customHeight="1">
      <x:c r="A445" s="239" t="str">
        <x:v>EEG-0158</x:v>
      </x:c>
      <x:c r="B445" s="228" t="str">
        <x:v>04_Cognition_and_Emotion</x:v>
      </x:c>
      <x:c r="C445" s="228" t="str">
        <x:v>Vigilance_Detection</x:v>
      </x:c>
      <x:c r="D445" s="228" t="str">
        <x:v>EPOC Post-SARS-CoV-2 PVT EEG</x:v>
      </x:c>
      <x:c r="E445" s="228"/>
      <x:c r="F445" s="228" t="str">
        <x:v>OpenNeuro:ds007605</x:v>
      </x:c>
      <x:c r="G445" s="228" t="str">
        <x:v>DOWNLOAD_PUBLIC</x:v>
      </x:c>
      <x:c r="H445" s="228" t="str">
        <x:v>[OpenNeuro ds007605](https://openneuro.org/datasets/ds007605/versions/1.0.0)</x:v>
      </x:c>
      <x:c r="I445" s="228" t="str">
        <x:v>psychomotor vigilance task；post-SARS-CoV-2 cognitive symptoms and fatigue</x:v>
      </x:c>
      <x:c r="J445" s="228" t="str">
        <x:v>97</x:v>
      </x:c>
      <x:c r="K445" s="228" t="str">
        <x:v>未给出</x:v>
      </x:c>
      <x:c r="L445" s="228" t="str">
        <x:v>未给出</x:v>
      </x:c>
      <x:c r="M445" s="228" t="str">
        <x:v>BIDS</x:v>
      </x:c>
      <x:c r="N445" s="228" t="str">
        <x:v>raw BIDS</x:v>
      </x:c>
      <x:c r="O445" s="228" t="str">
        <x:v>公开下载：OpenNeuro ds007605 v1.0.0；CC0，可网页、OpenNeuro CLI 或 DataLad 获取。</x:v>
      </x:c>
      <x:c r="P445" s="228" t="str">
        <x:v>Christian Neumann; Johanna Geritz; Julian Keil; Walter Maetzler; Julius Welzel</x:v>
      </x:c>
      <x:c r="Q445" s="228" t="str">
        <x:v>04_Cognition_and_Emotion/Vigilance_Detection/EPOC_Post-SARS-CoV-2_PVT_EEG</x:v>
      </x:c>
      <x:c r="R445" s="228" t="str">
        <x:v>存在公开仓库、官方入口或稳定数据访问号</x:v>
      </x:c>
      <x:c r="S445" s="228"/>
      <x:c r="T445" s="228"/>
      <x:c r="U445" s="205"/>
    </x:row>
    <x:row r="446" ht="60" customHeight="1">
      <x:c r="A446" s="262" t="str">
        <x:v>EEG-0161</x:v>
      </x:c>
      <x:c r="B446" s="263" t="str">
        <x:v>04_Cognition_and_Emotion</x:v>
      </x:c>
      <x:c r="C446" s="263" t="str">
        <x:v>Vigilance_Detection</x:v>
      </x:c>
      <x:c r="D446" s="263" t="str">
        <x:v>Han2024Fatigue</x:v>
      </x:c>
      <x:c r="E446" s="263"/>
      <x:c r="F446" s="263"/>
      <x:c r="G446" s="263" t="str">
        <x:v>DOWNLOAD_APPLICATION_REQUIRED</x:v>
      </x:c>
      <x:c r="H446" s="263" t="str">
        <x:v>https://moabb.neurotechx.com/docs/generated/moabb.datasets.Han2024Fatigue.html</x:v>
      </x:c>
      <x:c r="I446" s="263" t="str">
        <x:v>SSVEP (32-target, fatigue study)</x:v>
      </x:c>
      <x:c r="J446" s="263" t="str">
        <x:v>24</x:v>
      </x:c>
      <x:c r="K446" s="263" t="str">
        <x:v>64</x:v>
      </x:c>
      <x:c r="L446" s="263" t="str">
        <x:v>1000 Hz</x:v>
      </x:c>
      <x:c r="M446" s="263"/>
      <x:c r="N446" s="263" t="str">
        <x:v>Raw</x:v>
      </x:c>
      <x:c r="O446" s="263" t="str">
        <x:v>Open, CC BY 4.0, no application</x:v>
      </x:c>
      <x:c r="P446" s="263" t="str">
        <x:v>Dong Ming, Tianjin University</x:v>
      </x:c>
      <x:c r="Q446" s="263" t="str">
        <x:v>04_Cognition_and_Emotion/Vigilance_Detection/Han2024Fatigue</x:v>
      </x:c>
      <x:c r="R446" s="263" t="str">
        <x:v>官方数据存在，但需申请、签署协议或获得权限</x:v>
      </x:c>
      <x:c r="S446" s="263"/>
      <x:c r="T446" s="263"/>
      <x:c r="U446" s="264"/>
    </x:row>
    <x:row r="447" ht="60" customHeight="1">
      <x:c r="A447" s="239" t="str">
        <x:v>EEG-0175</x:v>
      </x:c>
      <x:c r="B447" s="228" t="str">
        <x:v>04_Cognition_and_Emotion</x:v>
      </x:c>
      <x:c r="C447" s="228" t="str">
        <x:v>Emotion_Recognition</x:v>
      </x:c>
      <x:c r="D447" s="228" t="str">
        <x:v>EEG-Asymmetries Dataset</x:v>
      </x:c>
      <x:c r="E447" s="228"/>
      <x:c r="F447" s="228" t="str">
        <x:v>OpenNeuro:ds007172</x:v>
      </x:c>
      <x:c r="G447" s="228" t="str">
        <x:v>DOWNLOAD_PUBLIC</x:v>
      </x:c>
      <x:c r="H447" s="228" t="str">
        <x:v>[OpenNeuro ds007172](https://openneuro.org/datasets/ds007172/versions/1.0.0)</x:v>
      </x:c>
      <x:c r="I447" s="228" t="str">
        <x:v>houses；words；emotions；faces；rest；hemispheric asymmetry</x:v>
      </x:c>
      <x:c r="J447" s="228" t="str">
        <x:v>100</x:v>
      </x:c>
      <x:c r="K447" s="228" t="str">
        <x:v>未给出</x:v>
      </x:c>
      <x:c r="L447" s="228" t="str">
        <x:v>未给出</x:v>
      </x:c>
      <x:c r="M447" s="228" t="str">
        <x:v>BIDS</x:v>
      </x:c>
      <x:c r="N447" s="228" t="str">
        <x:v>raw BIDS</x:v>
      </x:c>
      <x:c r="O447" s="228" t="str">
        <x:v>公开下载：OpenNeuro ds007172 v1.0.0；CC0，可网页、OpenNeuro CLI 或 DataLad 获取。</x:v>
      </x:c>
      <x:c r="P447" s="228" t="str">
        <x:v>Petunia Reinke; Lisa Deneke; Sebastian Ocklenburg</x:v>
      </x:c>
      <x:c r="Q447" s="228" t="str">
        <x:v>04_Cognition_and_Emotion/Emotion_Recognition/EEG-Asymmetries_Dataset</x:v>
      </x:c>
      <x:c r="R447" s="228" t="str">
        <x:v>存在公开仓库、官方入口或稳定数据访问号</x:v>
      </x:c>
      <x:c r="S447" s="228"/>
      <x:c r="T447" s="228"/>
      <x:c r="U447" s="205"/>
    </x:row>
    <x:row r="448" ht="60" customHeight="1">
      <x:c r="A448" s="262" t="str">
        <x:v>EEG-0183</x:v>
      </x:c>
      <x:c r="B448" s="263" t="str">
        <x:v>04_Cognition_and_Emotion</x:v>
      </x:c>
      <x:c r="C448" s="263" t="str">
        <x:v>Emotion_Recognition</x:v>
      </x:c>
      <x:c r="D448" s="263" t="str">
        <x:v>Loneliness Socio-affective EEG Suite</x:v>
      </x:c>
      <x:c r="E448" s="263"/>
      <x:c r="F448" s="263" t="str">
        <x:v>OpenNeuro:ds006861,ds006866,ds007827</x:v>
      </x:c>
      <x:c r="G448" s="263" t="str">
        <x:v>DOWNLOAD_PUBLIC</x:v>
      </x:c>
      <x:c r="H448" s="263" t="str">
        <x:v>[OpenNeuro ds006866](https://openneuro.org/datasets/ds006866/versions/1.0.0) / [ds006861](https://openneuro.org/datasets/ds006861/versions/1.0.2) / [ds007827](https://openneuro.org/datasets/ds007827/versions/1.0.1)</x:v>
      </x:c>
      <x:c r="I448" s="263" t="str">
        <x:v>emotion processing/regulation；image ratings；roving oddball；loneliness markers</x:v>
      </x:c>
      <x:c r="J448" s="263" t="str">
        <x:v>99-148</x:v>
      </x:c>
      <x:c r="K448" s="263" t="str">
        <x:v>未给出</x:v>
      </x:c>
      <x:c r="L448" s="263" t="str">
        <x:v>未给出</x:v>
      </x:c>
      <x:c r="M448" s="263" t="str">
        <x:v>BIDS</x:v>
      </x:c>
      <x:c r="N448" s="263" t="str">
        <x:v>raw BIDS</x:v>
      </x:c>
      <x:c r="O448" s="263" t="str">
        <x:v>公开下载：OpenNeuro ds006866 / ds006861 / ds007827；CC0，可网页、OpenNeuro CLI 或 DataLad 获取。</x:v>
      </x:c>
      <x:c r="P448" s="263" t="str">
        <x:v>Szymon Mąka; Marta Chrustowicz; Łukasz Okruszek; Joe Bathelt; Corine van Dijk; Marte Otten</x:v>
      </x:c>
      <x:c r="Q448" s="263" t="str">
        <x:v>04_Cognition_and_Emotion/Emotion_Recognition/Loneliness_Socio-affective_EEG_Suite</x:v>
      </x:c>
      <x:c r="R448" s="263" t="str">
        <x:v>存在公开仓库、官方入口或稳定数据访问号</x:v>
      </x:c>
      <x:c r="S448" s="263"/>
      <x:c r="T448" s="263"/>
      <x:c r="U448" s="264"/>
    </x:row>
    <x:row r="449" ht="60" customHeight="1">
      <x:c r="A449" s="239" t="str">
        <x:v>EEG-0210</x:v>
      </x:c>
      <x:c r="B449" s="228" t="str">
        <x:v>04_Cognition_and_Emotion</x:v>
      </x:c>
      <x:c r="C449" s="228" t="str">
        <x:v>Cognitive_Task_Recognition</x:v>
      </x:c>
      <x:c r="D449" s="228" t="str">
        <x:v>Cabergoline Reinforcement-learning EEG Suite</x:v>
      </x:c>
      <x:c r="E449" s="228"/>
      <x:c r="F449" s="228" t="str">
        <x:v>OpenNeuro:ds003518,ds004532</x:v>
      </x:c>
      <x:c r="G449" s="228" t="str">
        <x:v>DOWNLOAD_PUBLIC</x:v>
      </x:c>
      <x:c r="H449" s="228" t="str">
        <x:v>[OpenNeuro ds003518](https://openneuro.org/datasets/ds003518/versions/1.1.0) / [ds004532](https://openneuro.org/datasets/ds004532/versions/1.2.0)</x:v>
      </x:c>
      <x:c r="I449" s="228" t="str">
        <x:v>Simon conflict with reinforcement；PST；cabergoline challenge</x:v>
      </x:c>
      <x:c r="J449" s="228" t="str">
        <x:v>110</x:v>
      </x:c>
      <x:c r="K449" s="228" t="str">
        <x:v>未给出</x:v>
      </x:c>
      <x:c r="L449" s="228" t="str">
        <x:v>未给出</x:v>
      </x:c>
      <x:c r="M449" s="228" t="str">
        <x:v>BIDS</x:v>
      </x:c>
      <x:c r="N449" s="228" t="str">
        <x:v>raw BIDS</x:v>
      </x:c>
      <x:c r="O449" s="228" t="str">
        <x:v>公开下载：OpenNeuro ds003518 与 ds004532；CC0，可网页、OpenNeuro CLI 或 DataLad 获取。</x:v>
      </x:c>
      <x:c r="P449" s="228" t="str">
        <x:v>James F Cavanagh; Michael J Frank</x:v>
      </x:c>
      <x:c r="Q449" s="228" t="str">
        <x:v>04_Cognition_and_Emotion/Cognitive_Task_Recognition/Cabergoline_Reinforcement-learning_EEG_Suite</x:v>
      </x:c>
      <x:c r="R449" s="228" t="str">
        <x:v>存在公开仓库、官方入口或稳定数据访问号</x:v>
      </x:c>
      <x:c r="S449" s="228"/>
      <x:c r="T449" s="228"/>
      <x:c r="U449" s="205"/>
    </x:row>
    <x:row r="450" ht="60" customHeight="1">
      <x:c r="A450" s="262" t="str">
        <x:v>EEG-0263</x:v>
      </x:c>
      <x:c r="B450" s="263" t="str">
        <x:v>04_Cognition_and_Emotion</x:v>
      </x:c>
      <x:c r="C450" s="263" t="str">
        <x:v>ERP_and_Event_Detection</x:v>
      </x:c>
      <x:c r="D450" s="263" t="str">
        <x:v>Chailloux2020</x:v>
      </x:c>
      <x:c r="E450" s="263"/>
      <x:c r="F450" s="263"/>
      <x:c r="G450" s="263" t="str">
        <x:v>DOWNLOAD_APPLICATION_REQUIRED</x:v>
      </x:c>
      <x:c r="H450" s="263" t="str">
        <x:v>https://moabb.neurotechx.com/docs/generated/moabb.datasets.Chailloux2020.html</x:v>
      </x:c>
      <x:c r="I450" s="263" t="str">
        <x:v>ERP</x:v>
      </x:c>
      <x:c r="J450" s="263" t="str">
        <x:v>19</x:v>
      </x:c>
      <x:c r="K450" s="263" t="str">
        <x:v>8</x:v>
      </x:c>
      <x:c r="L450" s="263" t="str">
        <x:v>256 Hz</x:v>
      </x:c>
      <x:c r="M450" s="263"/>
      <x:c r="N450" s="263" t="str">
        <x:v>Raw</x:v>
      </x:c>
      <x:c r="O450" s="263" t="str">
        <x:v>Open, CC0, no application</x:v>
      </x:c>
      <x:c r="P450" s="263" t="str">
        <x:v>Tecnológico de Monterrey</x:v>
      </x:c>
      <x:c r="Q450" s="263" t="str">
        <x:v>04_Cognition_and_Emotion/ERP_and_Event_Detection/Chailloux2020</x:v>
      </x:c>
      <x:c r="R450" s="263" t="str">
        <x:v>官方数据存在，但需申请、签署协议或获得权限</x:v>
      </x:c>
      <x:c r="S450" s="263"/>
      <x:c r="T450" s="263"/>
      <x:c r="U450" s="264"/>
    </x:row>
    <x:row r="451" ht="60" customHeight="1">
      <x:c r="A451" s="239" t="str">
        <x:v>EEG-0264</x:v>
      </x:c>
      <x:c r="B451" s="228" t="str">
        <x:v>04_Cognition_and_Emotion</x:v>
      </x:c>
      <x:c r="C451" s="228" t="str">
        <x:v>ERP_and_Event_Detection</x:v>
      </x:c>
      <x:c r="D451" s="228" t="str">
        <x:v>Deaf Readers Semantic</x:v>
      </x:c>
      <x:c r="E451" s="228"/>
      <x:c r="F451" s="228" t="str">
        <x:v>OpenNeuro:ds005296</x:v>
      </x:c>
      <x:c r="G451" s="228" t="str">
        <x:v>DOWNLOAD_PUBLIC</x:v>
      </x:c>
      <x:c r="H451" s="228" t="str">
        <x:v>[OpenNeuro ds005296](https://openneuro.org/datasets/ds005296/versions/1.0.1)</x:v>
      </x:c>
      <x:c r="I451" s="228" t="str">
        <x:v>semantic and syntactic sentence violations；ERP in deaf and hearing readers</x:v>
      </x:c>
      <x:c r="J451" s="228" t="str">
        <x:v>62</x:v>
      </x:c>
      <x:c r="K451" s="228" t="str">
        <x:v>未给出</x:v>
      </x:c>
      <x:c r="L451" s="228" t="str">
        <x:v>未给出</x:v>
      </x:c>
      <x:c r="M451" s="228" t="str">
        <x:v>BIDS</x:v>
      </x:c>
      <x:c r="N451" s="228" t="str">
        <x:v>raw BIDS</x:v>
      </x:c>
      <x:c r="O451" s="228" t="str">
        <x:v>公开下载：OpenNeuro ds005296 v1.0.1；CC0，可网页、OpenNeuro CLI 或 DataLad 获取。</x:v>
      </x:c>
      <x:c r="P451" s="228" t="str">
        <x:v>Karen Emmorey; Emily M. Akers; Priscilla Martinez; Katherine J. Midgley; Phillip J. Holcomb</x:v>
      </x:c>
      <x:c r="Q451" s="228" t="str">
        <x:v>04_Cognition_and_Emotion/ERP_and_Event_Detection/Deaf_Readers_Semantic</x:v>
      </x:c>
      <x:c r="R451" s="228" t="str">
        <x:v>存在公开仓库、官方入口或稳定数据访问号</x:v>
      </x:c>
      <x:c r="S451" s="228"/>
      <x:c r="T451" s="228"/>
      <x:c r="U451" s="205"/>
    </x:row>
    <x:row r="452" ht="60" customHeight="1">
      <x:c r="A452" s="262" t="str">
        <x:v>EEG-0266</x:v>
      </x:c>
      <x:c r="B452" s="263" t="str">
        <x:v>04_Cognition_and_Emotion</x:v>
      </x:c>
      <x:c r="C452" s="263" t="str">
        <x:v>ERP_and_Event_Detection</x:v>
      </x:c>
      <x:c r="D452" s="263" t="str">
        <x:v>EPFLP300</x:v>
      </x:c>
      <x:c r="E452" s="263"/>
      <x:c r="F452" s="263"/>
      <x:c r="G452" s="263" t="str">
        <x:v>DOWNLOAD_PUBLIC</x:v>
      </x:c>
      <x:c r="H452" s="263" t="str">
        <x:v>[MOABB EPFLP300](https://moabb.neurotechx.com/docs/generated/moabb.datasets.EPFLP300.html)</x:v>
      </x:c>
      <x:c r="I452" s="263" t="str">
        <x:v>P300 / ERP target vs non-target</x:v>
      </x:c>
      <x:c r="J452" s="263" t="str">
        <x:v>8</x:v>
      </x:c>
      <x:c r="K452" s="263" t="str">
        <x:v>32</x:v>
      </x:c>
      <x:c r="L452" s="263" t="str">
        <x:v>2048Hz</x:v>
      </x:c>
      <x:c r="M452" s="263" t="str">
        <x:v>MOABB-supported / 原始格式</x:v>
      </x:c>
      <x:c r="N452" s="263" t="str">
        <x:v>raw / 原始发布数据</x:v>
      </x:c>
      <x:c r="O452" s="263" t="str">
        <x:v>未给出</x:v>
      </x:c>
      <x:c r="P452" s="263" t="str">
        <x:v>未给出</x:v>
      </x:c>
      <x:c r="Q452" s="263" t="str">
        <x:v>04_Cognition_and_Emotion/ERP_and_Event_Detection/EPFLP300</x:v>
      </x:c>
      <x:c r="R452" s="263" t="str">
        <x:v>存在公开仓库、官方入口或稳定数据访问号</x:v>
      </x:c>
      <x:c r="S452" s="263"/>
      <x:c r="T452" s="263"/>
      <x:c r="U452" s="264"/>
    </x:row>
    <x:row r="453" ht="60" customHeight="1">
      <x:c r="A453" s="239" t="str">
        <x:v>EEG-0269</x:v>
      </x:c>
      <x:c r="B453" s="228" t="str">
        <x:v>04_Cognition_and_Emotion</x:v>
      </x:c>
      <x:c r="C453" s="228" t="str">
        <x:v>ERP_and_Event_Detection</x:v>
      </x:c>
      <x:c r="D453" s="228" t="str">
        <x:v>GuttmannFlury2025_P300</x:v>
      </x:c>
      <x:c r="E453" s="228"/>
      <x:c r="F453" s="228"/>
      <x:c r="G453" s="228" t="str">
        <x:v>DOWNLOAD_APPLICATION_REQUIRED</x:v>
      </x:c>
      <x:c r="H453" s="228" t="str">
        <x:v>https://moabb.neurotechx.com/docs/generated/moabb.datasets.GuttmannFlury2025_P300.html</x:v>
      </x:c>
      <x:c r="I453" s="228" t="str">
        <x:v>P300 / ERP</x:v>
      </x:c>
      <x:c r="J453" s="228" t="str">
        <x:v>31</x:v>
      </x:c>
      <x:c r="K453" s="228" t="str">
        <x:v>64</x:v>
      </x:c>
      <x:c r="L453" s="228" t="str">
        <x:v>1000 Hz</x:v>
      </x:c>
      <x:c r="M453" s="228"/>
      <x:c r="N453" s="228" t="str">
        <x:v>Raw</x:v>
      </x:c>
      <x:c r="O453" s="228" t="str">
        <x:v>Open, CC0, no application</x:v>
      </x:c>
      <x:c r="P453" s="228" t="str">
        <x:v>Shanghai Jiao Tong University</x:v>
      </x:c>
      <x:c r="Q453" s="228" t="str">
        <x:v>04_Cognition_and_Emotion/ERP_and_Event_Detection/GuttmannFlury2025_P300</x:v>
      </x:c>
      <x:c r="R453" s="228" t="str">
        <x:v>官方数据存在，但需申请、签署协议或获得权限</x:v>
      </x:c>
      <x:c r="S453" s="228"/>
      <x:c r="T453" s="228"/>
      <x:c r="U453" s="205"/>
    </x:row>
    <x:row r="454" ht="60" customHeight="1">
      <x:c r="A454" s="262" t="str">
        <x:v>EEG-0271</x:v>
      </x:c>
      <x:c r="B454" s="263" t="str">
        <x:v>04_Cognition_and_Emotion</x:v>
      </x:c>
      <x:c r="C454" s="263" t="str">
        <x:v>ERP_and_Event_Detection</x:v>
      </x:c>
      <x:c r="D454" s="263" t="str">
        <x:v>Kaneshiro2015 (visual object ERP)</x:v>
      </x:c>
      <x:c r="E454" s="263"/>
      <x:c r="F454" s="263"/>
      <x:c r="G454" s="263" t="str">
        <x:v>DOWNLOAD_APPLICATION_REQUIRED</x:v>
      </x:c>
      <x:c r="H454" s="263" t="str">
        <x:v>https://moabb.neurotechx.com/docs/generated/moabb.datasets.Kaneshiro2015.html</x:v>
      </x:c>
      <x:c r="I454" s="263" t="str">
        <x:v>ERP (visual object categories, 6-class)</x:v>
      </x:c>
      <x:c r="J454" s="263" t="str">
        <x:v>10</x:v>
      </x:c>
      <x:c r="K454" s="263" t="str">
        <x:v>124</x:v>
      </x:c>
      <x:c r="L454" s="263" t="str">
        <x:v>62.5 Hz</x:v>
      </x:c>
      <x:c r="M454" s="263"/>
      <x:c r="N454" s="263" t="str">
        <x:v>Raw</x:v>
      </x:c>
      <x:c r="O454" s="263" t="str">
        <x:v>Open, CC BY 3.0, no application</x:v>
      </x:c>
      <x:c r="P454" s="263" t="str">
        <x:v>Stanford University</x:v>
      </x:c>
      <x:c r="Q454" s="263" t="str">
        <x:v>04_Cognition_and_Emotion/ERP_and_Event_Detection/Kaneshiro2015_visual_object_ERP</x:v>
      </x:c>
      <x:c r="R454" s="263" t="str">
        <x:v>官方数据存在，但需申请、签署协议或获得权限</x:v>
      </x:c>
      <x:c r="S454" s="263"/>
      <x:c r="T454" s="263"/>
      <x:c r="U454" s="264"/>
    </x:row>
    <x:row r="455" ht="60" customHeight="1">
      <x:c r="A455" s="239" t="str">
        <x:v>EEG-0272</x:v>
      </x:c>
      <x:c r="B455" s="228" t="str">
        <x:v>04_Cognition_and_Emotion</x:v>
      </x:c>
      <x:c r="C455" s="228" t="str">
        <x:v>ERP_and_Event_Detection</x:v>
      </x:c>
      <x:c r="D455" s="228" t="str">
        <x:v>Kojima2024A (auditory ERP)</x:v>
      </x:c>
      <x:c r="E455" s="228"/>
      <x:c r="F455" s="228"/>
      <x:c r="G455" s="228" t="str">
        <x:v>DOWNLOAD_APPLICATION_REQUIRED</x:v>
      </x:c>
      <x:c r="H455" s="228" t="str">
        <x:v>https://moabb.neurotechx.com/docs/generated/moabb.datasets.Kojima2024A.html</x:v>
      </x:c>
      <x:c r="I455" s="228" t="str">
        <x:v>Auditory ERP</x:v>
      </x:c>
      <x:c r="J455" s="228" t="str">
        <x:v>11</x:v>
      </x:c>
      <x:c r="K455" s="228" t="str">
        <x:v>64</x:v>
      </x:c>
      <x:c r="L455" s="228" t="str">
        <x:v>1000 Hz</x:v>
      </x:c>
      <x:c r="M455" s="228"/>
      <x:c r="N455" s="228" t="str">
        <x:v>Raw</x:v>
      </x:c>
      <x:c r="O455" s="228" t="str">
        <x:v>Open, CC0-1.0, no application</x:v>
      </x:c>
      <x:c r="P455" s="228" t="str">
        <x:v>Shin'ichiro Kanoh, Shibaura Institute of Technology</x:v>
      </x:c>
      <x:c r="Q455" s="228" t="str">
        <x:v>04_Cognition_and_Emotion/ERP_and_Event_Detection/Kojima2024A_auditory_ERP</x:v>
      </x:c>
      <x:c r="R455" s="228" t="str">
        <x:v>官方数据存在，但需申请、签署协议或获得权限</x:v>
      </x:c>
      <x:c r="S455" s="228"/>
      <x:c r="T455" s="228"/>
      <x:c r="U455" s="205"/>
    </x:row>
    <x:row r="456" ht="60" customHeight="1">
      <x:c r="A456" s="262" t="str">
        <x:v>EEG-0273</x:v>
      </x:c>
      <x:c r="B456" s="263" t="str">
        <x:v>04_Cognition_and_Emotion</x:v>
      </x:c>
      <x:c r="C456" s="263" t="str">
        <x:v>ERP_and_Event_Detection</x:v>
      </x:c>
      <x:c r="D456" s="263" t="str">
        <x:v>Kojima2024B (auditory ERP)</x:v>
      </x:c>
      <x:c r="E456" s="263"/>
      <x:c r="F456" s="263"/>
      <x:c r="G456" s="263" t="str">
        <x:v>DOWNLOAD_APPLICATION_REQUIRED</x:v>
      </x:c>
      <x:c r="H456" s="263" t="str">
        <x:v>https://moabb.neurotechx.com/docs/generated/moabb.datasets.Kojima2024B.html</x:v>
      </x:c>
      <x:c r="I456" s="263" t="str">
        <x:v>Auditory ERP</x:v>
      </x:c>
      <x:c r="J456" s="263" t="str">
        <x:v>15</x:v>
      </x:c>
      <x:c r="K456" s="263" t="str">
        <x:v>64</x:v>
      </x:c>
      <x:c r="L456" s="263" t="str">
        <x:v>1000 Hz</x:v>
      </x:c>
      <x:c r="M456" s="263"/>
      <x:c r="N456" s="263" t="str">
        <x:v>Raw</x:v>
      </x:c>
      <x:c r="O456" s="263" t="str">
        <x:v>Open, CC0-1.0, no application</x:v>
      </x:c>
      <x:c r="P456" s="263" t="str">
        <x:v>Shibaura Institute of Technology</x:v>
      </x:c>
      <x:c r="Q456" s="263" t="str">
        <x:v>04_Cognition_and_Emotion/ERP_and_Event_Detection/Kojima2024B_auditory_ERP</x:v>
      </x:c>
      <x:c r="R456" s="263" t="str">
        <x:v>官方数据存在，但需申请、签署协议或获得权限</x:v>
      </x:c>
      <x:c r="S456" s="263"/>
      <x:c r="T456" s="263"/>
      <x:c r="U456" s="264"/>
    </x:row>
    <x:row r="457" ht="60" customHeight="1">
      <x:c r="A457" s="239" t="str">
        <x:v>EEG-0274</x:v>
      </x:c>
      <x:c r="B457" s="228" t="str">
        <x:v>04_Cognition_and_Emotion</x:v>
      </x:c>
      <x:c r="C457" s="228" t="str">
        <x:v>ERP_and_Event_Detection</x:v>
      </x:c>
      <x:c r="D457" s="228" t="str">
        <x:v>Lee2021Mobile_ERP</x:v>
      </x:c>
      <x:c r="E457" s="228"/>
      <x:c r="F457" s="228"/>
      <x:c r="G457" s="228" t="str">
        <x:v>DOWNLOAD_PUBLIC</x:v>
      </x:c>
      <x:c r="H457" s="228" t="str">
        <x:v>https://moabb.neurotechx.com/docs/generated/moabb.datasets.lee2021_mobile.Lee2021Mobile.html</x:v>
      </x:c>
      <x:c r="I457" s="228" t="str">
        <x:v>ERP (mobile EEG)</x:v>
      </x:c>
      <x:c r="J457" s="228" t="str">
        <x:v>24</x:v>
      </x:c>
      <x:c r="K457" s="228" t="str">
        <x:v>73</x:v>
      </x:c>
      <x:c r="L457" s="228" t="str">
        <x:v>100 Hz</x:v>
      </x:c>
      <x:c r="M457" s="228"/>
      <x:c r="N457" s="228" t="str">
        <x:v>Raw</x:v>
      </x:c>
      <x:c r="O457" s="228" t="str">
        <x:v>MOABB documentation accessible; source access via MOABB</x:v>
      </x:c>
      <x:c r="P457" s="228" t="str">
        <x:v>Seong-Whan Lee, Korea University</x:v>
      </x:c>
      <x:c r="Q457" s="228" t="str">
        <x:v>04_Cognition_and_Emotion/ERP_and_Event_Detection/Lee2021Mobile_ERP</x:v>
      </x:c>
      <x:c r="R457" s="228" t="str">
        <x:v>存在公开仓库、官方入口或稳定数据访问号</x:v>
      </x:c>
      <x:c r="S457" s="228"/>
      <x:c r="T457" s="228"/>
      <x:c r="U457" s="205"/>
    </x:row>
    <x:row r="458" ht="60" customHeight="1">
      <x:c r="A458" s="262" t="str">
        <x:v>EEG-0275</x:v>
      </x:c>
      <x:c r="B458" s="263" t="str">
        <x:v>04_Cognition_and_Emotion</x:v>
      </x:c>
      <x:c r="C458" s="263" t="str">
        <x:v>ERP_and_Event_Detection</x:v>
      </x:c>
      <x:c r="D458" s="263" t="str">
        <x:v>Lee2024_AC (Home-Appliance Control P300, AC)</x:v>
      </x:c>
      <x:c r="E458" s="263"/>
      <x:c r="F458" s="263"/>
      <x:c r="G458" s="263" t="str">
        <x:v>DOWNLOAD_APPLICATION_REQUIRED</x:v>
      </x:c>
      <x:c r="H458" s="263" t="str">
        <x:v>https://moabb.neurotechx.com/docs/generated/moabb.datasets.Lee2024_AC.html</x:v>
      </x:c>
      <x:c r="I458" s="263" t="str">
        <x:v>P300 (appliance control)</x:v>
      </x:c>
      <x:c r="J458" s="263" t="str">
        <x:v>10</x:v>
      </x:c>
      <x:c r="K458" s="263" t="str">
        <x:v>25</x:v>
      </x:c>
      <x:c r="L458" s="263" t="str">
        <x:v>500 Hz</x:v>
      </x:c>
      <x:c r="M458" s="263"/>
      <x:c r="N458" s="263" t="str">
        <x:v>Raw</x:v>
      </x:c>
      <x:c r="O458" s="263" t="str">
        <x:v>Open, CC BY 4.0, no application</x:v>
      </x:c>
      <x:c r="P458" s="263" t="str">
        <x:v>Ulsan National Institute of Science &amp; Technology</x:v>
      </x:c>
      <x:c r="Q458" s="263" t="str">
        <x:v>04_Cognition_and_Emotion/ERP_and_Event_Detection/Lee2024_AC_Home-Appliance_Control_P300_AC</x:v>
      </x:c>
      <x:c r="R458" s="263" t="str">
        <x:v>官方数据存在，但需申请、签署协议或获得权限</x:v>
      </x:c>
      <x:c r="S458" s="263"/>
      <x:c r="T458" s="263"/>
      <x:c r="U458" s="264"/>
    </x:row>
    <x:row r="459" ht="60" customHeight="1">
      <x:c r="A459" s="239" t="str">
        <x:v>EEG-0276</x:v>
      </x:c>
      <x:c r="B459" s="228" t="str">
        <x:v>04_Cognition_and_Emotion</x:v>
      </x:c>
      <x:c r="C459" s="228" t="str">
        <x:v>ERP_and_Event_Detection</x:v>
      </x:c>
      <x:c r="D459" s="228" t="str">
        <x:v>Lee2024_BS (Home-Appliance Control P300, BS)</x:v>
      </x:c>
      <x:c r="E459" s="228"/>
      <x:c r="F459" s="228"/>
      <x:c r="G459" s="228" t="str">
        <x:v>DOWNLOAD_APPLICATION_REQUIRED</x:v>
      </x:c>
      <x:c r="H459" s="228" t="str">
        <x:v>https://moabb.neurotechx.com/docs/generated/moabb.datasets.Lee2024_BS.html</x:v>
      </x:c>
      <x:c r="I459" s="228" t="str">
        <x:v>P300 (appliance control)</x:v>
      </x:c>
      <x:c r="J459" s="228" t="str">
        <x:v>14</x:v>
      </x:c>
      <x:c r="K459" s="228" t="str">
        <x:v>31</x:v>
      </x:c>
      <x:c r="L459" s="228" t="str">
        <x:v>500 Hz</x:v>
      </x:c>
      <x:c r="M459" s="228"/>
      <x:c r="N459" s="228" t="str">
        <x:v>Raw</x:v>
      </x:c>
      <x:c r="O459" s="228" t="str">
        <x:v>Open, CC BY 4.0, no application</x:v>
      </x:c>
      <x:c r="P459" s="228" t="str">
        <x:v>UNIST</x:v>
      </x:c>
      <x:c r="Q459" s="228" t="str">
        <x:v>04_Cognition_and_Emotion/ERP_and_Event_Detection/Lee2024_BS_Home-Appliance_Control_P300_BS</x:v>
      </x:c>
      <x:c r="R459" s="228" t="str">
        <x:v>官方数据存在，但需申请、签署协议或获得权限</x:v>
      </x:c>
      <x:c r="S459" s="228"/>
      <x:c r="T459" s="228"/>
      <x:c r="U459" s="205"/>
    </x:row>
    <x:row r="460" ht="60" customHeight="1">
      <x:c r="A460" s="262" t="str">
        <x:v>EEG-0277</x:v>
      </x:c>
      <x:c r="B460" s="263" t="str">
        <x:v>04_Cognition_and_Emotion</x:v>
      </x:c>
      <x:c r="C460" s="263" t="str">
        <x:v>ERP_and_Event_Detection</x:v>
      </x:c>
      <x:c r="D460" s="263" t="str">
        <x:v>Lee2024_DL (Home-Appliance Control P300, DL)</x:v>
      </x:c>
      <x:c r="E460" s="263"/>
      <x:c r="F460" s="263"/>
      <x:c r="G460" s="263" t="str">
        <x:v>DOWNLOAD_APPLICATION_REQUIRED</x:v>
      </x:c>
      <x:c r="H460" s="263" t="str">
        <x:v>https://moabb.neurotechx.com/docs/generated/moabb.datasets.Lee2024_DL.html</x:v>
      </x:c>
      <x:c r="I460" s="263" t="str">
        <x:v>P300 (appliance control)</x:v>
      </x:c>
      <x:c r="J460" s="263" t="str">
        <x:v>15</x:v>
      </x:c>
      <x:c r="K460" s="263" t="str">
        <x:v>31</x:v>
      </x:c>
      <x:c r="L460" s="263" t="str">
        <x:v>500 Hz</x:v>
      </x:c>
      <x:c r="M460" s="263"/>
      <x:c r="N460" s="263" t="str">
        <x:v>Raw</x:v>
      </x:c>
      <x:c r="O460" s="263" t="str">
        <x:v>Open, CC BY 4.0, no application</x:v>
      </x:c>
      <x:c r="P460" s="263" t="str">
        <x:v>UNIST</x:v>
      </x:c>
      <x:c r="Q460" s="263" t="str">
        <x:v>04_Cognition_and_Emotion/ERP_and_Event_Detection/Lee2024_DL_Home-Appliance_Control_P300_DL</x:v>
      </x:c>
      <x:c r="R460" s="263" t="str">
        <x:v>官方数据存在，但需申请、签署协议或获得权限</x:v>
      </x:c>
      <x:c r="S460" s="263"/>
      <x:c r="T460" s="263"/>
      <x:c r="U460" s="264"/>
    </x:row>
    <x:row r="461" ht="60" customHeight="1">
      <x:c r="A461" s="239" t="str">
        <x:v>EEG-0278</x:v>
      </x:c>
      <x:c r="B461" s="228" t="str">
        <x:v>04_Cognition_and_Emotion</x:v>
      </x:c>
      <x:c r="C461" s="228" t="str">
        <x:v>ERP_and_Event_Detection</x:v>
      </x:c>
      <x:c r="D461" s="228" t="str">
        <x:v>Lee2024_EL (Home-Appliance Control P300, EL)</x:v>
      </x:c>
      <x:c r="E461" s="228"/>
      <x:c r="F461" s="228"/>
      <x:c r="G461" s="228" t="str">
        <x:v>DOWNLOAD_APPLICATION_REQUIRED</x:v>
      </x:c>
      <x:c r="H461" s="228" t="str">
        <x:v>https://moabb.neurotechx.com/docs/generated/moabb.datasets.Lee2024_EL.html</x:v>
      </x:c>
      <x:c r="I461" s="228" t="str">
        <x:v>P300 (appliance control)</x:v>
      </x:c>
      <x:c r="J461" s="228" t="str">
        <x:v>15</x:v>
      </x:c>
      <x:c r="K461" s="228" t="str">
        <x:v>31</x:v>
      </x:c>
      <x:c r="L461" s="228" t="str">
        <x:v>500 Hz</x:v>
      </x:c>
      <x:c r="M461" s="228"/>
      <x:c r="N461" s="228" t="str">
        <x:v>Raw</x:v>
      </x:c>
      <x:c r="O461" s="228" t="str">
        <x:v>Open, CC BY 4.0, no application</x:v>
      </x:c>
      <x:c r="P461" s="228" t="str">
        <x:v>UNIST</x:v>
      </x:c>
      <x:c r="Q461" s="228" t="str">
        <x:v>04_Cognition_and_Emotion/ERP_and_Event_Detection/Lee2024_EL_Home-Appliance_Control_P300_EL</x:v>
      </x:c>
      <x:c r="R461" s="228" t="str">
        <x:v>官方数据存在，但需申请、签署协议或获得权限</x:v>
      </x:c>
      <x:c r="S461" s="228"/>
      <x:c r="T461" s="228"/>
      <x:c r="U461" s="205"/>
    </x:row>
    <x:row r="462" ht="60" customHeight="1">
      <x:c r="A462" s="262" t="str">
        <x:v>EEG-0279</x:v>
      </x:c>
      <x:c r="B462" s="263" t="str">
        <x:v>04_Cognition_and_Emotion</x:v>
      </x:c>
      <x:c r="C462" s="263" t="str">
        <x:v>ERP_and_Event_Detection</x:v>
      </x:c>
      <x:c r="D462" s="263" t="str">
        <x:v>Lee2024_TV (Home-Appliance Control P300, TV)</x:v>
      </x:c>
      <x:c r="E462" s="263"/>
      <x:c r="F462" s="263"/>
      <x:c r="G462" s="263" t="str">
        <x:v>DOWNLOAD_APPLICATION_REQUIRED</x:v>
      </x:c>
      <x:c r="H462" s="263" t="str">
        <x:v>https://moabb.neurotechx.com/docs/generated/moabb.datasets.Lee2024_TV.html</x:v>
      </x:c>
      <x:c r="I462" s="263" t="str">
        <x:v>P300 (appliance control)</x:v>
      </x:c>
      <x:c r="J462" s="263" t="str">
        <x:v>30</x:v>
      </x:c>
      <x:c r="K462" s="263" t="str">
        <x:v>31</x:v>
      </x:c>
      <x:c r="L462" s="263" t="str">
        <x:v>500 Hz</x:v>
      </x:c>
      <x:c r="M462" s="263"/>
      <x:c r="N462" s="263" t="str">
        <x:v>Raw</x:v>
      </x:c>
      <x:c r="O462" s="263" t="str">
        <x:v>Open, CC BY 4.0, no application</x:v>
      </x:c>
      <x:c r="P462" s="263" t="str">
        <x:v>UNIST</x:v>
      </x:c>
      <x:c r="Q462" s="263" t="str">
        <x:v>04_Cognition_and_Emotion/ERP_and_Event_Detection/Lee2024_TV_Home-Appliance_Control_P300_TV</x:v>
      </x:c>
      <x:c r="R462" s="263" t="str">
        <x:v>官方数据存在，但需申请、签署协议或获得权限</x:v>
      </x:c>
      <x:c r="S462" s="263"/>
      <x:c r="T462" s="263"/>
      <x:c r="U462" s="264"/>
    </x:row>
    <x:row r="463" ht="60" customHeight="1">
      <x:c r="A463" s="239" t="str">
        <x:v>EEG-0282</x:v>
      </x:c>
      <x:c r="B463" s="228" t="str">
        <x:v>04_Cognition_and_Emotion</x:v>
      </x:c>
      <x:c r="C463" s="228" t="str">
        <x:v>ERP_and_Event_Detection</x:v>
      </x:c>
      <x:c r="D463" s="228" t="str">
        <x:v>Python Reading Task EEG</x:v>
      </x:c>
      <x:c r="E463" s="228"/>
      <x:c r="F463" s="228" t="str">
        <x:v>OpenNeuro:ds004771</x:v>
      </x:c>
      <x:c r="G463" s="228" t="str">
        <x:v>DOWNLOAD_PUBLIC</x:v>
      </x:c>
      <x:c r="H463" s="228" t="str">
        <x:v>[OpenNeuro ds004771](https://openneuro.org/datasets/ds004771/versions/1.0.0)</x:v>
      </x:c>
      <x:c r="I463" s="228" t="str">
        <x:v>Python reading task；program comprehension ERP</x:v>
      </x:c>
      <x:c r="J463" s="228" t="str">
        <x:v>61</x:v>
      </x:c>
      <x:c r="K463" s="228" t="str">
        <x:v>未给出</x:v>
      </x:c>
      <x:c r="L463" s="228" t="str">
        <x:v>未给出</x:v>
      </x:c>
      <x:c r="M463" s="228" t="str">
        <x:v>BIDS</x:v>
      </x:c>
      <x:c r="N463" s="228" t="str">
        <x:v>raw BIDS</x:v>
      </x:c>
      <x:c r="O463" s="228" t="str">
        <x:v>公开下载：OpenNeuro ds004771 v1.0.0；CC0，可网页、OpenNeuro CLI 或 DataLad 获取。</x:v>
      </x:c>
      <x:c r="P463" s="228" t="str">
        <x:v>Chu-Hsuan Kuo; Chantel S. Prat</x:v>
      </x:c>
      <x:c r="Q463" s="228" t="str">
        <x:v>04_Cognition_and_Emotion/ERP_and_Event_Detection/Python_Reading_Task_EEG</x:v>
      </x:c>
      <x:c r="R463" s="228" t="str">
        <x:v>存在公开仓库、官方入口或稳定数据访问号</x:v>
      </x:c>
      <x:c r="S463" s="228"/>
      <x:c r="T463" s="228"/>
      <x:c r="U463" s="205"/>
    </x:row>
    <x:row r="464" ht="60" customHeight="1">
      <x:c r="A464" s="262" t="str">
        <x:v>EEG-0286</x:v>
      </x:c>
      <x:c r="B464" s="263" t="str">
        <x:v>04_Cognition_and_Emotion</x:v>
      </x:c>
      <x:c r="C464" s="263" t="str">
        <x:v>ERP_and_Event_Detection</x:v>
      </x:c>
      <x:c r="D464" s="263" t="str">
        <x:v>UCI</x:v>
      </x:c>
      <x:c r="E464" s="263" t="str">
        <x:v>UCI EEG Database (Alcoholism)</x:v>
      </x:c>
      <x:c r="F464" s="263"/>
      <x:c r="G464" s="263" t="str">
        <x:v>DOWNLOAD_PUBLIC</x:v>
      </x:c>
      <x:c r="H464" s="263" t="str">
        <x:v>[UCI EEG Database](https://archive.ics.uci.edu/ml/datasets/eeg%2Bdatabase)</x:v>
      </x:c>
      <x:c r="I464" s="263" t="str">
        <x:v>alcoholism vs control classification; visual object stimulus EEG</x:v>
      </x:c>
      <x:c r="J464" s="263" t="str">
        <x:v>122</x:v>
      </x:c>
      <x:c r="K464" s="263" t="str">
        <x:v>64</x:v>
      </x:c>
      <x:c r="L464" s="263" t="str">
        <x:v>256Hz</x:v>
      </x:c>
      <x:c r="M464" s="263" t="str">
        <x:v>未给出</x:v>
      </x:c>
      <x:c r="N464" s="263" t="str">
        <x:v>raw</x:v>
      </x:c>
      <x:c r="O464" s="263" t="str">
        <x:v>public UCI/KDD archive; citation required</x:v>
      </x:c>
      <x:c r="P464" s="263" t="str">
        <x:v>Begleiter / Neurodynamics Laboratory, 1999</x:v>
      </x:c>
      <x:c r="Q464" s="263" t="str">
        <x:v>04_Cognition_and_Emotion/ERP_and_Event_Detection/UCI</x:v>
      </x:c>
      <x:c r="R464" s="263" t="str">
        <x:v>存在公开仓库、官方入口或稳定数据访问号</x:v>
      </x:c>
      <x:c r="S464" s="263"/>
      <x:c r="T464" s="263"/>
      <x:c r="U464" s="264"/>
    </x:row>
    <x:row r="465" ht="60" customHeight="1">
      <x:c r="A465" s="239" t="str">
        <x:v>EEG-0287</x:v>
      </x:c>
      <x:c r="B465" s="228" t="str">
        <x:v>04_Cognition_and_Emotion</x:v>
      </x:c>
      <x:c r="C465" s="228" t="str">
        <x:v>ERP_and_Event_Detection</x:v>
      </x:c>
      <x:c r="D465" s="228" t="str">
        <x:v>VR ERP Experiment Dataset</x:v>
      </x:c>
      <x:c r="E465" s="228"/>
      <x:c r="F465" s="228" t="str">
        <x:v>OpenNeuro:ds005841</x:v>
      </x:c>
      <x:c r="G465" s="228" t="str">
        <x:v>DOWNLOAD_PUBLIC</x:v>
      </x:c>
      <x:c r="H465" s="228" t="str">
        <x:v>[OpenNeuro ds005841](https://openneuro.org/datasets/ds005841/versions/1.0.0)</x:v>
      </x:c>
      <x:c r="I465" s="228" t="str">
        <x:v>ERP experiments in VR；luminance/perpendicular/regularity/signal screen and VR tasks</x:v>
      </x:c>
      <x:c r="J465" s="228" t="str">
        <x:v>48</x:v>
      </x:c>
      <x:c r="K465" s="228" t="str">
        <x:v>未给出</x:v>
      </x:c>
      <x:c r="L465" s="228" t="str">
        <x:v>未给出</x:v>
      </x:c>
      <x:c r="M465" s="228" t="str">
        <x:v>BIDS</x:v>
      </x:c>
      <x:c r="N465" s="228" t="str">
        <x:v>raw BIDS</x:v>
      </x:c>
      <x:c r="O465" s="228" t="str">
        <x:v>公开下载：OpenNeuro ds005841 v1.0.0；CC0，可网页、OpenNeuro CLI 或 DataLad 获取。</x:v>
      </x:c>
      <x:c r="P465" s="228" t="str">
        <x:v>Elena Karakashevska; Alexis Makin; Michael Batterley</x:v>
      </x:c>
      <x:c r="Q465" s="228" t="str">
        <x:v>04_Cognition_and_Emotion/ERP_and_Event_Detection/VR_ERP_Experiment_Dataset</x:v>
      </x:c>
      <x:c r="R465" s="228" t="str">
        <x:v>存在公开仓库、官方入口或稳定数据访问号</x:v>
      </x:c>
      <x:c r="S465" s="228"/>
      <x:c r="T465" s="228"/>
      <x:c r="U465" s="205"/>
    </x:row>
    <x:row r="466" ht="60" customHeight="1">
      <x:c r="A466" s="262" t="str">
        <x:v>EEG-0288</x:v>
      </x:c>
      <x:c r="B466" s="263" t="str">
        <x:v>05_Naturalistic_Stimulus_Decoding</x:v>
      </x:c>
      <x:c r="C466" s="263" t="str">
        <x:v>Imagined_Speech</x:v>
      </x:c>
      <x:c r="D466" s="263" t="str">
        <x:v>AguileraRodriguez2025 (Spanish command imagined speech)</x:v>
      </x:c>
      <x:c r="E466" s="263"/>
      <x:c r="F466" s="263"/>
      <x:c r="G466" s="263" t="str">
        <x:v>DOWNLOAD_APPLICATION_REQUIRED</x:v>
      </x:c>
      <x:c r="H466" s="263" t="str">
        <x:v>https://moabb.neurotechx.com/docs/generated/moabb.datasets.AguileraRodriguez2025.html</x:v>
      </x:c>
      <x:c r="I466" s="263" t="str">
        <x:v>Imagined Speech (4 Spanish commands)</x:v>
      </x:c>
      <x:c r="J466" s="263" t="str">
        <x:v>15</x:v>
      </x:c>
      <x:c r="K466" s="263" t="str">
        <x:v>24</x:v>
      </x:c>
      <x:c r="L466" s="263" t="str">
        <x:v>500 Hz</x:v>
      </x:c>
      <x:c r="M466" s="263"/>
      <x:c r="N466" s="263" t="str">
        <x:v>Raw</x:v>
      </x:c>
      <x:c r="O466" s="263" t="str">
        <x:v>Open, CC BY-NC-ND 4.0, no application</x:v>
      </x:c>
      <x:c r="P466" s="263" t="str">
        <x:v>Tecnológico de Monterrey</x:v>
      </x:c>
      <x:c r="Q466" s="263" t="str">
        <x:v>05_Naturalistic_Stimulus_Decoding/Imagined_Speech/AguileraRodriguez2025_Spanish_command_imagined_speech</x:v>
      </x:c>
      <x:c r="R466" s="263" t="str">
        <x:v>官方数据存在，但需申请、签署协议或获得权限</x:v>
      </x:c>
      <x:c r="S466" s="263"/>
      <x:c r="T466" s="263"/>
      <x:c r="U466" s="264"/>
    </x:row>
    <x:row r="467" ht="60" customHeight="1">
      <x:c r="A467" s="239" t="str">
        <x:v>EEG-0289</x:v>
      </x:c>
      <x:c r="B467" s="228" t="str">
        <x:v>05_Naturalistic_Stimulus_Decoding</x:v>
      </x:c>
      <x:c r="C467" s="228" t="str">
        <x:v>Language_and_Reading</x:v>
      </x:c>
      <x:c r="D467" s="228" t="str">
        <x:v>Alice in Wonderland Naturalistic Listening EEG</x:v>
      </x:c>
      <x:c r="E467" s="228"/>
      <x:c r="F467" s="228"/>
      <x:c r="G467" s="228" t="str">
        <x:v>DOWNLOAD_PUBLIC</x:v>
      </x:c>
      <x:c r="H467" s="228" t="str">
        <x:v>[Deep Blue Alice EEG](https://deepblue.lib.umich.edu/data/concern/data_sets/bn999738r)</x:v>
      </x:c>
      <x:c r="I467" s="228" t="str">
        <x:v>naturalistic story listening / linguistic prediction</x:v>
      </x:c>
      <x:c r="J467" s="228" t="str">
        <x:v>49</x:v>
      </x:c>
      <x:c r="K467" s="228" t="str">
        <x:v>61</x:v>
      </x:c>
      <x:c r="L467" s="228" t="str">
        <x:v>500Hz</x:v>
      </x:c>
      <x:c r="M467" s="228" t="str">
        <x:v>未给出</x:v>
      </x:c>
      <x:c r="N467" s="228" t="str">
        <x:v>raw</x:v>
      </x:c>
      <x:c r="O467" s="228" t="str">
        <x:v>public Deep Blue Data; CC BY 4.0</x:v>
      </x:c>
      <x:c r="P467" s="228" t="str">
        <x:v>Brennan &amp; Hale, PLOS ONE 2019</x:v>
      </x:c>
      <x:c r="Q467" s="228" t="str">
        <x:v>05_Naturalistic_Stimulus_Decoding/Language_and_Reading/Alice_in_Wonderland_Naturalistic_Listening_EEG</x:v>
      </x:c>
      <x:c r="R467" s="228" t="str">
        <x:v>存在公开仓库、官方入口或稳定数据访问号</x:v>
      </x:c>
      <x:c r="S467" s="228"/>
      <x:c r="T467" s="228"/>
      <x:c r="U467" s="205"/>
    </x:row>
    <x:row r="468" ht="60" customHeight="1">
      <x:c r="A468" s="262" t="str">
        <x:v>EEG-0290</x:v>
      </x:c>
      <x:c r="B468" s="263" t="str">
        <x:v>05_Naturalistic_Stimulus_Decoding</x:v>
      </x:c>
      <x:c r="C468" s="263" t="str">
        <x:v>Imagined_Speech</x:v>
      </x:c>
      <x:c r="D468" s="263" t="str">
        <x:v>ArEEG: Arabic Inner Speech EEG dataset</x:v>
      </x:c>
      <x:c r="E468" s="263"/>
      <x:c r="F468" s="263" t="str">
        <x:v>OpenNeuro:ds005262 | DOI:10.18112/openneuro.ds005262.v1.0.1</x:v>
      </x:c>
      <x:c r="G468" s="263" t="str">
        <x:v>DOWNLOAD_PUBLIC</x:v>
      </x:c>
      <x:c r="H468" s="263" t="str">
        <x:v>[OpenNeuro ds005262](https://openneuro.org/datasets/ds005262/versions/1.0.1)</x:v>
      </x:c>
      <x:c r="I468" s="263" t="str">
        <x:v>ArEEG: Arabic Inner Speech EEG dataset</x:v>
      </x:c>
      <x:c r="J468" s="263" t="str">
        <x:v>12</x:v>
      </x:c>
      <x:c r="K468" s="263" t="str">
        <x:v>未给出</x:v>
      </x:c>
      <x:c r="L468" s="263" t="str">
        <x:v>未给出</x:v>
      </x:c>
      <x:c r="M468" s="263" t="str">
        <x:v>BIDS</x:v>
      </x:c>
      <x:c r="N468" s="263" t="str">
        <x:v>raw BIDS</x:v>
      </x:c>
      <x:c r="O468" s="263" t="str">
        <x:v>OpenNeuro public download; ds005262 v1.0.1; license CC0; use web / OpenNeuro CLI / DataLad.</x:v>
      </x:c>
      <x:c r="P468" s="263" t="str">
        <x:v>Donia Metwalli; Eslam Ahmed; Antony Emil; Yousef A. Radwan; Mariam Barakat; doi:10.18112/openneuro.ds005262.v1.0.1</x:v>
      </x:c>
      <x:c r="Q468" s="263" t="str">
        <x:v>05_Naturalistic_Stimulus_Decoding/Imagined_Speech/ArEEG_Arabic_Inner_Speech_EEG_dataset</x:v>
      </x:c>
      <x:c r="R468" s="263" t="str">
        <x:v>存在公开仓库、官方入口或稳定数据访问号</x:v>
      </x:c>
      <x:c r="S468" s="263"/>
      <x:c r="T468" s="263"/>
      <x:c r="U468" s="264"/>
    </x:row>
    <x:row r="469" ht="60" customHeight="1">
      <x:c r="A469" s="239" t="str">
        <x:v>EEG-0298</x:v>
      </x:c>
      <x:c r="B469" s="228" t="str">
        <x:v>05_Naturalistic_Stimulus_Decoding</x:v>
      </x:c>
      <x:c r="C469" s="228" t="str">
        <x:v>Language_and_Reading</x:v>
      </x:c>
      <x:c r="D469" s="228" t="str">
        <x:v>Du-IN</x:v>
      </x:c>
      <x:c r="E469" s="228"/>
      <x:c r="F469" s="228"/>
      <x:c r="G469" s="228" t="str">
        <x:v>DOWNLOAD_PUBLIC</x:v>
      </x:c>
      <x:c r="H469" s="228" t="str">
        <x:v>https://huggingface.co/datasets/liulab-repository/Du-IN</x:v>
      </x:c>
      <x:c r="I469" s="228" t="str">
        <x:v>speech decoding 61-word classification</x:v>
      </x:c>
      <x:c r="J469" s="228" t="str">
        <x:v>12</x:v>
      </x:c>
      <x:c r="K469" s="228" t="str">
        <x:v>72–158</x:v>
      </x:c>
      <x:c r="L469" s="228" t="str">
        <x:v>1000 Hz</x:v>
      </x:c>
      <x:c r="M469" s="228"/>
      <x:c r="N469" s="228" t="str">
        <x:v>Processed data</x:v>
      </x:c>
      <x:c r="O469" s="228" t="str">
        <x:v>Fully open</x:v>
      </x:c>
      <x:c r="P469" s="228" t="str">
        <x:v>arXiv:2405.11459</x:v>
      </x:c>
      <x:c r="Q469" s="228" t="str">
        <x:v>05_Naturalistic_Stimulus_Decoding/Language_and_Reading/Du-IN</x:v>
      </x:c>
      <x:c r="R469" s="228" t="str">
        <x:v>存在公开仓库、官方入口或稳定数据访问号</x:v>
      </x:c>
      <x:c r="S469" s="228"/>
      <x:c r="T469" s="228"/>
      <x:c r="U469" s="205"/>
    </x:row>
    <x:row r="470" ht="60" customHeight="1">
      <x:c r="A470" s="262" t="str">
        <x:v>EEG-0304</x:v>
      </x:c>
      <x:c r="B470" s="263" t="str">
        <x:v>05_Naturalistic_Stimulus_Decoding</x:v>
      </x:c>
      <x:c r="C470" s="263" t="str">
        <x:v>Language_and_Reading</x:v>
      </x:c>
      <x:c r="D470" s="263" t="str">
        <x:v>Multiband ABR to Continuous Speech</x:v>
      </x:c>
      <x:c r="E470" s="263"/>
      <x:c r="F470" s="263" t="str">
        <x:v>OpenNeuro:ds008065</x:v>
      </x:c>
      <x:c r="G470" s="263" t="str">
        <x:v>DOWNLOAD_PUBLIC</x:v>
      </x:c>
      <x:c r="H470" s="263" t="str">
        <x:v>[OpenNeuro ds008065](https://openneuro.org/datasets/ds008065/versions/1.0.0)</x:v>
      </x:c>
      <x:c r="I470" s="263" t="str">
        <x:v>multiband auditory brainstem responses to continuous speech；f0 / phase tasks</x:v>
      </x:c>
      <x:c r="J470" s="263" t="str">
        <x:v>62</x:v>
      </x:c>
      <x:c r="K470" s="263" t="str">
        <x:v>未给出</x:v>
      </x:c>
      <x:c r="L470" s="263" t="str">
        <x:v>未给出</x:v>
      </x:c>
      <x:c r="M470" s="263" t="str">
        <x:v>BIDS</x:v>
      </x:c>
      <x:c r="N470" s="263" t="str">
        <x:v>raw BIDS</x:v>
      </x:c>
      <x:c r="O470" s="263" t="str">
        <x:v>公开下载：OpenNeuro ds008065 v1.0.0；CC0，可网页、OpenNeuro CLI 或 DataLad 获取。</x:v>
      </x:c>
      <x:c r="P470" s="263" t="str">
        <x:v>Melissa J. Polonenko; Benjamin R. Eisenreich</x:v>
      </x:c>
      <x:c r="Q470" s="263" t="str">
        <x:v>05_Naturalistic_Stimulus_Decoding/Language_and_Reading/Multiband_ABR_to_Continuous_Speech</x:v>
      </x:c>
      <x:c r="R470" s="263" t="str">
        <x:v>存在公开仓库、官方入口或稳定数据访问号</x:v>
      </x:c>
      <x:c r="S470" s="263"/>
      <x:c r="T470" s="263"/>
      <x:c r="U470" s="264"/>
    </x:row>
    <x:row r="471" ht="60" customHeight="1">
      <x:c r="A471" s="239" t="str">
        <x:v>EEG-0323</x:v>
      </x:c>
      <x:c r="B471" s="228" t="str">
        <x:v>05_Naturalistic_Stimulus_Decoding</x:v>
      </x:c>
      <x:c r="C471" s="228" t="str">
        <x:v>Listening_and_Auditory_Attention</x:v>
      </x:c>
      <x:c r="D471" s="228" t="str">
        <x:v>YOTO</x:v>
      </x:c>
      <x:c r="E471" s="228"/>
      <x:c r="F471" s="228" t="str">
        <x:v>OpenNeuro:ds005815</x:v>
      </x:c>
      <x:c r="G471" s="228" t="str">
        <x:v>DOWNLOAD_PUBLIC</x:v>
      </x:c>
      <x:c r="H471" s="228" t="str">
        <x:v>[OpenNeuro ds005815](https://openneuro.org/datasets/ds005815)</x:v>
      </x:c>
      <x:c r="I471" s="228" t="str">
        <x:v>visual/auditory/multisensory perception and mental imagery</x:v>
      </x:c>
      <x:c r="J471" s="228" t="str">
        <x:v>26</x:v>
      </x:c>
      <x:c r="K471" s="228" t="str">
        <x:v>未给出</x:v>
      </x:c>
      <x:c r="L471" s="228" t="str">
        <x:v>1000Hz</x:v>
      </x:c>
      <x:c r="M471" s="228" t="str">
        <x:v>BIDS</x:v>
      </x:c>
      <x:c r="N471" s="228" t="str">
        <x:v>raw</x:v>
      </x:c>
      <x:c r="O471" s="228" t="str">
        <x:v>public OpenNeuro</x:v>
      </x:c>
      <x:c r="P471" s="228" t="str">
        <x:v>未给出</x:v>
      </x:c>
      <x:c r="Q471" s="228" t="str">
        <x:v>05_Naturalistic_Stimulus_Decoding/Listening_and_Auditory_Attention/YOTO</x:v>
      </x:c>
      <x:c r="R471" s="228" t="str">
        <x:v>存在公开仓库、官方入口或稳定数据访问号</x:v>
      </x:c>
      <x:c r="S471" s="228"/>
      <x:c r="T471" s="228"/>
      <x:c r="U471" s="205"/>
    </x:row>
    <x:row r="472" ht="60" customHeight="1">
      <x:c r="A472" s="262" t="str">
        <x:v>EEG-0333</x:v>
      </x:c>
      <x:c r="B472" s="263" t="str">
        <x:v>05_Naturalistic_Stimulus_Decoding</x:v>
      </x:c>
      <x:c r="C472" s="263" t="str">
        <x:v>Visual_Perception</x:v>
      </x:c>
      <x:c r="D472" s="263" t="str">
        <x:v>Gao2026 (visual imagery)</x:v>
      </x:c>
      <x:c r="E472" s="263"/>
      <x:c r="F472" s="263"/>
      <x:c r="G472" s="263" t="str">
        <x:v>DOWNLOAD_APPLICATION_REQUIRED</x:v>
      </x:c>
      <x:c r="H472" s="263" t="str">
        <x:v>https://moabb.neurotechx.com/docs/generated/moabb.datasets.Gao2026.html</x:v>
      </x:c>
      <x:c r="I472" s="263" t="str">
        <x:v>Visual Imagery (10-class)</x:v>
      </x:c>
      <x:c r="J472" s="263" t="str">
        <x:v>22</x:v>
      </x:c>
      <x:c r="K472" s="263" t="str">
        <x:v>32</x:v>
      </x:c>
      <x:c r="L472" s="263" t="str">
        <x:v>1000 Hz</x:v>
      </x:c>
      <x:c r="M472" s="263"/>
      <x:c r="N472" s="263" t="str">
        <x:v>Raw</x:v>
      </x:c>
      <x:c r="O472" s="263" t="str">
        <x:v>Open, CC BY-NC-ND 4.0, no application</x:v>
      </x:c>
      <x:c r="P472" s="263" t="str">
        <x:v>Kunming Univ. of Sci. &amp; Tech.</x:v>
      </x:c>
      <x:c r="Q472" s="263" t="str">
        <x:v>05_Naturalistic_Stimulus_Decoding/Visual_Perception/Gao2026_visual_imagery</x:v>
      </x:c>
      <x:c r="R472" s="263" t="str">
        <x:v>官方数据存在，但需申请、签署协议或获得权限</x:v>
      </x:c>
      <x:c r="S472" s="263"/>
      <x:c r="T472" s="263"/>
      <x:c r="U472" s="264"/>
    </x:row>
    <x:row r="473" ht="60" customHeight="1">
      <x:c r="A473" s="239" t="str">
        <x:v>EEG-0348</x:v>
      </x:c>
      <x:c r="B473" s="228" t="str">
        <x:v>05_Naturalistic_Stimulus_Decoding</x:v>
      </x:c>
      <x:c r="C473" s="228" t="str">
        <x:v>Multisensory_Perception</x:v>
      </x:c>
      <x:c r="D473" s="228" t="str">
        <x:v>Urban Appraisal EEG</x:v>
      </x:c>
      <x:c r="E473" s="228"/>
      <x:c r="F473" s="228" t="str">
        <x:v>OpenNeuro:ds006850</x:v>
      </x:c>
      <x:c r="G473" s="228" t="str">
        <x:v>DOWNLOAD_PUBLIC</x:v>
      </x:c>
      <x:c r="H473" s="228" t="str">
        <x:v>[OpenNeuro ds006850](https://openneuro.org/datasets/ds006850/versions/1.0.0)</x:v>
      </x:c>
      <x:c r="I473" s="228" t="str">
        <x:v>physiological recording during rating of urban environments</x:v>
      </x:c>
      <x:c r="J473" s="228" t="str">
        <x:v>63</x:v>
      </x:c>
      <x:c r="K473" s="228" t="str">
        <x:v>未给出</x:v>
      </x:c>
      <x:c r="L473" s="228" t="str">
        <x:v>未给出</x:v>
      </x:c>
      <x:c r="M473" s="228" t="str">
        <x:v>BIDS</x:v>
      </x:c>
      <x:c r="N473" s="228" t="str">
        <x:v>raw BIDS</x:v>
      </x:c>
      <x:c r="O473" s="228" t="str">
        <x:v>公开下载：OpenNeuro ds006850 v1.0.0；CC0，可网页、OpenNeuro CLI 或 DataLad 获取。</x:v>
      </x:c>
      <x:c r="P473" s="228" t="str">
        <x:v>Carolina Zaehme; Isabelle Sander; Klaus Gramann</x:v>
      </x:c>
      <x:c r="Q473" s="228" t="str">
        <x:v>05_Naturalistic_Stimulus_Decoding/Multisensory_Perception/Urban_Appraisal_EEG</x:v>
      </x:c>
      <x:c r="R473" s="228" t="str">
        <x:v>存在公开仓库、官方入口或稳定数据访问号</x:v>
      </x:c>
      <x:c r="S473" s="228"/>
      <x:c r="T473" s="228"/>
      <x:c r="U473" s="205"/>
    </x:row>
    <x:row r="474" ht="60" customHeight="1">
      <x:c r="A474" s="262" t="str">
        <x:v>EEG-0358</x:v>
      </x:c>
      <x:c r="B474" s="263" t="str">
        <x:v>06_Motor_and_Interaction</x:v>
      </x:c>
      <x:c r="C474" s="263" t="str">
        <x:v>Motor_Imagery_and_Execution</x:v>
      </x:c>
      <x:c r="D474" s="263" t="str">
        <x:v>Beetl2021_A</x:v>
      </x:c>
      <x:c r="E474" s="263"/>
      <x:c r="F474" s="263"/>
      <x:c r="G474" s="263" t="str">
        <x:v>DOWNLOAD_APPLICATION_REQUIRED</x:v>
      </x:c>
      <x:c r="H474" s="263" t="str">
        <x:v>https://moabb.neurotechx.com/docs/generated/moabb.datasets.Beetl2021_A.html</x:v>
      </x:c>
      <x:c r="I474" s="263" t="str">
        <x:v>Motor Imagery (4-class)</x:v>
      </x:c>
      <x:c r="J474" s="263" t="str">
        <x:v>3</x:v>
      </x:c>
      <x:c r="K474" s="263" t="str">
        <x:v>63</x:v>
      </x:c>
      <x:c r="L474" s="263" t="str">
        <x:v>500 Hz</x:v>
      </x:c>
      <x:c r="M474" s="263"/>
      <x:c r="N474" s="263" t="str">
        <x:v>Raw</x:v>
      </x:c>
      <x:c r="O474" s="263" t="str">
        <x:v>Open, CC BY 4.0, no application</x:v>
      </x:c>
      <x:c r="P474" s="263" t="str">
        <x:v>A. Aldo Faisal, Imperial College London</x:v>
      </x:c>
      <x:c r="Q474" s="263" t="str">
        <x:v>06_Motor_and_Interaction/Motor_Imagery_and_Execution/Beetl2021_A</x:v>
      </x:c>
      <x:c r="R474" s="263" t="str">
        <x:v>官方数据存在，但需申请、签署协议或获得权限</x:v>
      </x:c>
      <x:c r="S474" s="263"/>
      <x:c r="T474" s="263"/>
      <x:c r="U474" s="264"/>
    </x:row>
    <x:row r="475" ht="60" customHeight="1">
      <x:c r="A475" s="239" t="str">
        <x:v>EEG-0359</x:v>
      </x:c>
      <x:c r="B475" s="228" t="str">
        <x:v>06_Motor_and_Interaction</x:v>
      </x:c>
      <x:c r="C475" s="228" t="str">
        <x:v>Motor_Imagery_and_Execution</x:v>
      </x:c>
      <x:c r="D475" s="228" t="str">
        <x:v>Beetl2021_B</x:v>
      </x:c>
      <x:c r="E475" s="228"/>
      <x:c r="F475" s="228"/>
      <x:c r="G475" s="228" t="str">
        <x:v>DOWNLOAD_APPLICATION_REQUIRED</x:v>
      </x:c>
      <x:c r="H475" s="228" t="str">
        <x:v>https://moabb.neurotechx.com/docs/generated/moabb.datasets.Beetl2021_B.html</x:v>
      </x:c>
      <x:c r="I475" s="228" t="str">
        <x:v>Motor Imagery</x:v>
      </x:c>
      <x:c r="J475" s="228" t="str">
        <x:v>2</x:v>
      </x:c>
      <x:c r="K475" s="228" t="str">
        <x:v>32</x:v>
      </x:c>
      <x:c r="L475" s="228" t="str">
        <x:v>200 Hz</x:v>
      </x:c>
      <x:c r="M475" s="228"/>
      <x:c r="N475" s="228" t="str">
        <x:v>Raw</x:v>
      </x:c>
      <x:c r="O475" s="228" t="str">
        <x:v>Open, CC BY 4.0, no application</x:v>
      </x:c>
      <x:c r="P475" s="228" t="str">
        <x:v>A. Aldo Faisal, Imperial College London</x:v>
      </x:c>
      <x:c r="Q475" s="228" t="str">
        <x:v>06_Motor_and_Interaction/Motor_Imagery_and_Execution/Beetl2021_B</x:v>
      </x:c>
      <x:c r="R475" s="228" t="str">
        <x:v>官方数据存在，但需申请、签署协议或获得权限</x:v>
      </x:c>
      <x:c r="S475" s="228"/>
      <x:c r="T475" s="228"/>
      <x:c r="U475" s="205"/>
    </x:row>
    <x:row r="476" ht="60" customHeight="1">
      <x:c r="A476" s="262" t="str">
        <x:v>EEG-0376</x:v>
      </x:c>
      <x:c r="B476" s="263" t="str">
        <x:v>06_Motor_and_Interaction</x:v>
      </x:c>
      <x:c r="C476" s="263" t="str">
        <x:v>Motor_Imagery_and_Execution</x:v>
      </x:c>
      <x:c r="D476" s="263" t="str">
        <x:v>Chang2025 (multi-paradigm upper-limb rehab)</x:v>
      </x:c>
      <x:c r="E476" s="263"/>
      <x:c r="F476" s="263"/>
      <x:c r="G476" s="263" t="str">
        <x:v>DOWNLOAD_APPLICATION_REQUIRED</x:v>
      </x:c>
      <x:c r="H476" s="263" t="str">
        <x:v>https://moabb.neurotechx.com/docs/generated/moabb.datasets.Chang2025.html</x:v>
      </x:c>
      <x:c r="I476" s="263" t="str">
        <x:v>Motor Imagery (upper-limb rehab)</x:v>
      </x:c>
      <x:c r="J476" s="263" t="str">
        <x:v>28</x:v>
      </x:c>
      <x:c r="K476" s="263" t="str">
        <x:v>59</x:v>
      </x:c>
      <x:c r="L476" s="263" t="str">
        <x:v>1000 Hz</x:v>
      </x:c>
      <x:c r="M476" s="263"/>
      <x:c r="N476" s="263" t="str">
        <x:v>Raw</x:v>
      </x:c>
      <x:c r="O476" s="263" t="str">
        <x:v>Open, CC BY 4.0, no application</x:v>
      </x:c>
      <x:c r="P476" s="263" t="str">
        <x:v>Lanzhou Jiaotong University</x:v>
      </x:c>
      <x:c r="Q476" s="263" t="str">
        <x:v>06_Motor_and_Interaction/Motor_Imagery_and_Execution/Chang2025_multi-paradigm_upper-limb_rehab</x:v>
      </x:c>
      <x:c r="R476" s="263" t="str">
        <x:v>官方数据存在，但需申请、签署协议或获得权限</x:v>
      </x:c>
      <x:c r="S476" s="263"/>
      <x:c r="T476" s="263"/>
      <x:c r="U476" s="264"/>
    </x:row>
    <x:row r="477" ht="60" customHeight="1">
      <x:c r="A477" s="239" t="str">
        <x:v>EEG-0384</x:v>
      </x:c>
      <x:c r="B477" s="228" t="str">
        <x:v>06_Motor_and_Interaction</x:v>
      </x:c>
      <x:c r="C477" s="228" t="str">
        <x:v>Motor_Imagery_and_Execution</x:v>
      </x:c>
      <x:c r="D477" s="228" t="str">
        <x:v>Forenzo2023 (MI + spatial attention)</x:v>
      </x:c>
      <x:c r="E477" s="228"/>
      <x:c r="F477" s="228"/>
      <x:c r="G477" s="228" t="str">
        <x:v>DOWNLOAD_APPLICATION_REQUIRED</x:v>
      </x:c>
      <x:c r="H477" s="228" t="str">
        <x:v>https://moabb.neurotechx.com/docs/generated/moabb.datasets.Forenzo2023.html</x:v>
      </x:c>
      <x:c r="I477" s="228" t="str">
        <x:v>Motor Imagery (L/R hand)</x:v>
      </x:c>
      <x:c r="J477" s="228" t="str">
        <x:v>25</x:v>
      </x:c>
      <x:c r="K477" s="228" t="str">
        <x:v>64</x:v>
      </x:c>
      <x:c r="L477" s="228" t="str">
        <x:v>1000 Hz</x:v>
      </x:c>
      <x:c r="M477" s="228"/>
      <x:c r="N477" s="228" t="str">
        <x:v>Raw</x:v>
      </x:c>
      <x:c r="O477" s="228" t="str">
        <x:v>Open, CC BY 4.0, no application</x:v>
      </x:c>
      <x:c r="P477" s="228" t="str">
        <x:v>Carnegie Mellon University</x:v>
      </x:c>
      <x:c r="Q477" s="228" t="str">
        <x:v>06_Motor_and_Interaction/Motor_Imagery_and_Execution/Forenzo2023_MI_spatial_attention</x:v>
      </x:c>
      <x:c r="R477" s="228" t="str">
        <x:v>官方数据存在，但需申请、签署协议或获得权限</x:v>
      </x:c>
      <x:c r="S477" s="228"/>
      <x:c r="T477" s="228"/>
      <x:c r="U477" s="205"/>
    </x:row>
    <x:row r="478" ht="60" customHeight="1">
      <x:c r="A478" s="262" t="str">
        <x:v>EEG-0388</x:v>
      </x:c>
      <x:c r="B478" s="263" t="str">
        <x:v>06_Motor_and_Interaction</x:v>
      </x:c>
      <x:c r="C478" s="263" t="str">
        <x:v>Motor_Imagery_and_Execution</x:v>
      </x:c>
      <x:c r="D478" s="263" t="str">
        <x:v>GuttmannFlury2025_ME (Eye-BCI Motor Execution)</x:v>
      </x:c>
      <x:c r="E478" s="263"/>
      <x:c r="F478" s="263"/>
      <x:c r="G478" s="263" t="str">
        <x:v>DOWNLOAD_APPLICATION_REQUIRED</x:v>
      </x:c>
      <x:c r="H478" s="263" t="str">
        <x:v>https://moabb.neurotechx.com/docs/generated/moabb.datasets.GuttmannFlury2025_ME.html</x:v>
      </x:c>
      <x:c r="I478" s="263" t="str">
        <x:v>Motor Execution (L/R hand)</x:v>
      </x:c>
      <x:c r="J478" s="263" t="str">
        <x:v>31</x:v>
      </x:c>
      <x:c r="K478" s="263" t="str">
        <x:v>64</x:v>
      </x:c>
      <x:c r="L478" s="263" t="str">
        <x:v>1000 Hz</x:v>
      </x:c>
      <x:c r="M478" s="263"/>
      <x:c r="N478" s="263" t="str">
        <x:v>Raw</x:v>
      </x:c>
      <x:c r="O478" s="263" t="str">
        <x:v>Open, CC0, no application</x:v>
      </x:c>
      <x:c r="P478" s="263" t="str">
        <x:v>Shanghai Jiao Tong University</x:v>
      </x:c>
      <x:c r="Q478" s="263" t="str">
        <x:v>06_Motor_and_Interaction/Motor_Imagery_and_Execution/GuttmannFlury2025_ME_Eye-BCI_Motor_Execution</x:v>
      </x:c>
      <x:c r="R478" s="263" t="str">
        <x:v>官方数据存在，但需申请、签署协议或获得权限</x:v>
      </x:c>
      <x:c r="S478" s="263"/>
      <x:c r="T478" s="263"/>
      <x:c r="U478" s="264"/>
    </x:row>
    <x:row r="479" ht="60" customHeight="1">
      <x:c r="A479" s="239" t="str">
        <x:v>EEG-0389</x:v>
      </x:c>
      <x:c r="B479" s="228" t="str">
        <x:v>06_Motor_and_Interaction</x:v>
      </x:c>
      <x:c r="C479" s="228" t="str">
        <x:v>Motor_Imagery_and_Execution</x:v>
      </x:c>
      <x:c r="D479" s="228" t="str">
        <x:v>GuttmannFlury2025_MI (Eye-BCI Motor Imagery)</x:v>
      </x:c>
      <x:c r="E479" s="228"/>
      <x:c r="F479" s="228"/>
      <x:c r="G479" s="228" t="str">
        <x:v>DOWNLOAD_APPLICATION_REQUIRED</x:v>
      </x:c>
      <x:c r="H479" s="228" t="str">
        <x:v>https://moabb.neurotechx.com/docs/generated/moabb.datasets.GuttmannFlury2025_MI.html</x:v>
      </x:c>
      <x:c r="I479" s="228" t="str">
        <x:v>Motor Imagery (L/R hand)</x:v>
      </x:c>
      <x:c r="J479" s="228" t="str">
        <x:v>31</x:v>
      </x:c>
      <x:c r="K479" s="228" t="str">
        <x:v>64</x:v>
      </x:c>
      <x:c r="L479" s="228" t="str">
        <x:v>1000 Hz</x:v>
      </x:c>
      <x:c r="M479" s="228"/>
      <x:c r="N479" s="228" t="str">
        <x:v>Raw</x:v>
      </x:c>
      <x:c r="O479" s="228" t="str">
        <x:v>Open, CC0, no application</x:v>
      </x:c>
      <x:c r="P479" s="228" t="str">
        <x:v>Shanghai Jiao Tong University</x:v>
      </x:c>
      <x:c r="Q479" s="228" t="str">
        <x:v>06_Motor_and_Interaction/Motor_Imagery_and_Execution/GuttmannFlury2025_MI_Eye-BCI_Motor_Imagery</x:v>
      </x:c>
      <x:c r="R479" s="228" t="str">
        <x:v>官方数据存在，但需申请、签署协议或获得权限</x:v>
      </x:c>
      <x:c r="S479" s="228"/>
      <x:c r="T479" s="228"/>
      <x:c r="U479" s="205"/>
    </x:row>
    <x:row r="480" ht="60" customHeight="1">
      <x:c r="A480" s="262" t="str">
        <x:v>EEG-0394</x:v>
      </x:c>
      <x:c r="B480" s="263" t="str">
        <x:v>06_Motor_and_Interaction</x:v>
      </x:c>
      <x:c r="C480" s="263" t="str">
        <x:v>Motor_Imagery_and_Execution</x:v>
      </x:c>
      <x:c r="D480" s="263" t="str">
        <x:v>Kumar2024 (longitudinal MI)</x:v>
      </x:c>
      <x:c r="E480" s="263"/>
      <x:c r="F480" s="263"/>
      <x:c r="G480" s="263" t="str">
        <x:v>DOWNLOAD_APPLICATION_REQUIRED</x:v>
      </x:c>
      <x:c r="H480" s="263" t="str">
        <x:v>https://moabb.neurotechx.com/docs/generated/moabb.datasets.Kumar2024.html</x:v>
      </x:c>
      <x:c r="I480" s="263" t="str">
        <x:v>Motor Imagery (L/R hand)</x:v>
      </x:c>
      <x:c r="J480" s="263" t="str">
        <x:v>18</x:v>
      </x:c>
      <x:c r="K480" s="263" t="str">
        <x:v>22</x:v>
      </x:c>
      <x:c r="L480" s="263" t="str">
        <x:v>512 Hz</x:v>
      </x:c>
      <x:c r="M480" s="263"/>
      <x:c r="N480" s="263" t="str">
        <x:v>Raw</x:v>
      </x:c>
      <x:c r="O480" s="263" t="str">
        <x:v>Open, CC BY 4.0, no application</x:v>
      </x:c>
      <x:c r="P480" s="263" t="str">
        <x:v>José del R. Millán, UT Austin</x:v>
      </x:c>
      <x:c r="Q480" s="263" t="str">
        <x:v>06_Motor_and_Interaction/Motor_Imagery_and_Execution/Kumar2024_longitudinal_MI</x:v>
      </x:c>
      <x:c r="R480" s="263" t="str">
        <x:v>官方数据存在，但需申请、签署协议或获得权限</x:v>
      </x:c>
      <x:c r="S480" s="263"/>
      <x:c r="T480" s="263"/>
      <x:c r="U480" s="264"/>
    </x:row>
    <x:row r="481" ht="60" customHeight="1">
      <x:c r="A481" s="239" t="str">
        <x:v>EEG-0397</x:v>
      </x:c>
      <x:c r="B481" s="228" t="str">
        <x:v>06_Motor_and_Interaction</x:v>
      </x:c>
      <x:c r="C481" s="228" t="str">
        <x:v>Motor_Imagery_and_Execution</x:v>
      </x:c>
      <x:c r="D481" s="228" t="str">
        <x:v>Liu2025 (lower-limb gait MI)</x:v>
      </x:c>
      <x:c r="E481" s="228"/>
      <x:c r="F481" s="228"/>
      <x:c r="G481" s="228" t="str">
        <x:v>DOWNLOAD_APPLICATION_REQUIRED</x:v>
      </x:c>
      <x:c r="H481" s="228" t="str">
        <x:v>https://moabb.neurotechx.com/docs/generated/moabb.datasets.Liu2025.html</x:v>
      </x:c>
      <x:c r="I481" s="228" t="str">
        <x:v>Motor Imagery (gait)</x:v>
      </x:c>
      <x:c r="J481" s="228" t="str">
        <x:v>27</x:v>
      </x:c>
      <x:c r="K481" s="228" t="str">
        <x:v>60</x:v>
      </x:c>
      <x:c r="L481" s="228" t="str">
        <x:v>1000 Hz</x:v>
      </x:c>
      <x:c r="M481" s="228"/>
      <x:c r="N481" s="228" t="str">
        <x:v>Raw</x:v>
      </x:c>
      <x:c r="O481" s="228" t="str">
        <x:v>Open, CC BY-NC-ND 4.0, no application</x:v>
      </x:c>
      <x:c r="P481" s="228" t="str">
        <x:v>Tianjin University</x:v>
      </x:c>
      <x:c r="Q481" s="228" t="str">
        <x:v>06_Motor_and_Interaction/Motor_Imagery_and_Execution/Liu2025_lower-limb_gait_MI</x:v>
      </x:c>
      <x:c r="R481" s="228" t="str">
        <x:v>官方数据存在，但需申请、签署协议或获得权限</x:v>
      </x:c>
      <x:c r="S481" s="228"/>
      <x:c r="T481" s="228"/>
      <x:c r="U481" s="205"/>
    </x:row>
    <x:row r="482" ht="60" customHeight="1">
      <x:c r="A482" s="262" t="str">
        <x:v>EEG-0407</x:v>
      </x:c>
      <x:c r="B482" s="263" t="str">
        <x:v>06_Motor_and_Interaction</x:v>
      </x:c>
      <x:c r="C482" s="263" t="str">
        <x:v>Motor_Imagery_and_Execution</x:v>
      </x:c>
      <x:c r="D482" s="263" t="str">
        <x:v>Ofner2017</x:v>
      </x:c>
      <x:c r="E482" s="263"/>
      <x:c r="F482" s="263"/>
      <x:c r="G482" s="263" t="str">
        <x:v>DOWNLOAD_PUBLIC</x:v>
      </x:c>
      <x:c r="H482" s="263" t="str">
        <x:v>[MOABB Ofner2017](https://moabb.neurotechx.com/docs/generated/moabb.datasets.Ofner2017.html)</x:v>
      </x:c>
      <x:c r="I482" s="263" t="str">
        <x:v>7-class upper-limb motor imagery / execution</x:v>
      </x:c>
      <x:c r="J482" s="263" t="str">
        <x:v>15</x:v>
      </x:c>
      <x:c r="K482" s="263" t="str">
        <x:v>61</x:v>
      </x:c>
      <x:c r="L482" s="263" t="str">
        <x:v>512Hz</x:v>
      </x:c>
      <x:c r="M482" s="263" t="str">
        <x:v>MOABB-supported / 原始格式</x:v>
      </x:c>
      <x:c r="N482" s="263" t="str">
        <x:v>raw / 原始发布数据</x:v>
      </x:c>
      <x:c r="O482" s="263" t="str">
        <x:v>public via MOABB; CC-BY-4.0</x:v>
      </x:c>
      <x:c r="P482" s="263" t="str">
        <x:v>未给出</x:v>
      </x:c>
      <x:c r="Q482" s="263" t="str">
        <x:v>06_Motor_and_Interaction/Motor_Imagery_and_Execution/Ofner2017</x:v>
      </x:c>
      <x:c r="R482" s="263" t="str">
        <x:v>存在公开仓库、官方入口或稳定数据访问号</x:v>
      </x:c>
      <x:c r="S482" s="263"/>
      <x:c r="T482" s="263"/>
      <x:c r="U482" s="264"/>
    </x:row>
    <x:row r="483" ht="60" customHeight="1">
      <x:c r="A483" s="239" t="str">
        <x:v>EEG-0423</x:v>
      </x:c>
      <x:c r="B483" s="228" t="str">
        <x:v>06_Motor_and_Interaction</x:v>
      </x:c>
      <x:c r="C483" s="228" t="str">
        <x:v>SSVEP_and_Evoked_BCI</x:v>
      </x:c>
      <x:c r="D483" s="228" t="str">
        <x:v>CastillosBurstVEP100</x:v>
      </x:c>
      <x:c r="E483" s="228"/>
      <x:c r="F483" s="228"/>
      <x:c r="G483" s="228" t="str">
        <x:v>DOWNLOAD_APPLICATION_REQUIRED</x:v>
      </x:c>
      <x:c r="H483" s="228" t="str">
        <x:v>https://moabb.neurotechx.com/docs/generated/moabb.datasets.CastillosBurstVEP100.html</x:v>
      </x:c>
      <x:c r="I483" s="228" t="str">
        <x:v>c-VEP (burst code, 100% amplitude)</x:v>
      </x:c>
      <x:c r="J483" s="228" t="str">
        <x:v>12</x:v>
      </x:c>
      <x:c r="K483" s="228" t="str">
        <x:v>32</x:v>
      </x:c>
      <x:c r="L483" s="228" t="str">
        <x:v>500 Hz</x:v>
      </x:c>
      <x:c r="M483" s="228"/>
      <x:c r="N483" s="228" t="str">
        <x:v>Raw</x:v>
      </x:c>
      <x:c r="O483" s="228" t="str">
        <x:v>Open, CC BY 4.0, no application</x:v>
      </x:c>
      <x:c r="P483" s="228" t="str">
        <x:v>ISAE-SUPAERO</x:v>
      </x:c>
      <x:c r="Q483" s="228" t="str">
        <x:v>06_Motor_and_Interaction/SSVEP_and_Evoked_BCI/CastillosBurstVEP100</x:v>
      </x:c>
      <x:c r="R483" s="228" t="str">
        <x:v>官方数据存在，但需申请、签署协议或获得权限</x:v>
      </x:c>
      <x:c r="S483" s="228"/>
      <x:c r="T483" s="228"/>
      <x:c r="U483" s="205"/>
    </x:row>
    <x:row r="484" ht="60" customHeight="1">
      <x:c r="A484" s="262" t="str">
        <x:v>EEG-0424</x:v>
      </x:c>
      <x:c r="B484" s="263" t="str">
        <x:v>06_Motor_and_Interaction</x:v>
      </x:c>
      <x:c r="C484" s="263" t="str">
        <x:v>SSVEP_and_Evoked_BCI</x:v>
      </x:c>
      <x:c r="D484" s="263" t="str">
        <x:v>CastillosBurstVEP40</x:v>
      </x:c>
      <x:c r="E484" s="263"/>
      <x:c r="F484" s="263"/>
      <x:c r="G484" s="263" t="str">
        <x:v>DOWNLOAD_APPLICATION_REQUIRED</x:v>
      </x:c>
      <x:c r="H484" s="263" t="str">
        <x:v>https://moabb.neurotechx.com/docs/generated/moabb.datasets.CastillosBurstVEP40.html</x:v>
      </x:c>
      <x:c r="I484" s="263" t="str">
        <x:v>c-VEP (burst code, 40% amplitude)</x:v>
      </x:c>
      <x:c r="J484" s="263" t="str">
        <x:v>12</x:v>
      </x:c>
      <x:c r="K484" s="263" t="str">
        <x:v>32</x:v>
      </x:c>
      <x:c r="L484" s="263" t="str">
        <x:v>500 Hz</x:v>
      </x:c>
      <x:c r="M484" s="263"/>
      <x:c r="N484" s="263" t="str">
        <x:v>Raw</x:v>
      </x:c>
      <x:c r="O484" s="263" t="str">
        <x:v>Open, CC BY 4.0, no application</x:v>
      </x:c>
      <x:c r="P484" s="263" t="str">
        <x:v>Frédéric Dehais, ISAE-SUPAERO</x:v>
      </x:c>
      <x:c r="Q484" s="263" t="str">
        <x:v>06_Motor_and_Interaction/SSVEP_and_Evoked_BCI/CastillosBurstVEP40</x:v>
      </x:c>
      <x:c r="R484" s="263" t="str">
        <x:v>官方数据存在，但需申请、签署协议或获得权限</x:v>
      </x:c>
      <x:c r="S484" s="263"/>
      <x:c r="T484" s="263"/>
      <x:c r="U484" s="264"/>
    </x:row>
    <x:row r="485" ht="60" customHeight="1">
      <x:c r="A485" s="239" t="str">
        <x:v>EEG-0425</x:v>
      </x:c>
      <x:c r="B485" s="228" t="str">
        <x:v>06_Motor_and_Interaction</x:v>
      </x:c>
      <x:c r="C485" s="228" t="str">
        <x:v>SSVEP_and_Evoked_BCI</x:v>
      </x:c>
      <x:c r="D485" s="228" t="str">
        <x:v>CastillosCVEP100</x:v>
      </x:c>
      <x:c r="E485" s="228"/>
      <x:c r="F485" s="228"/>
      <x:c r="G485" s="228" t="str">
        <x:v>DOWNLOAD_APPLICATION_REQUIRED</x:v>
      </x:c>
      <x:c r="H485" s="228" t="str">
        <x:v>https://moabb.neurotechx.com/docs/generated/moabb.datasets.CastillosCVEP100.html</x:v>
      </x:c>
      <x:c r="I485" s="228" t="str">
        <x:v>c-VEP (m-sequence, 100% amplitude)</x:v>
      </x:c>
      <x:c r="J485" s="228" t="str">
        <x:v>12</x:v>
      </x:c>
      <x:c r="K485" s="228" t="str">
        <x:v>32</x:v>
      </x:c>
      <x:c r="L485" s="228" t="str">
        <x:v>500 Hz</x:v>
      </x:c>
      <x:c r="M485" s="228"/>
      <x:c r="N485" s="228" t="str">
        <x:v>Raw</x:v>
      </x:c>
      <x:c r="O485" s="228" t="str">
        <x:v>Open, CC BY 4.0, no application</x:v>
      </x:c>
      <x:c r="P485" s="228" t="str">
        <x:v>ISAE-SUPAERO</x:v>
      </x:c>
      <x:c r="Q485" s="228" t="str">
        <x:v>06_Motor_and_Interaction/SSVEP_and_Evoked_BCI/CastillosCVEP100</x:v>
      </x:c>
      <x:c r="R485" s="228" t="str">
        <x:v>官方数据存在，但需申请、签署协议或获得权限</x:v>
      </x:c>
      <x:c r="S485" s="228"/>
      <x:c r="T485" s="228"/>
      <x:c r="U485" s="205"/>
    </x:row>
    <x:row r="486" ht="60" customHeight="1">
      <x:c r="A486" s="262" t="str">
        <x:v>EEG-0426</x:v>
      </x:c>
      <x:c r="B486" s="263" t="str">
        <x:v>06_Motor_and_Interaction</x:v>
      </x:c>
      <x:c r="C486" s="263" t="str">
        <x:v>SSVEP_and_Evoked_BCI</x:v>
      </x:c>
      <x:c r="D486" s="263" t="str">
        <x:v>CastillosCVEP40</x:v>
      </x:c>
      <x:c r="E486" s="263"/>
      <x:c r="F486" s="263"/>
      <x:c r="G486" s="263" t="str">
        <x:v>DOWNLOAD_APPLICATION_REQUIRED</x:v>
      </x:c>
      <x:c r="H486" s="263" t="str">
        <x:v>https://moabb.neurotechx.com/docs/generated/moabb.datasets.CastillosCVEP40.html</x:v>
      </x:c>
      <x:c r="I486" s="263" t="str">
        <x:v>c-VEP (m-sequence, 40% amplitude)</x:v>
      </x:c>
      <x:c r="J486" s="263" t="str">
        <x:v>12</x:v>
      </x:c>
      <x:c r="K486" s="263" t="str">
        <x:v>32</x:v>
      </x:c>
      <x:c r="L486" s="263" t="str">
        <x:v>500 Hz</x:v>
      </x:c>
      <x:c r="M486" s="263"/>
      <x:c r="N486" s="263" t="str">
        <x:v>Raw</x:v>
      </x:c>
      <x:c r="O486" s="263" t="str">
        <x:v>Open, CC BY 4.0, no application</x:v>
      </x:c>
      <x:c r="P486" s="263" t="str">
        <x:v>ISAE-SUPAERO</x:v>
      </x:c>
      <x:c r="Q486" s="263" t="str">
        <x:v>06_Motor_and_Interaction/SSVEP_and_Evoked_BCI/CastillosCVEP40</x:v>
      </x:c>
      <x:c r="R486" s="263" t="str">
        <x:v>官方数据存在，但需申请、签署协议或获得权限</x:v>
      </x:c>
      <x:c r="S486" s="263"/>
      <x:c r="T486" s="263"/>
      <x:c r="U486" s="264"/>
    </x:row>
    <x:row r="487" ht="60" customHeight="1">
      <x:c r="A487" s="239" t="str">
        <x:v>EEG-0427</x:v>
      </x:c>
      <x:c r="B487" s="228" t="str">
        <x:v>06_Motor_and_Interaction</x:v>
      </x:c>
      <x:c r="C487" s="228" t="str">
        <x:v>SSVEP_and_Evoked_BCI</x:v>
      </x:c>
      <x:c r="D487" s="228" t="str">
        <x:v>Chen2017SingleFlicker</x:v>
      </x:c>
      <x:c r="E487" s="228"/>
      <x:c r="F487" s="228"/>
      <x:c r="G487" s="228" t="str">
        <x:v>DOWNLOAD_APPLICATION_REQUIRED</x:v>
      </x:c>
      <x:c r="H487" s="228" t="str">
        <x:v>https://moabb.neurotechx.com/docs/generated/moabb.datasets.Chen2017SingleFlicker.html</x:v>
      </x:c>
      <x:c r="I487" s="228" t="str">
        <x:v>SSVEP (4-target single flicker)</x:v>
      </x:c>
      <x:c r="J487" s="228" t="str">
        <x:v>12</x:v>
      </x:c>
      <x:c r="K487" s="228" t="str">
        <x:v>32</x:v>
      </x:c>
      <x:c r="L487" s="228" t="str">
        <x:v>512 Hz</x:v>
      </x:c>
      <x:c r="M487" s="228"/>
      <x:c r="N487" s="228" t="str">
        <x:v>Raw</x:v>
      </x:c>
      <x:c r="O487" s="228" t="str">
        <x:v>Open, CC BY 4.0, no application</x:v>
      </x:c>
      <x:c r="P487" s="228" t="str">
        <x:v>Alexander Maye, UKE Hamburg</x:v>
      </x:c>
      <x:c r="Q487" s="228" t="str">
        <x:v>06_Motor_and_Interaction/SSVEP_and_Evoked_BCI/Chen2017SingleFlicker</x:v>
      </x:c>
      <x:c r="R487" s="228" t="str">
        <x:v>官方数据存在，但需申请、签署协议或获得权限</x:v>
      </x:c>
      <x:c r="S487" s="228"/>
      <x:c r="T487" s="228"/>
      <x:c r="U487" s="205"/>
    </x:row>
    <x:row r="488" ht="60" customHeight="1">
      <x:c r="A488" s="262" t="str">
        <x:v>EEG-0436</x:v>
      </x:c>
      <x:c r="B488" s="263" t="str">
        <x:v>06_Motor_and_Interaction</x:v>
      </x:c>
      <x:c r="C488" s="263" t="str">
        <x:v>SSVEP_and_Evoked_BCI</x:v>
      </x:c>
      <x:c r="D488" s="263" t="str">
        <x:v>GuttmannFlury2025_SSVEP</x:v>
      </x:c>
      <x:c r="E488" s="263"/>
      <x:c r="F488" s="263"/>
      <x:c r="G488" s="263" t="str">
        <x:v>DOWNLOAD_APPLICATION_REQUIRED</x:v>
      </x:c>
      <x:c r="H488" s="263" t="str">
        <x:v>https://moabb.neurotechx.com/docs/generated/moabb.datasets.GuttmannFlury2025_SSVEP.html</x:v>
      </x:c>
      <x:c r="I488" s="263" t="str">
        <x:v>SSVEP (4-target)</x:v>
      </x:c>
      <x:c r="J488" s="263" t="str">
        <x:v>31</x:v>
      </x:c>
      <x:c r="K488" s="263" t="str">
        <x:v>64</x:v>
      </x:c>
      <x:c r="L488" s="263" t="str">
        <x:v>1000 Hz</x:v>
      </x:c>
      <x:c r="M488" s="263"/>
      <x:c r="N488" s="263" t="str">
        <x:v>Raw</x:v>
      </x:c>
      <x:c r="O488" s="263" t="str">
        <x:v>Open, CC0, no application</x:v>
      </x:c>
      <x:c r="P488" s="263" t="str">
        <x:v>Shanghai Jiao Tong University</x:v>
      </x:c>
      <x:c r="Q488" s="263" t="str">
        <x:v>06_Motor_and_Interaction/SSVEP_and_Evoked_BCI/GuttmannFlury2025_SSVEP</x:v>
      </x:c>
      <x:c r="R488" s="263" t="str">
        <x:v>官方数据存在，但需申请、签署协议或获得权限</x:v>
      </x:c>
      <x:c r="S488" s="263"/>
      <x:c r="T488" s="263"/>
      <x:c r="U488" s="264"/>
    </x:row>
    <x:row r="489" ht="60" customHeight="1">
      <x:c r="A489" s="239" t="str">
        <x:v>EEG-0439</x:v>
      </x:c>
      <x:c r="B489" s="228" t="str">
        <x:v>06_Motor_and_Interaction</x:v>
      </x:c>
      <x:c r="C489" s="228" t="str">
        <x:v>SSVEP_and_Evoked_BCI</x:v>
      </x:c>
      <x:c r="D489" s="228" t="str">
        <x:v>Kim2025BetaRange</x:v>
      </x:c>
      <x:c r="E489" s="228"/>
      <x:c r="F489" s="228"/>
      <x:c r="G489" s="228" t="str">
        <x:v>DOWNLOAD_APPLICATION_REQUIRED</x:v>
      </x:c>
      <x:c r="H489" s="228" t="str">
        <x:v>https://moabb.neurotechx.com/docs/generated/moabb.datasets.Kim2025BetaRange.html</x:v>
      </x:c>
      <x:c r="I489" s="228" t="str">
        <x:v>SSVEP (40-target, beta-band freqs)</x:v>
      </x:c>
      <x:c r="J489" s="228" t="str">
        <x:v>40</x:v>
      </x:c>
      <x:c r="K489" s="228" t="str">
        <x:v>31</x:v>
      </x:c>
      <x:c r="L489" s="228" t="str">
        <x:v>1024 Hz</x:v>
      </x:c>
      <x:c r="M489" s="228"/>
      <x:c r="N489" s="228" t="str">
        <x:v>Raw</x:v>
      </x:c>
      <x:c r="O489" s="228" t="str">
        <x:v>Open, CC BY 4.0, no application</x:v>
      </x:c>
      <x:c r="P489" s="228" t="str">
        <x:v>Sung Chan Jun, GIST</x:v>
      </x:c>
      <x:c r="Q489" s="228" t="str">
        <x:v>06_Motor_and_Interaction/SSVEP_and_Evoked_BCI/Kim2025BetaRange</x:v>
      </x:c>
      <x:c r="R489" s="228" t="str">
        <x:v>官方数据存在，但需申请、签署协议或获得权限</x:v>
      </x:c>
      <x:c r="S489" s="228"/>
      <x:c r="T489" s="228"/>
      <x:c r="U489" s="205"/>
    </x:row>
    <x:row r="490" ht="60" customHeight="1">
      <x:c r="A490" s="262" t="str">
        <x:v>EEG-0440</x:v>
      </x:c>
      <x:c r="B490" s="263" t="str">
        <x:v>06_Motor_and_Interaction</x:v>
      </x:c>
      <x:c r="C490" s="263" t="str">
        <x:v>SSVEP_and_Evoked_BCI</x:v>
      </x:c>
      <x:c r="D490" s="263" t="str">
        <x:v>Lee2021Mobile_SSVEP</x:v>
      </x:c>
      <x:c r="E490" s="263"/>
      <x:c r="F490" s="263"/>
      <x:c r="G490" s="263" t="str">
        <x:v>DOWNLOAD_APPLICATION_REQUIRED</x:v>
      </x:c>
      <x:c r="H490" s="263" t="str">
        <x:v>https://moabb.neurotechx.com/docs/generated/moabb.datasets.Lee2021Mobile_SSVEP.html</x:v>
      </x:c>
      <x:c r="I490" s="263" t="str">
        <x:v>SSVEP (3-target, mobile EEG)</x:v>
      </x:c>
      <x:c r="J490" s="263" t="str">
        <x:v>23</x:v>
      </x:c>
      <x:c r="K490" s="263" t="str">
        <x:v>73</x:v>
      </x:c>
      <x:c r="L490" s="263" t="str">
        <x:v>100 Hz</x:v>
      </x:c>
      <x:c r="M490" s="263"/>
      <x:c r="N490" s="263" t="str">
        <x:v>Raw</x:v>
      </x:c>
      <x:c r="O490" s="263" t="str">
        <x:v>Open, CC BY 4.0, no application</x:v>
      </x:c>
      <x:c r="P490" s="263" t="str">
        <x:v>Korea University</x:v>
      </x:c>
      <x:c r="Q490" s="263" t="str">
        <x:v>06_Motor_and_Interaction/SSVEP_and_Evoked_BCI/Lee2021Mobile_SSVEP</x:v>
      </x:c>
      <x:c r="R490" s="263" t="str">
        <x:v>官方数据存在，但需申请、签署协议或获得权限</x:v>
      </x:c>
      <x:c r="S490" s="263"/>
      <x:c r="T490" s="263"/>
      <x:c r="U490" s="264"/>
    </x:row>
    <x:row r="491" ht="60" customHeight="1">
      <x:c r="A491" s="239" t="str">
        <x:v>EEG-0442</x:v>
      </x:c>
      <x:c r="B491" s="228" t="str">
        <x:v>06_Motor_and_Interaction</x:v>
      </x:c>
      <x:c r="C491" s="228" t="str">
        <x:v>SSVEP_and_Evoked_BCI</x:v>
      </x:c>
      <x:c r="D491" s="228" t="str">
        <x:v>MAMEM2</x:v>
      </x:c>
      <x:c r="E491" s="228"/>
      <x:c r="F491" s="228"/>
      <x:c r="G491" s="228" t="str">
        <x:v>DOWNLOAD_APPLICATION_REQUIRED</x:v>
      </x:c>
      <x:c r="H491" s="228" t="str">
        <x:v>https://moabb.neurotechx.com/docs/generated/moabb.datasets.MAMEM2.html</x:v>
      </x:c>
      <x:c r="I491" s="228" t="str">
        <x:v>SSVEP (5-target)</x:v>
      </x:c>
      <x:c r="J491" s="228" t="str">
        <x:v>11</x:v>
      </x:c>
      <x:c r="K491" s="228" t="str">
        <x:v>256</x:v>
      </x:c>
      <x:c r="L491" s="228" t="str">
        <x:v>250 Hz</x:v>
      </x:c>
      <x:c r="M491" s="228"/>
      <x:c r="N491" s="228" t="str">
        <x:v>Raw</x:v>
      </x:c>
      <x:c r="O491" s="228" t="str">
        <x:v>Open, ODC-By 1.0, no application</x:v>
      </x:c>
      <x:c r="P491" s="228" t="str">
        <x:v>CERTH</x:v>
      </x:c>
      <x:c r="Q491" s="228" t="str">
        <x:v>06_Motor_and_Interaction/SSVEP_and_Evoked_BCI/MAMEM2</x:v>
      </x:c>
      <x:c r="R491" s="228" t="str">
        <x:v>官方数据存在，但需申请、签署协议或获得权限</x:v>
      </x:c>
      <x:c r="S491" s="228"/>
      <x:c r="T491" s="228"/>
      <x:c r="U491" s="205"/>
    </x:row>
    <x:row r="492" ht="60" customHeight="1">
      <x:c r="A492" s="262" t="str">
        <x:v>EEG-0443</x:v>
      </x:c>
      <x:c r="B492" s="263" t="str">
        <x:v>06_Motor_and_Interaction</x:v>
      </x:c>
      <x:c r="C492" s="263" t="str">
        <x:v>SSVEP_and_Evoked_BCI</x:v>
      </x:c>
      <x:c r="D492" s="263" t="str">
        <x:v>MAMEM3</x:v>
      </x:c>
      <x:c r="E492" s="263"/>
      <x:c r="F492" s="263"/>
      <x:c r="G492" s="263" t="str">
        <x:v>DOWNLOAD_APPLICATION_REQUIRED</x:v>
      </x:c>
      <x:c r="H492" s="263" t="str">
        <x:v>https://moabb.neurotechx.com/docs/generated/moabb.datasets.MAMEM3.html</x:v>
      </x:c>
      <x:c r="I492" s="263" t="str">
        <x:v>SSVEP (5-target)</x:v>
      </x:c>
      <x:c r="J492" s="263" t="str">
        <x:v>11</x:v>
      </x:c>
      <x:c r="K492" s="263" t="str">
        <x:v>14</x:v>
      </x:c>
      <x:c r="L492" s="263" t="str">
        <x:v>128 Hz</x:v>
      </x:c>
      <x:c r="M492" s="263"/>
      <x:c r="N492" s="263" t="str">
        <x:v>Raw</x:v>
      </x:c>
      <x:c r="O492" s="263" t="str">
        <x:v>Open, ODC-By 1.0, no application</x:v>
      </x:c>
      <x:c r="P492" s="263" t="str">
        <x:v>CERTH</x:v>
      </x:c>
      <x:c r="Q492" s="263" t="str">
        <x:v>06_Motor_and_Interaction/SSVEP_and_Evoked_BCI/MAMEM3</x:v>
      </x:c>
      <x:c r="R492" s="263" t="str">
        <x:v>官方数据存在，但需申请、签署协议或获得权限</x:v>
      </x:c>
      <x:c r="S492" s="263"/>
      <x:c r="T492" s="263"/>
      <x:c r="U492" s="264"/>
    </x:row>
    <x:row r="493" ht="60" customHeight="1">
      <x:c r="A493" s="239" t="str">
        <x:v>EEG-0459</x:v>
      </x:c>
      <x:c r="B493" s="228" t="str">
        <x:v>06_Motor_and_Interaction</x:v>
      </x:c>
      <x:c r="C493" s="228" t="str">
        <x:v>Interaction_and_Control</x:v>
      </x:c>
      <x:c r="D493" s="228" t="str">
        <x:v>BCIComp2020WalkingERP</x:v>
      </x:c>
      <x:c r="E493" s="228"/>
      <x:c r="F493" s="228"/>
      <x:c r="G493" s="228" t="str">
        <x:v>DOWNLOAD_APPLICATION_REQUIRED</x:v>
      </x:c>
      <x:c r="H493" s="228" t="str">
        <x:v>https://moabb.neurotechx.com/docs/generated/moabb.datasets.BCIComp2020WalkingERP.html</x:v>
      </x:c>
      <x:c r="I493" s="228" t="str">
        <x:v>ERP / P300 (walking)</x:v>
      </x:c>
      <x:c r="J493" s="228" t="str">
        <x:v>15</x:v>
      </x:c>
      <x:c r="K493" s="228" t="str">
        <x:v>46</x:v>
      </x:c>
      <x:c r="L493" s="228" t="str">
        <x:v>100 Hz</x:v>
      </x:c>
      <x:c r="M493" s="228"/>
      <x:c r="N493" s="228" t="str">
        <x:v>Raw</x:v>
      </x:c>
      <x:c r="O493" s="228" t="str">
        <x:v>Open, CC BY 4.0, no application</x:v>
      </x:c>
      <x:c r="P493" s="228" t="str">
        <x:v>Korea University</x:v>
      </x:c>
      <x:c r="Q493" s="228" t="str">
        <x:v>06_Motor_and_Interaction/Interaction_and_Control/BCIComp2020WalkingERP</x:v>
      </x:c>
      <x:c r="R493" s="228" t="str">
        <x:v>官方数据存在，但需申请、签署协议或获得权限</x:v>
      </x:c>
      <x:c r="S493" s="228"/>
      <x:c r="T493" s="228"/>
      <x:c r="U493" s="205"/>
    </x:row>
    <x:row r="494" ht="60" customHeight="1">
      <x:c r="A494" s="262" t="str">
        <x:v>EEG-0460</x:v>
      </x:c>
      <x:c r="B494" s="263" t="str">
        <x:v>06_Motor_and_Interaction</x:v>
      </x:c>
      <x:c r="C494" s="263" t="str">
        <x:v>Interaction_and_Control</x:v>
      </x:c>
      <x:c r="D494" s="263" t="str">
        <x:v>Benchmark Dataset for RSVP BCIs</x:v>
      </x:c>
      <x:c r="E494" s="263"/>
      <x:c r="F494" s="263"/>
      <x:c r="G494" s="263" t="str">
        <x:v>DOWNLOAD_PUBLIC</x:v>
      </x:c>
      <x:c r="H494" s="263" t="str">
        <x:v>https://bci.med.tsinghua.edu.cn/download.html</x:v>
      </x:c>
      <x:c r="I494" s="263" t="str">
        <x:v>RSVP / rapid serial visual presentation BCI</x:v>
      </x:c>
      <x:c r="J494" s="263" t="str">
        <x:v>64</x:v>
      </x:c>
      <x:c r="K494" s="263" t="str">
        <x:v>64 EEG</x:v>
      </x:c>
      <x:c r="L494" s="263"/>
      <x:c r="M494" s="263" t="str">
        <x:v>MAT/ZIP</x:v>
      </x:c>
      <x:c r="N494" s="263" t="str">
        <x:v>Raw EEG</x:v>
      </x:c>
      <x:c r="O494" s="263" t="str">
        <x:v>Public download page</x:v>
      </x:c>
      <x:c r="P494" s="263" t="str">
        <x:v>Zhang et al. 2020</x:v>
      </x:c>
      <x:c r="Q494" s="263" t="str">
        <x:v>06_Motor_and_Interaction/Interaction_and_Control/Benchmark_Dataset_for_RSVP_BCIs</x:v>
      </x:c>
      <x:c r="R494" s="263" t="str">
        <x:v>存在公开仓库、官方入口或稳定数据访问号</x:v>
      </x:c>
      <x:c r="S494" s="263"/>
      <x:c r="T494" s="263"/>
      <x:c r="U494" s="264"/>
    </x:row>
    <x:row r="495" ht="60" customHeight="1">
      <x:c r="A495" s="239" t="str">
        <x:v>EEG-0463</x:v>
      </x:c>
      <x:c r="B495" s="228" t="str">
        <x:v>06_Motor_and_Interaction</x:v>
      </x:c>
      <x:c r="C495" s="228" t="str">
        <x:v>Interaction_and_Control</x:v>
      </x:c>
      <x:c r="D495" s="228" t="str">
        <x:v>BI2012 (Brain Invaders)</x:v>
      </x:c>
      <x:c r="E495" s="228"/>
      <x:c r="F495" s="228"/>
      <x:c r="G495" s="228" t="str">
        <x:v>DOWNLOAD_APPLICATION_REQUIRED</x:v>
      </x:c>
      <x:c r="H495" s="228" t="str">
        <x:v>https://moabb.neurotechx.com/docs/generated/moabb.datasets.BI2012.html</x:v>
      </x:c>
      <x:c r="I495" s="228" t="str">
        <x:v>P300 / ERP</x:v>
      </x:c>
      <x:c r="J495" s="228" t="str">
        <x:v>25</x:v>
      </x:c>
      <x:c r="K495" s="228" t="str">
        <x:v>16</x:v>
      </x:c>
      <x:c r="L495" s="228" t="str">
        <x:v>128 Hz</x:v>
      </x:c>
      <x:c r="M495" s="228"/>
      <x:c r="N495" s="228" t="str">
        <x:v>Raw</x:v>
      </x:c>
      <x:c r="O495" s="228" t="str">
        <x:v>Open, CC BY 4.0, no application</x:v>
      </x:c>
      <x:c r="P495" s="228" t="str">
        <x:v>Marco Congedo, GIPSA-lab CNRS</x:v>
      </x:c>
      <x:c r="Q495" s="228" t="str">
        <x:v>06_Motor_and_Interaction/Interaction_and_Control/BI2012_Brain_Invaders</x:v>
      </x:c>
      <x:c r="R495" s="228" t="str">
        <x:v>官方数据存在，但需申请、签署协议或获得权限</x:v>
      </x:c>
      <x:c r="S495" s="228"/>
      <x:c r="T495" s="228"/>
      <x:c r="U495" s="205"/>
    </x:row>
    <x:row r="496" ht="60" customHeight="1">
      <x:c r="A496" s="262" t="str">
        <x:v>EEG-0464</x:v>
      </x:c>
      <x:c r="B496" s="263" t="str">
        <x:v>06_Motor_and_Interaction</x:v>
      </x:c>
      <x:c r="C496" s="263" t="str">
        <x:v>Interaction_and_Control</x:v>
      </x:c>
      <x:c r="D496" s="263" t="str">
        <x:v>BI2013a (Brain Invaders)</x:v>
      </x:c>
      <x:c r="E496" s="263"/>
      <x:c r="F496" s="263"/>
      <x:c r="G496" s="263" t="str">
        <x:v>DOWNLOAD_APPLICATION_REQUIRED</x:v>
      </x:c>
      <x:c r="H496" s="263" t="str">
        <x:v>https://moabb.neurotechx.com/docs/generated/moabb.datasets.BI2013a.html</x:v>
      </x:c>
      <x:c r="I496" s="263" t="str">
        <x:v>P300 / ERP</x:v>
      </x:c>
      <x:c r="J496" s="263" t="str">
        <x:v>24</x:v>
      </x:c>
      <x:c r="K496" s="263" t="str">
        <x:v>16</x:v>
      </x:c>
      <x:c r="L496" s="263" t="str">
        <x:v>512 Hz</x:v>
      </x:c>
      <x:c r="M496" s="263"/>
      <x:c r="N496" s="263" t="str">
        <x:v>Raw</x:v>
      </x:c>
      <x:c r="O496" s="263" t="str">
        <x:v>Open, CC BY 1.0, no application</x:v>
      </x:c>
      <x:c r="P496" s="263" t="str">
        <x:v>Marco Congedo, GIPSA-lab CNRS</x:v>
      </x:c>
      <x:c r="Q496" s="263" t="str">
        <x:v>06_Motor_and_Interaction/Interaction_and_Control/BI2013a_Brain_Invaders</x:v>
      </x:c>
      <x:c r="R496" s="263" t="str">
        <x:v>官方数据存在，但需申请、签署协议或获得权限</x:v>
      </x:c>
      <x:c r="S496" s="263"/>
      <x:c r="T496" s="263"/>
      <x:c r="U496" s="264"/>
    </x:row>
    <x:row r="497" ht="60" customHeight="1">
      <x:c r="A497" s="239" t="str">
        <x:v>EEG-0465</x:v>
      </x:c>
      <x:c r="B497" s="228" t="str">
        <x:v>06_Motor_and_Interaction</x:v>
      </x:c>
      <x:c r="C497" s="228" t="str">
        <x:v>Interaction_and_Control</x:v>
      </x:c>
      <x:c r="D497" s="228" t="str">
        <x:v>BI2014a (Brain Invaders)</x:v>
      </x:c>
      <x:c r="E497" s="228"/>
      <x:c r="F497" s="228"/>
      <x:c r="G497" s="228" t="str">
        <x:v>DOWNLOAD_APPLICATION_REQUIRED</x:v>
      </x:c>
      <x:c r="H497" s="228" t="str">
        <x:v>https://moabb.neurotechx.com/docs/generated/moabb.datasets.BI2014a.html</x:v>
      </x:c>
      <x:c r="I497" s="228" t="str">
        <x:v>P300 / ERP</x:v>
      </x:c>
      <x:c r="J497" s="228" t="str">
        <x:v>64</x:v>
      </x:c>
      <x:c r="K497" s="228" t="str">
        <x:v>16</x:v>
      </x:c>
      <x:c r="L497" s="228" t="str">
        <x:v>512 Hz</x:v>
      </x:c>
      <x:c r="M497" s="228"/>
      <x:c r="N497" s="228" t="str">
        <x:v>Raw</x:v>
      </x:c>
      <x:c r="O497" s="228" t="str">
        <x:v>Open, CC BY 4.0, no application</x:v>
      </x:c>
      <x:c r="P497" s="228" t="str">
        <x:v>Marco Congedo, GIPSA-lab CNRS</x:v>
      </x:c>
      <x:c r="Q497" s="228" t="str">
        <x:v>06_Motor_and_Interaction/Interaction_and_Control/BI2014a_Brain_Invaders</x:v>
      </x:c>
      <x:c r="R497" s="228" t="str">
        <x:v>官方数据存在，但需申请、签署协议或获得权限</x:v>
      </x:c>
      <x:c r="S497" s="228"/>
      <x:c r="T497" s="228"/>
      <x:c r="U497" s="205"/>
    </x:row>
    <x:row r="498" ht="60" customHeight="1">
      <x:c r="A498" s="262" t="str">
        <x:v>EEG-0466</x:v>
      </x:c>
      <x:c r="B498" s="263" t="str">
        <x:v>06_Motor_and_Interaction</x:v>
      </x:c>
      <x:c r="C498" s="263" t="str">
        <x:v>Interaction_and_Control</x:v>
      </x:c>
      <x:c r="D498" s="263" t="str">
        <x:v>BI2014b (Brain Invaders)</x:v>
      </x:c>
      <x:c r="E498" s="263"/>
      <x:c r="F498" s="263"/>
      <x:c r="G498" s="263" t="str">
        <x:v>DOWNLOAD_APPLICATION_REQUIRED</x:v>
      </x:c>
      <x:c r="H498" s="263" t="str">
        <x:v>https://moabb.neurotechx.com/docs/generated/moabb.datasets.BI2014b.html</x:v>
      </x:c>
      <x:c r="I498" s="263" t="str">
        <x:v>P300 / ERP</x:v>
      </x:c>
      <x:c r="J498" s="263" t="str">
        <x:v>38</x:v>
      </x:c>
      <x:c r="K498" s="263" t="str">
        <x:v>32</x:v>
      </x:c>
      <x:c r="L498" s="263" t="str">
        <x:v>512 Hz</x:v>
      </x:c>
      <x:c r="M498" s="263"/>
      <x:c r="N498" s="263" t="str">
        <x:v>Raw</x:v>
      </x:c>
      <x:c r="O498" s="263" t="str">
        <x:v>Open, CC BY 4.0, no application</x:v>
      </x:c>
      <x:c r="P498" s="263" t="str">
        <x:v>Marco Congedo, GIPSA-lab CNRS</x:v>
      </x:c>
      <x:c r="Q498" s="263" t="str">
        <x:v>06_Motor_and_Interaction/Interaction_and_Control/BI2014b_Brain_Invaders</x:v>
      </x:c>
      <x:c r="R498" s="263" t="str">
        <x:v>官方数据存在，但需申请、签署协议或获得权限</x:v>
      </x:c>
      <x:c r="S498" s="263"/>
      <x:c r="T498" s="263"/>
      <x:c r="U498" s="264"/>
    </x:row>
    <x:row r="499" ht="60" customHeight="1">
      <x:c r="A499" s="239" t="str">
        <x:v>EEG-0467</x:v>
      </x:c>
      <x:c r="B499" s="228" t="str">
        <x:v>06_Motor_and_Interaction</x:v>
      </x:c>
      <x:c r="C499" s="228" t="str">
        <x:v>Interaction_and_Control</x:v>
      </x:c>
      <x:c r="D499" s="228" t="str">
        <x:v>BI2015b (Brain Invaders)</x:v>
      </x:c>
      <x:c r="E499" s="228"/>
      <x:c r="F499" s="228"/>
      <x:c r="G499" s="228" t="str">
        <x:v>DOWNLOAD_APPLICATION_REQUIRED</x:v>
      </x:c>
      <x:c r="H499" s="228" t="str">
        <x:v>https://moabb.neurotechx.com/docs/generated/moabb.datasets.BI2015b.html</x:v>
      </x:c>
      <x:c r="I499" s="228" t="str">
        <x:v>P300 / ERP</x:v>
      </x:c>
      <x:c r="J499" s="228" t="str">
        <x:v>44</x:v>
      </x:c>
      <x:c r="K499" s="228" t="str">
        <x:v>32</x:v>
      </x:c>
      <x:c r="L499" s="228" t="str">
        <x:v>512 Hz</x:v>
      </x:c>
      <x:c r="M499" s="228"/>
      <x:c r="N499" s="228" t="str">
        <x:v>Raw</x:v>
      </x:c>
      <x:c r="O499" s="228" t="str">
        <x:v>Open, CC BY 4.0, no application</x:v>
      </x:c>
      <x:c r="P499" s="228" t="str">
        <x:v>Marco Congedo, GIPSA-lab CNRS</x:v>
      </x:c>
      <x:c r="Q499" s="228" t="str">
        <x:v>06_Motor_and_Interaction/Interaction_and_Control/BI2015b_Brain_Invaders</x:v>
      </x:c>
      <x:c r="R499" s="228" t="str">
        <x:v>官方数据存在，但需申请、签署协议或获得权限</x:v>
      </x:c>
      <x:c r="S499" s="228"/>
      <x:c r="T499" s="228"/>
      <x:c r="U499" s="205"/>
    </x:row>
    <x:row r="500" ht="60" customHeight="1">
      <x:c r="A500" s="262" t="str">
        <x:v>EEG-0483</x:v>
      </x:c>
      <x:c r="B500" s="263" t="str">
        <x:v>06_Motor_and_Interaction</x:v>
      </x:c>
      <x:c r="C500" s="263" t="str">
        <x:v>Interaction_and_Control</x:v>
      </x:c>
      <x:c r="D500" s="263" t="str">
        <x:v>Huebner2017 (visual matrix speller, LLP)</x:v>
      </x:c>
      <x:c r="E500" s="263"/>
      <x:c r="F500" s="263"/>
      <x:c r="G500" s="263" t="str">
        <x:v>DOWNLOAD_APPLICATION_REQUIRED</x:v>
      </x:c>
      <x:c r="H500" s="263" t="str">
        <x:v>https://moabb.neurotechx.com/docs/generated/moabb.datasets.Huebner2017.html</x:v>
      </x:c>
      <x:c r="I500" s="263" t="str">
        <x:v>ERP / Visual Matrix Speller</x:v>
      </x:c>
      <x:c r="J500" s="263" t="str">
        <x:v>13</x:v>
      </x:c>
      <x:c r="K500" s="263" t="str">
        <x:v>31</x:v>
      </x:c>
      <x:c r="L500" s="263" t="str">
        <x:v>1000 Hz</x:v>
      </x:c>
      <x:c r="M500" s="263"/>
      <x:c r="N500" s="263" t="str">
        <x:v>Raw</x:v>
      </x:c>
      <x:c r="O500" s="263" t="str">
        <x:v>Open, CC BY 4.0, no application</x:v>
      </x:c>
      <x:c r="P500" s="263" t="str">
        <x:v>Michael Tangermann, Univ. Freiburg</x:v>
      </x:c>
      <x:c r="Q500" s="263" t="str">
        <x:v>06_Motor_and_Interaction/Interaction_and_Control/Huebner2017_visual_matrix_speller_LLP</x:v>
      </x:c>
      <x:c r="R500" s="263" t="str">
        <x:v>官方数据存在，但需申请、签署协议或获得权限</x:v>
      </x:c>
      <x:c r="S500" s="263"/>
      <x:c r="T500" s="263"/>
      <x:c r="U500" s="264"/>
    </x:row>
    <x:row r="501" ht="60" customHeight="1">
      <x:c r="A501" s="239" t="str">
        <x:v>EEG-0484</x:v>
      </x:c>
      <x:c r="B501" s="228" t="str">
        <x:v>06_Motor_and_Interaction</x:v>
      </x:c>
      <x:c r="C501" s="228" t="str">
        <x:v>Interaction_and_Control</x:v>
      </x:c>
      <x:c r="D501" s="228" t="str">
        <x:v>Huebner2018 (LLP+EM speller)</x:v>
      </x:c>
      <x:c r="E501" s="228"/>
      <x:c r="F501" s="228"/>
      <x:c r="G501" s="228" t="str">
        <x:v>DOWNLOAD_APPLICATION_REQUIRED</x:v>
      </x:c>
      <x:c r="H501" s="228" t="str">
        <x:v>https://moabb.neurotechx.com/docs/generated/moabb.datasets.Huebner2018.html</x:v>
      </x:c>
      <x:c r="I501" s="228" t="str">
        <x:v>ERP / Visual Matrix Speller</x:v>
      </x:c>
      <x:c r="J501" s="228" t="str">
        <x:v>12</x:v>
      </x:c>
      <x:c r="K501" s="228" t="str">
        <x:v>31</x:v>
      </x:c>
      <x:c r="L501" s="228" t="str">
        <x:v>1000 Hz</x:v>
      </x:c>
      <x:c r="M501" s="228"/>
      <x:c r="N501" s="228" t="str">
        <x:v>Raw</x:v>
      </x:c>
      <x:c r="O501" s="228" t="str">
        <x:v>Open, CC BY 4.0, no application</x:v>
      </x:c>
      <x:c r="P501" s="228" t="str">
        <x:v>Univ. Freiburg</x:v>
      </x:c>
      <x:c r="Q501" s="228" t="str">
        <x:v>06_Motor_and_Interaction/Interaction_and_Control/Huebner2018_LLP_EM_speller</x:v>
      </x:c>
      <x:c r="R501" s="228" t="str">
        <x:v>官方数据存在，但需申请、签署协议或获得权限</x:v>
      </x:c>
      <x:c r="S501" s="228"/>
      <x:c r="T501" s="228"/>
      <x:c r="U501" s="205"/>
    </x:row>
    <x:row r="502" ht="60" customHeight="1">
      <x:c r="A502" s="262" t="str">
        <x:v>EEG-0497</x:v>
      </x:c>
      <x:c r="B502" s="263" t="str">
        <x:v>03_Consciousness_and_State</x:v>
      </x:c>
      <x:c r="C502" s="263" t="str">
        <x:v>Resting_State</x:v>
      </x:c>
      <x:c r="D502" s="263" t="str">
        <x:v>Cattan2019_PHMD (Phone Head-Mounted Display)</x:v>
      </x:c>
      <x:c r="E502" s="263"/>
      <x:c r="F502" s="263"/>
      <x:c r="G502" s="263" t="str">
        <x:v>DOWNLOAD_APPLICATION_REQUIRED</x:v>
      </x:c>
      <x:c r="H502" s="263" t="str">
        <x:v>https://moabb.neurotechx.com/docs/generated/moabb.datasets.Cattan2019_PHMD.html</x:v>
      </x:c>
      <x:c r="I502" s="263" t="str">
        <x:v>Resting State</x:v>
      </x:c>
      <x:c r="J502" s="263" t="str">
        <x:v>12</x:v>
      </x:c>
      <x:c r="K502" s="263" t="str">
        <x:v>16</x:v>
      </x:c>
      <x:c r="L502" s="263" t="str">
        <x:v>512 Hz</x:v>
      </x:c>
      <x:c r="M502" s="263"/>
      <x:c r="N502" s="263" t="str">
        <x:v>Raw</x:v>
      </x:c>
      <x:c r="O502" s="263" t="str">
        <x:v>Open, CC BY 4.0, no application</x:v>
      </x:c>
      <x:c r="P502" s="263" t="str">
        <x:v>Marco Congedo, GIPSA-lab</x:v>
      </x:c>
      <x:c r="Q502" s="263" t="str">
        <x:v>03_Consciousness_and_State/Resting_State/Cattan2019_PHMD_Phone_Head-Mounted_Display</x:v>
      </x:c>
      <x:c r="R502" s="263" t="str">
        <x:v>官方数据存在，但需申请、签署协议或获得权限</x:v>
      </x:c>
      <x:c r="S502" s="263"/>
      <x:c r="T502" s="263"/>
      <x:c r="U502" s="264"/>
    </x:row>
    <x:row r="503" ht="60" customHeight="1">
      <x:c r="A503" s="239" t="str">
        <x:v>EEG-0502</x:v>
      </x:c>
      <x:c r="B503" s="228" t="str">
        <x:v>03_Consciousness_and_State</x:v>
      </x:c>
      <x:c r="C503" s="228" t="str">
        <x:v>Resting_State</x:v>
      </x:c>
      <x:c r="D503" s="228" t="str">
        <x:v>India + Tanzania Large-scale EEG Subset</x:v>
      </x:c>
      <x:c r="E503" s="228"/>
      <x:c r="F503" s="228" t="str">
        <x:v>OpenNeuro:ds007358</x:v>
      </x:c>
      <x:c r="G503" s="228" t="str">
        <x:v>DOWNLOAD_PUBLIC</x:v>
      </x:c>
      <x:c r="H503" s="228" t="str">
        <x:v>[OpenNeuro ds007358](https://openneuro.org/datasets/ds007358/versions/1.0.0)</x:v>
      </x:c>
      <x:c r="I503" s="228" t="str">
        <x:v>eyes-open, eyes-closed, pictorial condition；large-scale cross-site EEG source</x:v>
      </x:c>
      <x:c r="J503" s="228" t="str">
        <x:v>2,000</x:v>
      </x:c>
      <x:c r="K503" s="228" t="str">
        <x:v>未给出</x:v>
      </x:c>
      <x:c r="L503" s="228" t="str">
        <x:v>未给出</x:v>
      </x:c>
      <x:c r="M503" s="228" t="str">
        <x:v>BIDS</x:v>
      </x:c>
      <x:c r="N503" s="228" t="str">
        <x:v>raw BIDS</x:v>
      </x:c>
      <x:c r="O503" s="228" t="str">
        <x:v>公开下载：OpenNeuro ds007358 v1.0.0；CC0，可网页、OpenNeuro CLI 或 DataLad 获取。</x:v>
      </x:c>
      <x:c r="P503" s="228" t="str">
        <x:v>John Mary Vianney; Shailender Swaminathan; Jennifer Jane Newson; Dhanya Parameshwaran; Narayan Puthanmadam Subramaniyam; Swaeta Singha Roy; Revocatus Machunda; Achiwa Sapuli</x:v>
      </x:c>
      <x:c r="Q503" s="228" t="str">
        <x:v>03_Consciousness_and_State/Resting_State/India_Tanzania_Large-scale_EEG_Subset</x:v>
      </x:c>
      <x:c r="R503" s="228" t="str">
        <x:v>存在公开仓库、官方入口或稳定数据访问号</x:v>
      </x:c>
      <x:c r="S503" s="228"/>
      <x:c r="T503" s="228"/>
      <x:c r="U503" s="205"/>
    </x:row>
    <x:row r="504" ht="60" customHeight="1">
      <x:c r="A504" s="262" t="str">
        <x:v>EEG-0503</x:v>
      </x:c>
      <x:c r="B504" s="263" t="str">
        <x:v>03_Consciousness_and_State</x:v>
      </x:c>
      <x:c r="C504" s="263" t="str">
        <x:v>Resting_State</x:v>
      </x:c>
      <x:c r="D504" s="263" t="str">
        <x:v>Juvenile Offenders Resting EEG</x:v>
      </x:c>
      <x:c r="E504" s="263"/>
      <x:c r="F504" s="263" t="str">
        <x:v>OpenNeuro:ds006923</x:v>
      </x:c>
      <x:c r="G504" s="263" t="str">
        <x:v>DOWNLOAD_PUBLIC</x:v>
      </x:c>
      <x:c r="H504" s="263" t="str">
        <x:v>[OpenNeuro ds006923](https://openneuro.org/datasets/ds006923/versions/1.0.0)</x:v>
      </x:c>
      <x:c r="I504" s="263" t="str">
        <x:v>resting-state EEG in juvenile offenders</x:v>
      </x:c>
      <x:c r="J504" s="263" t="str">
        <x:v>140</x:v>
      </x:c>
      <x:c r="K504" s="263" t="str">
        <x:v>未给出</x:v>
      </x:c>
      <x:c r="L504" s="263" t="str">
        <x:v>未给出</x:v>
      </x:c>
      <x:c r="M504" s="263" t="str">
        <x:v>BIDS</x:v>
      </x:c>
      <x:c r="N504" s="263" t="str">
        <x:v>raw BIDS</x:v>
      </x:c>
      <x:c r="O504" s="263" t="str">
        <x:v>公开下载：OpenNeuro ds006923 v1.0.0；CC0，可网页、OpenNeuro CLI 或 DataLad 获取。</x:v>
      </x:c>
      <x:c r="P504" s="263" t="str">
        <x:v>Aura Polo; Elmer León; Mariana Pino-Melgarejo; Julie Viloria-Porto</x:v>
      </x:c>
      <x:c r="Q504" s="263" t="str">
        <x:v>03_Consciousness_and_State/Resting_State/Juvenile_Offenders_Resting_EEG</x:v>
      </x:c>
      <x:c r="R504" s="263" t="str">
        <x:v>存在公开仓库、官方入口或稳定数据访问号</x:v>
      </x:c>
      <x:c r="S504" s="263"/>
      <x:c r="T504" s="263"/>
      <x:c r="U504" s="264"/>
    </x:row>
    <x:row r="505" ht="60" customHeight="1">
      <x:c r="A505" s="239" t="str">
        <x:v>EEG-0511</x:v>
      </x:c>
      <x:c r="B505" s="228" t="str">
        <x:v>03_Consciousness_and_State</x:v>
      </x:c>
      <x:c r="C505" s="228" t="str">
        <x:v>Resting_State</x:v>
      </x:c>
      <x:c r="D505" s="228" t="str">
        <x:v>PREDICT</x:v>
      </x:c>
      <x:c r="E505" s="228"/>
      <x:c r="F505" s="228" t="str">
        <x:v>OpenNeuro:ds005486</x:v>
      </x:c>
      <x:c r="G505" s="228" t="str">
        <x:v>DOWNLOAD_PUBLIC</x:v>
      </x:c>
      <x:c r="H505" s="228" t="str">
        <x:v>[OpenNeuro ds005486](https://openneuro.org/datasets/ds005486/versions/1.0.1)</x:v>
      </x:c>
      <x:c r="I505" s="228" t="str">
        <x:v>resting-state EEG；clinical prediction / cohort modeling</x:v>
      </x:c>
      <x:c r="J505" s="228" t="str">
        <x:v>159</x:v>
      </x:c>
      <x:c r="K505" s="228" t="str">
        <x:v>未给出</x:v>
      </x:c>
      <x:c r="L505" s="228" t="str">
        <x:v>未给出</x:v>
      </x:c>
      <x:c r="M505" s="228" t="str">
        <x:v>BIDS / OpenNeuro</x:v>
      </x:c>
      <x:c r="N505" s="228" t="str">
        <x:v>raw BIDS</x:v>
      </x:c>
      <x:c r="O505" s="228" t="str">
        <x:v>公开下载：OpenNeuro ds005486 v1.0.1；CC0，可网页、OpenNeuro CLI 或 DataLad 获取。</x:v>
      </x:c>
      <x:c r="P505" s="228" t="str">
        <x:v>Nahian S. Chowdhury; Chuan Bi; Andrew J. Furman; Alan KI Chiang; Patrick Skippen</x:v>
      </x:c>
      <x:c r="Q505" s="228" t="str">
        <x:v>03_Consciousness_and_State/Resting_State/PREDICT</x:v>
      </x:c>
      <x:c r="R505" s="228" t="str">
        <x:v>存在公开仓库、官方入口或稳定数据访问号</x:v>
      </x:c>
      <x:c r="S505" s="228"/>
      <x:c r="T505" s="228"/>
      <x:c r="U505" s="205"/>
    </x:row>
    <x:row r="506" ht="60" customHeight="1">
      <x:c r="A506" s="262" t="str">
        <x:v>EEG-0517</x:v>
      </x:c>
      <x:c r="B506" s="263" t="str">
        <x:v>03_Consciousness_and_State</x:v>
      </x:c>
      <x:c r="C506" s="263" t="str">
        <x:v>Resting_State</x:v>
      </x:c>
      <x:c r="D506" s="263" t="str">
        <x:v>UCI EEG Eye State</x:v>
      </x:c>
      <x:c r="E506" s="263" t="str">
        <x:v>EEG Eye State Dataset</x:v>
      </x:c>
      <x:c r="F506" s="263"/>
      <x:c r="G506" s="263" t="str">
        <x:v>DOWNLOAD_PUBLIC</x:v>
      </x:c>
      <x:c r="H506" s="263" t="str">
        <x:v>https://archive.ics.uci.edu/dataset/264/eeg+eye+state</x:v>
      </x:c>
      <x:c r="I506" s="263" t="str">
        <x:v>eyes open vs eyes closed classification</x:v>
      </x:c>
      <x:c r="J506" s="263" t="str">
        <x:v>1</x:v>
      </x:c>
      <x:c r="K506" s="263" t="str">
        <x:v>14 EEG values</x:v>
      </x:c>
      <x:c r="L506" s="263" t="str">
        <x:v>未给出</x:v>
      </x:c>
      <x:c r="M506" s="263" t="str">
        <x:v>ARFF / CSV</x:v>
      </x:c>
      <x:c r="N506" s="263" t="str">
        <x:v>Processed feature table</x:v>
      </x:c>
      <x:c r="O506" s="263" t="str">
        <x:v>Open; CC BY 4.0</x:v>
      </x:c>
      <x:c r="P506" s="263" t="str">
        <x:v>Oliver Roesler, 2013</x:v>
      </x:c>
      <x:c r="Q506" s="263" t="str">
        <x:v>03_Consciousness_and_State/Resting_State/UCI_EEG_Eye_State</x:v>
      </x:c>
      <x:c r="R506" s="263" t="str">
        <x:v>存在公开仓库、官方入口或稳定数据访问号</x:v>
      </x:c>
      <x:c r="S506" s="263"/>
      <x:c r="T506" s="263"/>
      <x:c r="U506" s="264"/>
    </x:row>
    <x:row r="507" ht="60" customHeight="1">
      <x:c r="A507" s="239" t="str">
        <x:v>EEG-0521</x:v>
      </x:c>
      <x:c r="B507" s="228" t="str">
        <x:v>08_Health_and_Population</x:v>
      </x:c>
      <x:c r="C507" s="228" t="str">
        <x:v>Lifespan_and_Normative</x:v>
      </x:c>
      <x:c r="D507" s="228" t="str">
        <x:v>Mind in Motion Older Adults Walking EEG</x:v>
      </x:c>
      <x:c r="E507" s="228"/>
      <x:c r="F507" s="228" t="str">
        <x:v>OpenNeuro:ds006095</x:v>
      </x:c>
      <x:c r="G507" s="228" t="str">
        <x:v>DOWNLOAD_PUBLIC</x:v>
      </x:c>
      <x:c r="H507" s="228" t="str">
        <x:v>[OpenNeuro ds006095](https://openneuro.org/datasets/ds006095/versions/1.0.0)</x:v>
      </x:c>
      <x:c r="I507" s="228" t="str">
        <x:v>older adults walking over uneven terrain；mixed mobile EEG task</x:v>
      </x:c>
      <x:c r="J507" s="228" t="str">
        <x:v>71</x:v>
      </x:c>
      <x:c r="K507" s="228" t="str">
        <x:v>未给出</x:v>
      </x:c>
      <x:c r="L507" s="228" t="str">
        <x:v>未给出</x:v>
      </x:c>
      <x:c r="M507" s="228" t="str">
        <x:v>BIDS</x:v>
      </x:c>
      <x:c r="N507" s="228" t="str">
        <x:v>raw BIDS</x:v>
      </x:c>
      <x:c r="O507" s="228" t="str">
        <x:v>公开下载：OpenNeuro ds006095 v1.0.0；CC0，可网页、OpenNeuro CLI 或 DataLad 获取。</x:v>
      </x:c>
      <x:c r="P507" s="228" t="str">
        <x:v>Chang Liu; Erika M. Pliner; Jacob S. Salminen; Ryan Downey; Jungyun Hwang</x:v>
      </x:c>
      <x:c r="Q507" s="228" t="str">
        <x:v>02_Biometrics_and_Disease/Development_and_Lifespan/Mind_in_Motion_Older_Adults_Walking_EEG</x:v>
      </x:c>
      <x:c r="R507" s="228" t="str">
        <x:v>存在公开仓库、官方入口或稳定数据访问号</x:v>
      </x:c>
      <x:c r="S507" s="228"/>
      <x:c r="T507" s="228"/>
      <x:c r="U507" s="205"/>
    </x:row>
    <x:row r="508" ht="60" customHeight="1">
      <x:c r="A508" s="262" t="str">
        <x:v>EEG-0534</x:v>
      </x:c>
      <x:c r="B508" s="263" t="str">
        <x:v>07_General-purpose_and_Multi-paradigm</x:v>
      </x:c>
      <x:c r="C508" s="263" t="str">
        <x:v>Multi-task_EEG</x:v>
      </x:c>
      <x:c r="D508" s="263" t="str">
        <x:v>CRYPTO and PROVIDE EEG Baseline Data</x:v>
      </x:c>
      <x:c r="E508" s="263"/>
      <x:c r="F508" s="263" t="str">
        <x:v>OpenNeuro:ds002181</x:v>
      </x:c>
      <x:c r="G508" s="263" t="str">
        <x:v>DOWNLOAD_PUBLIC</x:v>
      </x:c>
      <x:c r="H508" s="263" t="str">
        <x:v>[OpenNeuro ds002181](https://openneuro.org/datasets/ds002181/versions/1.0.0)</x:v>
      </x:c>
      <x:c r="I508" s="263" t="str">
        <x:v>baseline EEG from CRYPTO / PROVIDE cohorts</x:v>
      </x:c>
      <x:c r="J508" s="263" t="str">
        <x:v>226</x:v>
      </x:c>
      <x:c r="K508" s="263" t="str">
        <x:v>未给出</x:v>
      </x:c>
      <x:c r="L508" s="263" t="str">
        <x:v>未给出</x:v>
      </x:c>
      <x:c r="M508" s="263" t="str">
        <x:v>BIDS</x:v>
      </x:c>
      <x:c r="N508" s="263" t="str">
        <x:v>raw BIDS</x:v>
      </x:c>
      <x:c r="O508" s="263" t="str">
        <x:v>公开下载：OpenNeuro ds002181 v1.0.0；CC0，可网页、OpenNeuro CLI 或 DataLad 获取。</x:v>
      </x:c>
      <x:c r="P508" s="263" t="str">
        <x:v>Wanze Xie; Sarah Jensen; Mark Wade; Swapna Kumar; Alissa Westerlund</x:v>
      </x:c>
      <x:c r="Q508" s="263" t="str">
        <x:v>07_General-purpose_and_Multi-paradigm/Multi-task_EEG/CRYPTO_and_PROVIDE_EEG_Baseline_Data</x:v>
      </x:c>
      <x:c r="R508" s="263" t="str">
        <x:v>存在公开仓库、官方入口或稳定数据访问号</x:v>
      </x:c>
      <x:c r="S508" s="263"/>
      <x:c r="T508" s="263"/>
      <x:c r="U508" s="264"/>
    </x:row>
    <x:row r="509" ht="60" customHeight="1">
      <x:c r="A509" s="239" t="str">
        <x:v>EEG-0535</x:v>
      </x:c>
      <x:c r="B509" s="228" t="str">
        <x:v>07_General-purpose_and_Multi-paradigm</x:v>
      </x:c>
      <x:c r="C509" s="228" t="str">
        <x:v>Multi-task_EEG</x:v>
      </x:c>
      <x:c r="D509" s="228" t="str">
        <x:v>Edzna VR Visual</x:v>
      </x:c>
      <x:c r="E509" s="228"/>
      <x:c r="F509" s="228" t="str">
        <x:v>OpenNeuro:ds005628</x:v>
      </x:c>
      <x:c r="G509" s="228" t="str">
        <x:v>DOWNLOAD_PUBLIC</x:v>
      </x:c>
      <x:c r="H509" s="228" t="str">
        <x:v>[OpenNeuro ds005628](https://openneuro.org/datasets/ds005628/versions/1.0.0)</x:v>
      </x:c>
      <x:c r="I509" s="228" t="str">
        <x:v>visual and audiovisual stimuli in VR from Edzna archaeological site</x:v>
      </x:c>
      <x:c r="J509" s="228" t="str">
        <x:v>102</x:v>
      </x:c>
      <x:c r="K509" s="228" t="str">
        <x:v>未给出</x:v>
      </x:c>
      <x:c r="L509" s="228" t="str">
        <x:v>未给出</x:v>
      </x:c>
      <x:c r="M509" s="228" t="str">
        <x:v>BIDS</x:v>
      </x:c>
      <x:c r="N509" s="228" t="str">
        <x:v>raw BIDS</x:v>
      </x:c>
      <x:c r="O509" s="228" t="str">
        <x:v>公开下载：OpenNeuro ds005628 v1.0.0；CC0，可网页、OpenNeuro CLI 或 DataLad 获取。</x:v>
      </x:c>
      <x:c r="P509" s="228" t="str">
        <x:v>Juan Pablo Rosado-Aíza; Fernando José Domínguez-Morales; Tania Yareni Pech-Canul; Paola Guadalupe Vázquez-Rodríguez; Gustavo Navas-Reascos</x:v>
      </x:c>
      <x:c r="Q509" s="228" t="str">
        <x:v>07_General-purpose_and_Multi-paradigm/Multi-task_EEG/Edzna_VR_Visual</x:v>
      </x:c>
      <x:c r="R509" s="228" t="str">
        <x:v>存在公开仓库、官方入口或稳定数据访问号</x:v>
      </x:c>
      <x:c r="S509" s="228"/>
      <x:c r="T509" s="228"/>
      <x:c r="U509" s="205"/>
    </x:row>
    <x:row r="510" ht="60" customHeight="1">
      <x:c r="A510" s="262" t="str">
        <x:v>EEG-0548</x:v>
      </x:c>
      <x:c r="B510" s="263" t="str">
        <x:v>07_General-purpose_and_Multi-paradigm</x:v>
      </x:c>
      <x:c r="C510" s="263" t="str">
        <x:v>Multi-task_EEG</x:v>
      </x:c>
      <x:c r="D510" s="263" t="str">
        <x:v>IllusionGameEEG</x:v>
      </x:c>
      <x:c r="E510" s="263"/>
      <x:c r="F510" s="263" t="str">
        <x:v>OpenNeuro:ds004587</x:v>
      </x:c>
      <x:c r="G510" s="263" t="str">
        <x:v>DOWNLOAD_PUBLIC</x:v>
      </x:c>
      <x:c r="H510" s="263" t="str">
        <x:v>[OpenNeuro ds004587](https://openneuro.org/datasets/ds004587/versions/1.0.0)</x:v>
      </x:c>
      <x:c r="I510" s="263" t="str">
        <x:v>illusion game EEG；reality perception</x:v>
      </x:c>
      <x:c r="J510" s="263" t="str">
        <x:v>103</x:v>
      </x:c>
      <x:c r="K510" s="263" t="str">
        <x:v>未给出</x:v>
      </x:c>
      <x:c r="L510" s="263" t="str">
        <x:v>未给出</x:v>
      </x:c>
      <x:c r="M510" s="263" t="str">
        <x:v>BIDS</x:v>
      </x:c>
      <x:c r="N510" s="263" t="str">
        <x:v>raw BIDS</x:v>
      </x:c>
      <x:c r="O510" s="263" t="str">
        <x:v>公开下载：OpenNeuro ds004587 v1.0.0；CC0，可网页、OpenNeuro CLI 或 DataLad 获取。</x:v>
      </x:c>
      <x:c r="P510" s="263" t="str">
        <x:v>Dominique Makowski; An-Shu Te; Jiayi Zhang; Stephanie Kirk; Zi Liang Ngoi</x:v>
      </x:c>
      <x:c r="Q510" s="263" t="str">
        <x:v>07_General-purpose_and_Multi-paradigm/Multi-task_EEG/IllusionGameEEG</x:v>
      </x:c>
      <x:c r="R510" s="263" t="str">
        <x:v>存在公开仓库、官方入口或稳定数据访问号</x:v>
      </x:c>
      <x:c r="S510" s="263"/>
      <x:c r="T510" s="263"/>
      <x:c r="U510" s="264"/>
    </x:row>
    <x:row r="511" ht="60" customHeight="1">
      <x:c r="A511" s="239" t="str">
        <x:v>EEG-0551</x:v>
      </x:c>
      <x:c r="B511" s="228" t="str">
        <x:v>07_General-purpose_and_Multi-paradigm</x:v>
      </x:c>
      <x:c r="C511" s="228" t="str">
        <x:v>Multi-task_EEG</x:v>
      </x:c>
      <x:c r="D511" s="228" t="str">
        <x:v>NeuroTechs STEM Skills EEG</x:v>
      </x:c>
      <x:c r="E511" s="228"/>
      <x:c r="F511" s="228" t="str">
        <x:v>OpenNeuro:ds006803</x:v>
      </x:c>
      <x:c r="G511" s="228" t="str">
        <x:v>DOWNLOAD_PUBLIC</x:v>
      </x:c>
      <x:c r="H511" s="228" t="str">
        <x:v>[OpenNeuro ds006803](https://openneuro.org/datasets/ds006803/versions/1.1.1)</x:v>
      </x:c>
      <x:c r="I511" s="228" t="str">
        <x:v>STEM skills task EEG；neuroeducation / neuroengineering</x:v>
      </x:c>
      <x:c r="J511" s="228" t="str">
        <x:v>63</x:v>
      </x:c>
      <x:c r="K511" s="228" t="str">
        <x:v>未给出</x:v>
      </x:c>
      <x:c r="L511" s="228" t="str">
        <x:v>未给出</x:v>
      </x:c>
      <x:c r="M511" s="228" t="str">
        <x:v>BIDS</x:v>
      </x:c>
      <x:c r="N511" s="228" t="str">
        <x:v>raw BIDS</x:v>
      </x:c>
      <x:c r="O511" s="228" t="str">
        <x:v>公开下载：OpenNeuro ds006803 v1.1.1；CC0，可网页、OpenNeuro CLI 或 DataLad 获取。</x:v>
      </x:c>
      <x:c r="P511" s="228" t="str">
        <x:v>Tania Yareni Pech-Canul; Roberto Guajardo; Luis Fernando Acosta-Soto; Mónica Sofía Margoya-Constantino; Juan Pablo Rosado-Aíza</x:v>
      </x:c>
      <x:c r="Q511" s="228" t="str">
        <x:v>07_General-purpose_and_Multi-paradigm/Multi-task_EEG/NeuroTechs_STEM_Skills_EEG</x:v>
      </x:c>
      <x:c r="R511" s="228" t="str">
        <x:v>存在公开仓库、官方入口或稳定数据访问号</x:v>
      </x:c>
      <x:c r="S511" s="228"/>
      <x:c r="T511" s="228"/>
      <x:c r="U511" s="205"/>
    </x:row>
    <x:row r="512" ht="60" customHeight="1">
      <x:c r="A512" s="262" t="str">
        <x:v>EEG-0563</x:v>
      </x:c>
      <x:c r="B512" s="263" t="str">
        <x:v>07_General-purpose_and_Multi-paradigm</x:v>
      </x:c>
      <x:c r="C512" s="263" t="str">
        <x:v>Multi-task_EEG</x:v>
      </x:c>
      <x:c r="D512" s="263" t="str">
        <x:v>Simultaneous EEG-fMRI Speeded Discrimination Dataset</x:v>
      </x:c>
      <x:c r="E512" s="263"/>
      <x:c r="F512" s="263" t="str">
        <x:v>OpenNeuro:ds002158</x:v>
      </x:c>
      <x:c r="G512" s="263" t="str">
        <x:v>DOWNLOAD_PUBLIC</x:v>
      </x:c>
      <x:c r="H512" s="263" t="str">
        <x:v>[OpenNeuro ds002158](https://openneuro.org/datasets/ds002158/versions/1.0.2)</x:v>
      </x:c>
      <x:c r="I512" s="263" t="str">
        <x:v>speeded discrimination；confidence；simultaneous EEG-fMRI</x:v>
      </x:c>
      <x:c r="J512" s="263" t="str">
        <x:v>20</x:v>
      </x:c>
      <x:c r="K512" s="263" t="str">
        <x:v>未给出</x:v>
      </x:c>
      <x:c r="L512" s="263" t="str">
        <x:v>未给出</x:v>
      </x:c>
      <x:c r="M512" s="263" t="str">
        <x:v>BIDS</x:v>
      </x:c>
      <x:c r="N512" s="263" t="str">
        <x:v>raw BIDS</x:v>
      </x:c>
      <x:c r="O512" s="263" t="str">
        <x:v>公开下载：OpenNeuro ds002158 v1.0.2；CC0，可网页、OpenNeuro CLI 或 DataLad 获取。</x:v>
      </x:c>
      <x:c r="P512" s="263" t="str">
        <x:v>Michael Pereira; Nathan Faivre; Inaki Iturrate; Marco Wirthlin; Luana Serafini; Stephanie Martin; Arnaud Desvachez; Olaf Blanke</x:v>
      </x:c>
      <x:c r="Q512" s="263" t="str">
        <x:v>07_General-purpose_and_Multi-paradigm/Multi-task_EEG/Simultaneous_EEG-fMRI_Speeded_Discrimination_Dataset</x:v>
      </x:c>
      <x:c r="R512" s="263" t="str">
        <x:v>存在公开仓库、官方入口或稳定数据访问号</x:v>
      </x:c>
      <x:c r="S512" s="263" t="str">
        <x:v>1.28</x:v>
      </x:c>
      <x:c r="T512" s="263" t="str">
        <x:v>not reported</x:v>
      </x:c>
      <x:c r="U512" s="264" t="str">
        <x:v>6 experimental runs/subject</x:v>
      </x:c>
    </x:row>
    <x:row r="513" ht="60" customHeight="1">
      <x:c r="A513" s="239" t="str">
        <x:v>EEG-0030</x:v>
      </x:c>
      <x:c r="B513" s="228" t="str">
        <x:v>02_Healthcare_and_Disease</x:v>
      </x:c>
      <x:c r="C513" s="228" t="str">
        <x:v>Epilepsy_and_Abnormalities</x:v>
      </x:c>
      <x:c r="D513" s="228" t="str">
        <x:v>OpenNeuro ds003029 Epilepsy iEEG Multicenter</x:v>
      </x:c>
      <x:c r="E513" s="228"/>
      <x:c r="F513" s="228" t="str">
        <x:v>OpenNeuro:ds003029</x:v>
      </x:c>
      <x:c r="G513" s="228" t="str">
        <x:v>DOWNLOAD_PUBLIC</x:v>
      </x:c>
      <x:c r="H513" s="228" t="str">
        <x:v>[OpenNeuro ds003029](https://openneuro.org/datasets/ds003029)</x:v>
      </x:c>
      <x:c r="I513" s="228" t="str">
        <x:v>epileptiform activity / seizure-related iEEG analysis</x:v>
      </x:c>
      <x:c r="J513" s="228" t="str">
        <x:v>100</x:v>
      </x:c>
      <x:c r="K513" s="228" t="str">
        <x:v>未给出</x:v>
      </x:c>
      <x:c r="L513" s="228" t="str">
        <x:v>未给出</x:v>
      </x:c>
      <x:c r="M513" s="228" t="str">
        <x:v>BIDS</x:v>
      </x:c>
      <x:c r="N513" s="228" t="str">
        <x:v>raw BIDS</x:v>
      </x:c>
      <x:c r="O513" s="228" t="str">
        <x:v>public OpenNeuro; BIDS license terms</x:v>
      </x:c>
      <x:c r="P513" s="228" t="str">
        <x:v>未给出</x:v>
      </x:c>
      <x:c r="Q513" s="228" t="str">
        <x:v>02_Biometrics_and_Disease/Epilepsy_and_Abnormalities/OpenNeuro_ds003029_Epilepsy_iEEG_Multicenter</x:v>
      </x:c>
      <x:c r="R513" s="228" t="str">
        <x:v>存在公开仓库、官方入口或稳定数据访问号</x:v>
      </x:c>
      <x:c r="S513" s="228"/>
      <x:c r="T513" s="228"/>
      <x:c r="U513" s="205"/>
    </x:row>
    <x:row r="514" ht="60" customHeight="1">
      <x:c r="A514" s="262" t="str">
        <x:v>EEG-0100</x:v>
      </x:c>
      <x:c r="B514" s="263" t="str">
        <x:v>02_Healthcare_and_Disease</x:v>
      </x:c>
      <x:c r="C514" s="263" t="str">
        <x:v>Neurological_Disorders</x:v>
      </x:c>
      <x:c r="D514" s="263" t="str">
        <x:v>UNMDataset</x:v>
      </x:c>
      <x:c r="E514" s="263"/>
      <x:c r="F514" s="263"/>
      <x:c r="G514" s="263" t="str">
        <x:v>DOWNLOAD_PUBLIC</x:v>
      </x:c>
      <x:c r="H514" s="263" t="str">
        <x:v>[Narayanan Lab datasets](https://narayanan.lab.uiowa.edu/datasets)</x:v>
      </x:c>
      <x:c r="I514" s="263" t="str">
        <x:v>Parkinson's disease EEG; resting/cognitive task subset reported for BrainWave pretraining</x:v>
      </x:c>
      <x:c r="J514" s="263" t="str">
        <x:v>28</x:v>
      </x:c>
      <x:c r="K514" s="263" t="str">
        <x:v>10</x:v>
      </x:c>
      <x:c r="L514" s="263" t="str">
        <x:v>500Hz</x:v>
      </x:c>
      <x:c r="M514" s="263" t="str">
        <x:v>未给出</x:v>
      </x:c>
      <x:c r="N514" s="263" t="str">
        <x:v>未给出</x:v>
      </x:c>
      <x:c r="O514" s="263" t="str">
        <x:v>BrainWave reports this dataset; public download/version not clearly identified; contact original/BrainWave authors.</x:v>
      </x:c>
      <x:c r="P514" s="263" t="str">
        <x:v>BrainWave Table 2 (2024); IowaDataset</x:v>
      </x:c>
      <x:c r="Q514" s="263" t="str">
        <x:v>02_Biometrics_and_Disease/Neurological_Disorders/UNMDataset</x:v>
      </x:c>
      <x:c r="R514" s="263" t="str">
        <x:v>存在公开仓库、官方入口或稳定数据访问号</x:v>
      </x:c>
      <x:c r="S514" s="263"/>
      <x:c r="T514" s="263"/>
      <x:c r="U514" s="264"/>
    </x:row>
    <x:row r="515" ht="60" customHeight="1">
      <x:c r="A515" s="239" t="str">
        <x:v>EEG-0167</x:v>
      </x:c>
      <x:c r="B515" s="228" t="str">
        <x:v>04_Cognition_and_Emotion</x:v>
      </x:c>
      <x:c r="C515" s="228" t="str">
        <x:v>Vigilance_Detection</x:v>
      </x:c>
      <x:c r="D515" s="228" t="str">
        <x:v>SPIS</x:v>
      </x:c>
      <x:c r="E515" s="228" t="str">
        <x:v>SPIS Resting State Dataset [EEG-0250]</x:v>
      </x:c>
      <x:c r="F515" s="228"/>
      <x:c r="G515" s="228" t="str">
        <x:v>DOWNLOAD_PUBLIC</x:v>
      </x:c>
      <x:c r="H515" s="228" t="str">
        <x:v>[SPIS Resting-State Dataset GitHub](https://github.com/mastaneht/SPIS-Resting-State-Dataset) | https://github.com/mastaneht/SPIS-Resting-State-Dataset</x:v>
      </x:c>
      <x:c r="I515" s="228" t="str">
        <x:v>resting-state EO / EC；attention / vigilance variability related to later SART performance；Resting state (eyes-closed / eyes-open) prior to Sustained Attention to Response Task</x:v>
      </x:c>
      <x:c r="J515" s="228" t="str">
        <x:v>10</x:v>
      </x:c>
      <x:c r="K515" s="228" t="str">
        <x:v>10-10</x:v>
      </x:c>
      <x:c r="L515" s="228" t="str">
        <x:v>2048Hz</x:v>
      </x:c>
      <x:c r="M515" s="228" t="str">
        <x:v>未给出</x:v>
      </x:c>
      <x:c r="N515" s="228" t="str">
        <x:v>未给出</x:v>
      </x:c>
      <x:c r="O515" s="228" t="str">
        <x:v>公开下载：SPIS Resting-State Dataset GitHub (https://github.com/mastaneht/SPIS-Resting-State-Dataset)；仓库提供 EO/EC resting EEG 数据和说明。</x:v>
      </x:c>
      <x:c r="P515" s="228" t="str">
        <x:v>未给出；Torkamani-Azar et al. (2020). Prediction of Reaction Time and Vigilance Variability From Spatio-Spectral Features of Resting-State EEG in a Long Sustained Attention Task. IEEE Journal of Biomedical and Health Informatics, 24(9):2550-2558.</x:v>
      </x:c>
      <x:c r="Q515" s="228" t="str">
        <x:v>04_Cognition_and_Emotion/Vigilance_Detection/SPIS</x:v>
      </x:c>
      <x:c r="R515" s="228" t="str">
        <x:v>存在公开仓库、官方入口或稳定数据访问号；2026-08-04去重：EEG-0250并入EEG-0167（GitHub repository mastaneht/SPIS-Resting-State-Dataset）</x:v>
      </x:c>
      <x:c r="S515" s="228"/>
      <x:c r="T515" s="228"/>
      <x:c r="U515" s="205"/>
    </x:row>
    <x:row r="516" ht="60" customHeight="1">
      <x:c r="A516" s="262" t="str">
        <x:v>EEG-0174</x:v>
      </x:c>
      <x:c r="B516" s="263" t="str">
        <x:v>04_Cognition_and_Emotion</x:v>
      </x:c>
      <x:c r="C516" s="263" t="str">
        <x:v>Emotion_Recognition</x:v>
      </x:c>
      <x:c r="D516" s="263" t="str">
        <x:v>DENS</x:v>
      </x:c>
      <x:c r="E516" s="263"/>
      <x:c r="F516" s="263" t="str">
        <x:v>OpenNeuro:ds003751</x:v>
      </x:c>
      <x:c r="G516" s="263" t="str">
        <x:v>DOWNLOAD_PUBLIC</x:v>
      </x:c>
      <x:c r="H516" s="263" t="str">
        <x:v>[OpenNeuro ds003751](https://openneuro.org/datasets/ds003751)</x:v>
      </x:c>
      <x:c r="I516" s="263" t="str">
        <x:v>emotion recognition from naturalistic emotional stimuli</x:v>
      </x:c>
      <x:c r="J516" s="263" t="str">
        <x:v>40</x:v>
      </x:c>
      <x:c r="K516" s="263" t="str">
        <x:v>未给出</x:v>
      </x:c>
      <x:c r="L516" s="263" t="str">
        <x:v>未给出</x:v>
      </x:c>
      <x:c r="M516" s="263" t="str">
        <x:v>BIDS</x:v>
      </x:c>
      <x:c r="N516" s="263" t="str">
        <x:v>raw</x:v>
      </x:c>
      <x:c r="O516" s="263" t="str">
        <x:v>public OpenNeuro</x:v>
      </x:c>
      <x:c r="P516" s="263" t="str">
        <x:v>未给出</x:v>
      </x:c>
      <x:c r="Q516" s="263" t="str">
        <x:v>04_Cognition_and_Emotion/Emotion_Recognition/DENS</x:v>
      </x:c>
      <x:c r="R516" s="263" t="str">
        <x:v>存在公开仓库、官方入口或稳定数据访问号</x:v>
      </x:c>
      <x:c r="S516" s="263"/>
      <x:c r="T516" s="263"/>
      <x:c r="U516" s="264"/>
    </x:row>
    <x:row r="517" ht="60" customHeight="1">
      <x:c r="A517" s="239" t="str">
        <x:v>EEG-0223</x:v>
      </x:c>
      <x:c r="B517" s="228" t="str">
        <x:v>04_Cognition_and_Emotion</x:v>
      </x:c>
      <x:c r="C517" s="228" t="str">
        <x:v>Cognitive_Task_Recognition</x:v>
      </x:c>
      <x:c r="D517" s="228" t="str">
        <x:v>EEG from participants playing an 8-bit style video game (DS003517)</x:v>
      </x:c>
      <x:c r="E517" s="228"/>
      <x:c r="F517" s="228" t="str">
        <x:v>OpenNeuro:DS003517,ds003517</x:v>
      </x:c>
      <x:c r="G517" s="228" t="str">
        <x:v>DOWNLOAD_PUBLIC</x:v>
      </x:c>
      <x:c r="H517" s="228" t="str">
        <x:v>https://openneuro.org/datasets/ds003517</x:v>
      </x:c>
      <x:c r="I517" s="228" t="str">
        <x:v>Cognitive / Gaming</x:v>
      </x:c>
      <x:c r="J517" s="228" t="str">
        <x:v>17</x:v>
      </x:c>
      <x:c r="K517" s="228"/>
      <x:c r="L517" s="228"/>
      <x:c r="M517" s="228" t="str">
        <x:v>BIDS</x:v>
      </x:c>
      <x:c r="N517" s="228" t="str">
        <x:v>Raw</x:v>
      </x:c>
      <x:c r="O517" s="228" t="str">
        <x:v>OpenNeuro page; dynamic site; license not individually verified</x:v>
      </x:c>
      <x:c r="P517" s="228"/>
      <x:c r="Q517" s="228" t="str">
        <x:v>04_Cognition_and_Emotion/Cognitive_Task_Recognition/EEG_from_participants_playing_an_8-bit_style_video_game_DS003517</x:v>
      </x:c>
      <x:c r="R517" s="228" t="str">
        <x:v>存在公开仓库、官方入口或稳定数据访问号</x:v>
      </x:c>
      <x:c r="S517" s="228"/>
      <x:c r="T517" s="228"/>
      <x:c r="U517" s="205"/>
    </x:row>
    <x:row r="518" ht="60" customHeight="1">
      <x:c r="A518" s="262" t="str">
        <x:v>EEG-0300</x:v>
      </x:c>
      <x:c r="B518" s="263" t="str">
        <x:v>05_Naturalistic_Stimulus_Decoding</x:v>
      </x:c>
      <x:c r="C518" s="263" t="str">
        <x:v>Language_and_Reading</x:v>
      </x:c>
      <x:c r="D518" s="263" t="str">
        <x:v>EEG Semantic Imagination and Perception Dataset</x:v>
      </x:c>
      <x:c r="E518" s="263"/>
      <x:c r="F518" s="263" t="str">
        <x:v>OpenNeuro:ds004306</x:v>
      </x:c>
      <x:c r="G518" s="263" t="str">
        <x:v>DOWNLOAD_PUBLIC</x:v>
      </x:c>
      <x:c r="H518" s="263" t="str">
        <x:v>[OpenNeuro ds004306](https://openneuro.org/datasets/ds004306)</x:v>
      </x:c>
      <x:c r="I518" s="263" t="str">
        <x:v>semantic perception and imagination decoding</x:v>
      </x:c>
      <x:c r="J518" s="263" t="str">
        <x:v>未给出</x:v>
      </x:c>
      <x:c r="K518" s="263" t="str">
        <x:v>124</x:v>
      </x:c>
      <x:c r="L518" s="263" t="str">
        <x:v>未给出</x:v>
      </x:c>
      <x:c r="M518" s="263" t="str">
        <x:v>BIDS</x:v>
      </x:c>
      <x:c r="N518" s="263" t="str">
        <x:v>raw</x:v>
      </x:c>
      <x:c r="O518" s="263" t="str">
        <x:v>public OpenNeuro</x:v>
      </x:c>
      <x:c r="P518" s="263" t="str">
        <x:v>未给出</x:v>
      </x:c>
      <x:c r="Q518" s="263" t="str">
        <x:v>05_Naturalistic_Stimulus_Decoding/Language_and_Reading/EEG_Semantic_Imagination_and_Perception_Dataset</x:v>
      </x:c>
      <x:c r="R518" s="263" t="str">
        <x:v>存在公开仓库、官方入口或稳定数据访问号</x:v>
      </x:c>
      <x:c r="S518" s="263"/>
      <x:c r="T518" s="263"/>
      <x:c r="U518" s="264"/>
    </x:row>
    <x:row r="519" ht="60" customHeight="1">
      <x:c r="A519" s="239" t="str">
        <x:v>EEG-0321</x:v>
      </x:c>
      <x:c r="B519" s="228" t="str">
        <x:v>05_Naturalistic_Stimulus_Decoding</x:v>
      </x:c>
      <x:c r="C519" s="228" t="str">
        <x:v>Listening_and_Auditory_Attention</x:v>
      </x:c>
      <x:c r="D519" s="228" t="str">
        <x:v>OpenMIIR</x:v>
      </x:c>
      <x:c r="E519" s="228"/>
      <x:c r="F519" s="228"/>
      <x:c r="G519" s="228" t="str">
        <x:v>DOWNLOAD_PUBLIC</x:v>
      </x:c>
      <x:c r="H519" s="228" t="str">
        <x:v>[OpenMIIR GitHub](https://github.com/sstober/openmiir)</x:v>
      </x:c>
      <x:c r="I519" s="228" t="str">
        <x:v>music perception, music imagery, beat / cue decoding</x:v>
      </x:c>
      <x:c r="J519" s="228" t="str">
        <x:v>10</x:v>
      </x:c>
      <x:c r="K519" s="228" t="str">
        <x:v>64</x:v>
      </x:c>
      <x:c r="L519" s="228" t="str">
        <x:v>未给出</x:v>
      </x:c>
      <x:c r="M519" s="228" t="str">
        <x:v>未给出</x:v>
      </x:c>
      <x:c r="N519" s="228" t="str">
        <x:v>raw</x:v>
      </x:c>
      <x:c r="O519" s="228" t="str">
        <x:v>public；按仓库和论文说明下载</x:v>
      </x:c>
      <x:c r="P519" s="228" t="str">
        <x:v>Stober et al., 2015</x:v>
      </x:c>
      <x:c r="Q519" s="228" t="str">
        <x:v>05_Naturalistic_Stimulus_Decoding/Listening_and_Auditory_Attention/OpenMIIR</x:v>
      </x:c>
      <x:c r="R519" s="228" t="str">
        <x:v>存在公开仓库、官方入口或稳定数据访问号</x:v>
      </x:c>
      <x:c r="S519" s="228"/>
      <x:c r="T519" s="228"/>
      <x:c r="U519" s="205"/>
    </x:row>
    <x:row r="520" ht="60" customHeight="1">
      <x:c r="A520" s="262" t="str">
        <x:v>EEG-0336</x:v>
      </x:c>
      <x:c r="B520" s="263" t="str">
        <x:v>05_Naturalistic_Stimulus_Decoding</x:v>
      </x:c>
      <x:c r="C520" s="263" t="str">
        <x:v>Visual_Perception</x:v>
      </x:c>
      <x:c r="D520" s="263" t="str">
        <x:v>PhysioNet LTRSVP</x:v>
      </x:c>
      <x:c r="E520" s="263"/>
      <x:c r="F520" s="263" t="str">
        <x:v>PhysioNet:ltrsvp</x:v>
      </x:c>
      <x:c r="G520" s="263" t="str">
        <x:v>DOWNLOAD_PUBLIC</x:v>
      </x:c>
      <x:c r="H520" s="263" t="str">
        <x:v>[PhysioNet LTRSVP](https://physionet.org/content/ltrsvp/)</x:v>
      </x:c>
      <x:c r="I520" s="263" t="str">
        <x:v>rapid serial visual presentation target detection</x:v>
      </x:c>
      <x:c r="J520" s="263" t="str">
        <x:v>11</x:v>
      </x:c>
      <x:c r="K520" s="263" t="str">
        <x:v>未给出</x:v>
      </x:c>
      <x:c r="L520" s="263" t="str">
        <x:v>未给出</x:v>
      </x:c>
      <x:c r="M520" s="263" t="str">
        <x:v>PhysioNet files</x:v>
      </x:c>
      <x:c r="N520" s="263" t="str">
        <x:v>raw</x:v>
      </x:c>
      <x:c r="O520" s="263" t="str">
        <x:v>public PhysioNet</x:v>
      </x:c>
      <x:c r="P520" s="263" t="str">
        <x:v>未给出</x:v>
      </x:c>
      <x:c r="Q520" s="263" t="str">
        <x:v>05_Naturalistic_Stimulus_Decoding/Visual_Perception/PhysioNet_LTRSVP</x:v>
      </x:c>
      <x:c r="R520" s="263" t="str">
        <x:v>存在公开仓库、官方入口或稳定数据访问号</x:v>
      </x:c>
      <x:c r="S520" s="263"/>
      <x:c r="T520" s="263"/>
      <x:c r="U520" s="264"/>
    </x:row>
    <x:row r="521" ht="60" customHeight="1">
      <x:c r="A521" s="239" t="str">
        <x:v>EEG-0395</x:v>
      </x:c>
      <x:c r="B521" s="228" t="str">
        <x:v>06_Motor_and_Interaction</x:v>
      </x:c>
      <x:c r="C521" s="228" t="str">
        <x:v>Motor_Imagery_and_Execution</x:v>
      </x:c>
      <x:c r="D521" s="228" t="str">
        <x:v>LargeMI</x:v>
      </x:c>
      <x:c r="E521" s="228"/>
      <x:c r="F521" s="228"/>
      <x:c r="G521" s="228" t="str">
        <x:v>DOWNLOAD_PUBLIC</x:v>
      </x:c>
      <x:c r="H521" s="228" t="str">
        <x:v>[Nature Scientific Data Large MI](https://www.nature.com/articles/s41597-023-02787-8)</x:v>
      </x:c>
      <x:c r="I521" s="228" t="str">
        <x:v>large-scale motor imagery / motor execution benchmark; HEAR downstream source</x:v>
      </x:c>
      <x:c r="J521" s="228" t="str">
        <x:v>50</x:v>
      </x:c>
      <x:c r="K521" s="228" t="str">
        <x:v>23</x:v>
      </x:c>
      <x:c r="L521" s="228" t="str">
        <x:v>未给出</x:v>
      </x:c>
      <x:c r="M521" s="228" t="str">
        <x:v>未给出</x:v>
      </x:c>
      <x:c r="N521" s="228" t="str">
        <x:v>raw / release-dependent</x:v>
      </x:c>
      <x:c r="O521" s="228" t="str">
        <x:v>Reported by HEAR; exact identity/access route needs confirmation.</x:v>
      </x:c>
      <x:c r="P521" s="228" t="str">
        <x:v>HEAR; Liu et al. (2026), EEG Foundation Models Tables VIII-XIV</x:v>
      </x:c>
      <x:c r="Q521" s="228" t="str">
        <x:v>06_Motor_and_Interaction/Motor_Imagery_and_Execution/LargeMI</x:v>
      </x:c>
      <x:c r="R521" s="228" t="str">
        <x:v>存在公开仓库、官方入口或稳定数据访问号</x:v>
      </x:c>
      <x:c r="S521" s="228"/>
      <x:c r="T521" s="228"/>
      <x:c r="U521" s="205"/>
    </x:row>
    <x:row r="522" ht="60" customHeight="1">
      <x:c r="A522" s="262" t="str">
        <x:v>EEG-0402</x:v>
      </x:c>
      <x:c r="B522" s="263" t="str">
        <x:v>06_Motor_and_Interaction</x:v>
      </x:c>
      <x:c r="C522" s="263" t="str">
        <x:v>Motor_Imagery_and_Execution</x:v>
      </x:c>
      <x:c r="D522" s="263" t="str">
        <x:v>MILimbEEG</x:v>
      </x:c>
      <x:c r="E522" s="263"/>
      <x:c r="F522" s="263"/>
      <x:c r="G522" s="263" t="str">
        <x:v>DOWNLOAD_PUBLIC</x:v>
      </x:c>
      <x:c r="H522" s="263" t="str">
        <x:v>[Mendeley MILimbEEG](https://data.mendeley.com/datasets/x8psbz3f6x)</x:v>
      </x:c>
      <x:c r="I522" s="263" t="str">
        <x:v>upper-limb and lower-limb motor execution / motor imagery classification</x:v>
      </x:c>
      <x:c r="J522" s="263" t="str">
        <x:v>60</x:v>
      </x:c>
      <x:c r="K522" s="263" t="str">
        <x:v>16</x:v>
      </x:c>
      <x:c r="L522" s="263" t="str">
        <x:v>未给出</x:v>
      </x:c>
      <x:c r="M522" s="263" t="str">
        <x:v>CSV</x:v>
      </x:c>
      <x:c r="N522" s="263" t="str">
        <x:v>raw</x:v>
      </x:c>
      <x:c r="O522" s="263" t="str">
        <x:v>未给出</x:v>
      </x:c>
      <x:c r="P522" s="263" t="str">
        <x:v>未给出</x:v>
      </x:c>
      <x:c r="Q522" s="263" t="str">
        <x:v>06_Motor_and_Interaction/Motor_Imagery_and_Execution/MILimbEEG</x:v>
      </x:c>
      <x:c r="R522" s="263" t="str">
        <x:v>存在公开仓库、官方入口或稳定数据访问号</x:v>
      </x:c>
      <x:c r="S522" s="263"/>
      <x:c r="T522" s="263"/>
      <x:c r="U522" s="264"/>
    </x:row>
    <x:row r="523" ht="60" customHeight="1">
      <x:c r="A523" s="239" t="str">
        <x:v>EEG-0419</x:v>
      </x:c>
      <x:c r="B523" s="228" t="str">
        <x:v>06_Motor_and_Interaction</x:v>
      </x:c>
      <x:c r="C523" s="228" t="str">
        <x:v>SSVEP_and_Evoked_BCI</x:v>
      </x:c>
      <x:c r="D523" s="228" t="str">
        <x:v>160 Targets SSVEP BCI Dataset</x:v>
      </x:c>
      <x:c r="E523" s="228"/>
      <x:c r="F523" s="228"/>
      <x:c r="G523" s="228" t="str">
        <x:v>DOWNLOAD_PUBLIC</x:v>
      </x:c>
      <x:c r="H523" s="228" t="str">
        <x:v>https://bci.med.tsinghua.edu.cn/download.html</x:v>
      </x:c>
      <x:c r="I523" s="228" t="str">
        <x:v>High-target-count SSVEP BCI</x:v>
      </x:c>
      <x:c r="J523" s="228" t="str">
        <x:v>Offline S1-S8; online SS1-SS12 in file list</x:v>
      </x:c>
      <x:c r="K523" s="228"/>
      <x:c r="L523" s="228"/>
      <x:c r="M523" s="228" t="str">
        <x:v>RAR/MAT</x:v>
      </x:c>
      <x:c r="N523" s="228" t="str">
        <x:v>Raw EEG</x:v>
      </x:c>
      <x:c r="O523" s="228" t="str">
        <x:v>Public download page</x:v>
      </x:c>
      <x:c r="P523" s="228" t="str">
        <x:v>Chen et al. 2021</x:v>
      </x:c>
      <x:c r="Q523" s="228" t="str">
        <x:v>06_Motor_and_Interaction/SSVEP_and_Evoked_BCI/160_Targets_SSVEP_BCI_Dataset</x:v>
      </x:c>
      <x:c r="R523" s="228" t="str">
        <x:v>存在公开仓库、官方入口或稳定数据访问号</x:v>
      </x:c>
      <x:c r="S523" s="228"/>
      <x:c r="T523" s="228"/>
      <x:c r="U523" s="205"/>
    </x:row>
    <x:row r="524" ht="60" customHeight="1">
      <x:c r="A524" s="262" t="str">
        <x:v>EEG-0452</x:v>
      </x:c>
      <x:c r="B524" s="263" t="str">
        <x:v>06_Motor_and_Interaction</x:v>
      </x:c>
      <x:c r="C524" s="263" t="str">
        <x:v>SSVEP_and_Evoked_BCI</x:v>
      </x:c>
      <x:c r="D524" s="263" t="str">
        <x:v>Wearable SSVEP BCI Dataset</x:v>
      </x:c>
      <x:c r="E524" s="263"/>
      <x:c r="F524" s="263"/>
      <x:c r="G524" s="263" t="str">
        <x:v>DOWNLOAD_PUBLIC</x:v>
      </x:c>
      <x:c r="H524" s="263" t="str">
        <x:v>https://bci.med.tsinghua.edu.cn/download.html</x:v>
      </x:c>
      <x:c r="I524" s="263" t="str">
        <x:v>Wearable SSVEP BCI</x:v>
      </x:c>
      <x:c r="J524" s="263" t="str">
        <x:v>102</x:v>
      </x:c>
      <x:c r="K524" s="263"/>
      <x:c r="L524" s="263"/>
      <x:c r="M524" s="263" t="str">
        <x:v>ZIP/MAT</x:v>
      </x:c>
      <x:c r="N524" s="263" t="str">
        <x:v>Raw EEG</x:v>
      </x:c>
      <x:c r="O524" s="263" t="str">
        <x:v>Public download page</x:v>
      </x:c>
      <x:c r="P524" s="263" t="str">
        <x:v>Zhu et al. 2021</x:v>
      </x:c>
      <x:c r="Q524" s="263" t="str">
        <x:v>06_Motor_and_Interaction/SSVEP_and_Evoked_BCI/Wearable_SSVEP_BCI_Dataset</x:v>
      </x:c>
      <x:c r="R524" s="263" t="str">
        <x:v>存在公开仓库、官方入口或稳定数据访问号</x:v>
      </x:c>
      <x:c r="S524" s="263"/>
      <x:c r="T524" s="263"/>
      <x:c r="U524" s="264"/>
    </x:row>
    <x:row r="525" ht="60" customHeight="1">
      <x:c r="A525" s="239" t="str">
        <x:v>EEG-0479</x:v>
      </x:c>
      <x:c r="B525" s="228" t="str">
        <x:v>06_Motor_and_Interaction</x:v>
      </x:c>
      <x:c r="C525" s="228" t="str">
        <x:v>Interaction_and_Control</x:v>
      </x:c>
      <x:c r="D525" s="228" t="str">
        <x:v>Cross-Session Dataset for Collaborative BCIs</x:v>
      </x:c>
      <x:c r="E525" s="228"/>
      <x:c r="F525" s="228"/>
      <x:c r="G525" s="228" t="str">
        <x:v>DOWNLOAD_PUBLIC</x:v>
      </x:c>
      <x:c r="H525" s="228" t="str">
        <x:v>https://bci.med.tsinghua.edu.cn/download.html</x:v>
      </x:c>
      <x:c r="I525" s="228" t="str">
        <x:v>Collaborative BCI / cross-session EEG</x:v>
      </x:c>
      <x:c r="J525" s="228"/>
      <x:c r="K525" s="228" t="str">
        <x:v>62 EEG</x:v>
      </x:c>
      <x:c r="L525" s="228"/>
      <x:c r="M525" s="228" t="str">
        <x:v>ZIP/MAT</x:v>
      </x:c>
      <x:c r="N525" s="228" t="str">
        <x:v>Raw EEG</x:v>
      </x:c>
      <x:c r="O525" s="228" t="str">
        <x:v>Public download page</x:v>
      </x:c>
      <x:c r="P525" s="228" t="str">
        <x:v>Zheng et al. 2020</x:v>
      </x:c>
      <x:c r="Q525" s="228" t="str">
        <x:v>06_Motor_and_Interaction/Interaction_and_Control/Cross-Session_Dataset_for_Collaborative_BCIs</x:v>
      </x:c>
      <x:c r="R525" s="228" t="str">
        <x:v>存在公开仓库、官方入口或稳定数据访问号</x:v>
      </x:c>
      <x:c r="S525" s="228"/>
      <x:c r="T525" s="228"/>
      <x:c r="U525" s="205"/>
    </x:row>
    <x:row r="526" ht="60" customHeight="1">
      <x:c r="A526" s="262" t="str">
        <x:v>EEG-0015</x:v>
      </x:c>
      <x:c r="B526" s="263" t="str">
        <x:v>02_Healthcare_and_Disease</x:v>
      </x:c>
      <x:c r="C526" s="263" t="str">
        <x:v>Epilepsy_and_Abnormalities</x:v>
      </x:c>
      <x:c r="D526" s="263" t="str">
        <x:v>HUP iEEG Epilepsy Dataset</x:v>
      </x:c>
      <x:c r="E526" s="263"/>
      <x:c r="F526" s="263" t="str">
        <x:v>OpenNeuro:ds004100</x:v>
      </x:c>
      <x:c r="G526" s="263" t="str">
        <x:v>DOWNLOAD_PUBLIC</x:v>
      </x:c>
      <x:c r="H526" s="263" t="str">
        <x:v>[OpenNeuro ds004100](https://openneuro.org/datasets/ds004100)</x:v>
      </x:c>
      <x:c r="I526" s="263" t="str">
        <x:v>drug-resistant epilepsy iEEG / seizure localization research</x:v>
      </x:c>
      <x:c r="J526" s="263" t="str">
        <x:v>未给出</x:v>
      </x:c>
      <x:c r="K526" s="263" t="str">
        <x:v>未给出</x:v>
      </x:c>
      <x:c r="L526" s="263" t="str">
        <x:v>未给出</x:v>
      </x:c>
      <x:c r="M526" s="263" t="str">
        <x:v>iEEG-BIDS</x:v>
      </x:c>
      <x:c r="N526" s="263" t="str">
        <x:v>raw</x:v>
      </x:c>
      <x:c r="O526" s="263" t="str">
        <x:v>public OpenNeuro; clinical de-identified data</x:v>
      </x:c>
      <x:c r="P526" s="263" t="str">
        <x:v>未给出</x:v>
      </x:c>
      <x:c r="Q526" s="263" t="str">
        <x:v>02_Biometrics_and_Disease/Epilepsy_and_Abnormalities/HUP_iEEG_Epilepsy_Dataset</x:v>
      </x:c>
      <x:c r="R526" s="263" t="str">
        <x:v>存在公开仓库、官方入口或稳定数据访问号</x:v>
      </x:c>
      <x:c r="S526" s="263"/>
      <x:c r="T526" s="263"/>
      <x:c r="U526" s="264"/>
    </x:row>
    <x:row r="527" ht="60" customHeight="1">
      <x:c r="A527" s="239" t="str">
        <x:v>EEG-0018</x:v>
      </x:c>
      <x:c r="B527" s="228" t="str">
        <x:v>02_Healthcare_and_Disease</x:v>
      </x:c>
      <x:c r="C527" s="228" t="str">
        <x:v>Epilepsy_and_Abnormalities</x:v>
      </x:c>
      <x:c r="D527" s="228" t="str">
        <x:v>Kaggle UPenn and Mayo Clinic Seizure Detection</x:v>
      </x:c>
      <x:c r="E527" s="228"/>
      <x:c r="F527" s="228"/>
      <x:c r="G527" s="228" t="str">
        <x:v>DOWNLOAD_PUBLIC</x:v>
      </x:c>
      <x:c r="H527" s="228" t="str">
        <x:v>[Kaggle seizure detection](https://www.kaggle.com/c/seizure-detection/data)</x:v>
      </x:c>
      <x:c r="I527" s="228" t="str">
        <x:v>seizure vs non-seizure detection from intracranial EEG clips</x:v>
      </x:c>
      <x:c r="J527" s="228" t="str">
        <x:v>4</x:v>
      </x:c>
      <x:c r="K527" s="228" t="str">
        <x:v>未给出</x:v>
      </x:c>
      <x:c r="L527" s="228" t="str">
        <x:v>未给出</x:v>
      </x:c>
      <x:c r="M527" s="228" t="str">
        <x:v>MAT</x:v>
      </x:c>
      <x:c r="N527" s="228" t="str">
        <x:v>raw</x:v>
      </x:c>
      <x:c r="O527" s="228" t="str">
        <x:v>Kaggle rules; account needed</x:v>
      </x:c>
      <x:c r="P527" s="228" t="str">
        <x:v>未给出</x:v>
      </x:c>
      <x:c r="Q527" s="228" t="str">
        <x:v>02_Biometrics_and_Disease/Epilepsy_and_Abnormalities/Kaggle_UPenn_and_Mayo_Clinic_Seizure_Detection</x:v>
      </x:c>
      <x:c r="R527" s="228" t="str">
        <x:v>存在公开仓库、官方入口或稳定数据访问号</x:v>
      </x:c>
      <x:c r="S527" s="228"/>
      <x:c r="T527" s="228"/>
      <x:c r="U527" s="205"/>
    </x:row>
    <x:row r="528" ht="60" customHeight="1">
      <x:c r="A528" s="262" t="str">
        <x:v>EEG-0108</x:v>
      </x:c>
      <x:c r="B528" s="263" t="str">
        <x:v>03_Consciousness_and_State</x:v>
      </x:c>
      <x:c r="C528" s="263" t="str">
        <x:v>Sleep_Staging</x:v>
      </x:c>
      <x:c r="D528" s="263" t="str">
        <x:v>ABC</x:v>
      </x:c>
      <x:c r="E528" s="263"/>
      <x:c r="F528" s="263"/>
      <x:c r="G528" s="263" t="str">
        <x:v>DOWNLOAD_PUBLIC</x:v>
      </x:c>
      <x:c r="H528" s="263" t="str">
        <x:v>[NSRR ABC](https://sleepdata.org/datasets/abc)</x:v>
      </x:c>
      <x:c r="I528" s="263" t="str">
        <x:v>COPD burden；sleep measures；sleep staging / respiratory events</x:v>
      </x:c>
      <x:c r="J528" s="263" t="str">
        <x:v>332</x:v>
      </x:c>
      <x:c r="K528" s="263" t="str">
        <x:v>未给出</x:v>
      </x:c>
      <x:c r="L528" s="263" t="str">
        <x:v>未给出</x:v>
      </x:c>
      <x:c r="M528" s="263" t="str">
        <x:v>EDF / XML</x:v>
      </x:c>
      <x:c r="N528" s="263" t="str">
        <x:v>raw</x:v>
      </x:c>
      <x:c r="O528" s="263" t="str">
        <x:v>申请：NSRR ABC；通过 sleepdata.org 账号申请权限，批准后网页或 `nsrr download abc` 下载。</x:v>
      </x:c>
      <x:c r="P528" s="263" t="str">
        <x:v>未给出</x:v>
      </x:c>
      <x:c r="Q528" s="263" t="str">
        <x:v>03_Consciousness_and_State/Sleep_Staging/ABC</x:v>
      </x:c>
      <x:c r="R528" s="263" t="str">
        <x:v>存在公开仓库、官方入口或稳定数据访问号</x:v>
      </x:c>
      <x:c r="S528" s="263"/>
      <x:c r="T528" s="263"/>
      <x:c r="U528" s="264"/>
    </x:row>
    <x:row r="529" ht="60" customHeight="1">
      <x:c r="A529" s="239" t="str">
        <x:v>EEG-0126</x:v>
      </x:c>
      <x:c r="B529" s="228" t="str">
        <x:v>03_Consciousness_and_State</x:v>
      </x:c>
      <x:c r="C529" s="228" t="str">
        <x:v>Sleep_Staging</x:v>
      </x:c>
      <x:c r="D529" s="228" t="str">
        <x:v>HomePAP</x:v>
      </x:c>
      <x:c r="E529" s="228"/>
      <x:c r="F529" s="228"/>
      <x:c r="G529" s="228" t="str">
        <x:v>DOWNLOAD_APPLICATION_REQUIRED</x:v>
      </x:c>
      <x:c r="H529" s="228" t="str">
        <x:v>[NSRR HomePAP](https://sleepdata.org/datasets/homepap)</x:v>
      </x:c>
      <x:c r="I529" s="228" t="str">
        <x:v>OSA diagnosis; home vs laboratory pathway; sleep staging</x:v>
      </x:c>
      <x:c r="J529" s="228" t="str">
        <x:v>343 个含原始 PSG/EEG 的参与者</x:v>
      </x:c>
      <x:c r="K529" s="228" t="str">
        <x:v>未给出</x:v>
      </x:c>
      <x:c r="L529" s="228" t="str">
        <x:v>未给出</x:v>
      </x:c>
      <x:c r="M529" s="228" t="str">
        <x:v>EDF / NSRR files</x:v>
      </x:c>
      <x:c r="N529" s="228" t="str">
        <x:v>raw</x:v>
      </x:c>
      <x:c r="O529" s="228" t="str">
        <x:v>NSRR account + data request/DUA</x:v>
      </x:c>
      <x:c r="P529" s="228" t="str">
        <x:v>未给出</x:v>
      </x:c>
      <x:c r="Q529" s="228" t="str">
        <x:v>03_Consciousness_and_State/Sleep_Staging/HomePAP</x:v>
      </x:c>
      <x:c r="R529" s="228" t="str">
        <x:v>官方数据存在，但需申请、签署协议或获得权限</x:v>
      </x:c>
      <x:c r="S529" s="228"/>
      <x:c r="T529" s="228"/>
      <x:c r="U529" s="205"/>
    </x:row>
    <x:row r="530" ht="60" customHeight="1">
      <x:c r="A530" s="262" t="str">
        <x:v>EEG-0258</x:v>
      </x:c>
      <x:c r="B530" s="263" t="str">
        <x:v>04_Cognition_and_Emotion</x:v>
      </x:c>
      <x:c r="C530" s="263" t="str">
        <x:v>ERP_and_Event_Detection</x:v>
      </x:c>
      <x:c r="D530" s="263" t="str">
        <x:v>Bern-Barcelona EEG Database</x:v>
      </x:c>
      <x:c r="E530" s="263"/>
      <x:c r="F530" s="263"/>
      <x:c r="G530" s="263" t="str">
        <x:v>DOWNLOAD_PUBLIC</x:v>
      </x:c>
      <x:c r="H530" s="263" t="str">
        <x:v>[Bern-Barcelona EEG database](https://www.upf.edu/web/ntsa/downloads)</x:v>
      </x:c>
      <x:c r="I530" s="263" t="str">
        <x:v>focal vs non-focal intracranial EEG classification</x:v>
      </x:c>
      <x:c r="J530" s="263" t="str">
        <x:v>5</x:v>
      </x:c>
      <x:c r="K530" s="263" t="str">
        <x:v>2</x:v>
      </x:c>
      <x:c r="L530" s="263" t="str">
        <x:v>未给出</x:v>
      </x:c>
      <x:c r="M530" s="263" t="str">
        <x:v>未给出</x:v>
      </x:c>
      <x:c r="N530" s="263" t="str">
        <x:v>processed</x:v>
      </x:c>
      <x:c r="O530" s="263" t="str">
        <x:v>public academic download; citation required</x:v>
      </x:c>
      <x:c r="P530" s="263" t="str">
        <x:v>未给出</x:v>
      </x:c>
      <x:c r="Q530" s="263" t="str">
        <x:v>04_Cognition_and_Emotion/ERP_and_Event_Detection/Bern-Barcelona_EEG_Database</x:v>
      </x:c>
      <x:c r="R530" s="263" t="str">
        <x:v>存在公开仓库、官方入口或稳定数据访问号</x:v>
      </x:c>
      <x:c r="S530" s="263"/>
      <x:c r="T530" s="263"/>
      <x:c r="U530" s="264"/>
    </x:row>
    <x:row r="531" ht="60" customHeight="1">
      <x:c r="A531" s="239" t="str">
        <x:v>EEG-0280</x:v>
      </x:c>
      <x:c r="B531" s="228" t="str">
        <x:v>04_Cognition_and_Emotion</x:v>
      </x:c>
      <x:c r="C531" s="228" t="str">
        <x:v>ERP_and_Event_Detection</x:v>
      </x:c>
      <x:c r="D531" s="228" t="str">
        <x:v>Margaux2012</x:v>
      </x:c>
      <x:c r="E531" s="228"/>
      <x:c r="F531" s="228" t="str">
        <x:v>DOI:10.1155/2012/578295</x:v>
      </x:c>
      <x:c r="G531" s="228" t="str">
        <x:v>DOWNLOAD_PUBLIC</x:v>
      </x:c>
      <x:c r="H531" s="228" t="str">
        <x:v>[paper DOI](https://doi.org/10.1155/2012/578295)</x:v>
      </x:c>
      <x:c r="I531" s="228" t="str">
        <x:v>P300 spelling; online error correction; ERN / ERP</x:v>
      </x:c>
      <x:c r="J531" s="228" t="str">
        <x:v>未给出</x:v>
      </x:c>
      <x:c r="K531" s="228" t="str">
        <x:v>未给出</x:v>
      </x:c>
      <x:c r="L531" s="228" t="str">
        <x:v>未给出</x:v>
      </x:c>
      <x:c r="M531" s="228" t="str">
        <x:v>未给出</x:v>
      </x:c>
      <x:c r="N531" s="228" t="str">
        <x:v>raw / release-dependent</x:v>
      </x:c>
      <x:c r="O531" s="228" t="str">
        <x:v>Dataset used in BENDR downstream; stable public raw-data link not confirmed; cite paper and verify acquisition route.</x:v>
      </x:c>
      <x:c r="P531" s="228" t="str">
        <x:v>Margaux et al. (2012); BENDR; Liu et al. (2026), EEG Foundation Models Tables VIII-XIV</x:v>
      </x:c>
      <x:c r="Q531" s="228" t="str">
        <x:v>04_Cognition_and_Emotion/ERP_and_Event_Detection/Margaux2012</x:v>
      </x:c>
      <x:c r="R531" s="228" t="str">
        <x:v>存在公开仓库、官方入口或稳定数据访问号</x:v>
      </x:c>
      <x:c r="S531" s="228"/>
      <x:c r="T531" s="228"/>
      <x:c r="U531" s="205"/>
    </x:row>
    <x:row r="532" ht="60" customHeight="1">
      <x:c r="A532" s="262" t="str">
        <x:v>EEG-0301</x:v>
      </x:c>
      <x:c r="B532" s="263" t="str">
        <x:v>05_Naturalistic_Stimulus_Decoding</x:v>
      </x:c>
      <x:c r="C532" s="263" t="str">
        <x:v>Language_and_Reading</x:v>
      </x:c>
      <x:c r="D532" s="263" t="str">
        <x:v>EEG-Speech Brain Decoding Dataset</x:v>
      </x:c>
      <x:c r="E532" s="263"/>
      <x:c r="F532" s="263" t="str">
        <x:v>OpenNeuro:ds007808</x:v>
      </x:c>
      <x:c r="G532" s="263" t="str">
        <x:v>DOWNLOAD_PUBLIC</x:v>
      </x:c>
      <x:c r="H532" s="263" t="str">
        <x:v>[OpenNeuro ds007808](https://openneuro.org/datasets/ds007808)</x:v>
      </x:c>
      <x:c r="I532" s="263" t="str">
        <x:v>speech decoding from EEG and audio</x:v>
      </x:c>
      <x:c r="J532" s="263" t="str">
        <x:v>未给出</x:v>
      </x:c>
      <x:c r="K532" s="263" t="str">
        <x:v>未给出</x:v>
      </x:c>
      <x:c r="L532" s="263" t="str">
        <x:v>未给出</x:v>
      </x:c>
      <x:c r="M532" s="263" t="str">
        <x:v>BIDS</x:v>
      </x:c>
      <x:c r="N532" s="263" t="str">
        <x:v>raw</x:v>
      </x:c>
      <x:c r="O532" s="263" t="str">
        <x:v>public OpenNeuro</x:v>
      </x:c>
      <x:c r="P532" s="263" t="str">
        <x:v>未给出</x:v>
      </x:c>
      <x:c r="Q532" s="263" t="str">
        <x:v>05_Naturalistic_Stimulus_Decoding/Language_and_Reading/EEG-Speech_Brain_Decoding_Dataset</x:v>
      </x:c>
      <x:c r="R532" s="263" t="str">
        <x:v>存在公开仓库、官方入口或稳定数据访问号</x:v>
      </x:c>
      <x:c r="S532" s="263"/>
      <x:c r="T532" s="263"/>
      <x:c r="U532" s="264"/>
    </x:row>
    <x:row r="533" ht="60" customHeight="1">
      <x:c r="A533" s="239" t="str">
        <x:v>EEG-0306</x:v>
      </x:c>
      <x:c r="B533" s="228" t="str">
        <x:v>05_Naturalistic_Stimulus_Decoding</x:v>
      </x:c>
      <x:c r="C533" s="228" t="str">
        <x:v>Language_and_Reading</x:v>
      </x:c>
      <x:c r="D533" s="228" t="str">
        <x:v>OpenNeuro ds004408 Continuous Naturalistic Speech EEG</x:v>
      </x:c>
      <x:c r="E533" s="228"/>
      <x:c r="F533" s="228" t="str">
        <x:v>OpenNeuro:ds004408</x:v>
      </x:c>
      <x:c r="G533" s="228" t="str">
        <x:v>DOWNLOAD_PUBLIC</x:v>
      </x:c>
      <x:c r="H533" s="228" t="str">
        <x:v>[OpenNeuro ds004408](https://openneuro.org/datasets/ds004408)</x:v>
      </x:c>
      <x:c r="I533" s="228" t="str">
        <x:v>EEG responses to continuous naturalistic speech</x:v>
      </x:c>
      <x:c r="J533" s="228" t="str">
        <x:v>未给出</x:v>
      </x:c>
      <x:c r="K533" s="228" t="str">
        <x:v>未给出</x:v>
      </x:c>
      <x:c r="L533" s="228" t="str">
        <x:v>未给出</x:v>
      </x:c>
      <x:c r="M533" s="228" t="str">
        <x:v>BIDS</x:v>
      </x:c>
      <x:c r="N533" s="228" t="str">
        <x:v>raw</x:v>
      </x:c>
      <x:c r="O533" s="228" t="str">
        <x:v>public OpenNeuro</x:v>
      </x:c>
      <x:c r="P533" s="228" t="str">
        <x:v>未给出</x:v>
      </x:c>
      <x:c r="Q533" s="228" t="str">
        <x:v>05_Naturalistic_Stimulus_Decoding/Language_and_Reading/OpenNeuro_ds004408_Continuous_Naturalistic_Speech_EEG</x:v>
      </x:c>
      <x:c r="R533" s="228" t="str">
        <x:v>存在公开仓库、官方入口或稳定数据访问号</x:v>
      </x:c>
      <x:c r="S533" s="228"/>
      <x:c r="T533" s="228"/>
      <x:c r="U533" s="205"/>
    </x:row>
    <x:row r="534" ht="60" customHeight="1">
      <x:c r="A534" s="262" t="str">
        <x:v>EEG-0320</x:v>
      </x:c>
      <x:c r="B534" s="263" t="str">
        <x:v>05_Naturalistic_Stimulus_Decoding</x:v>
      </x:c>
      <x:c r="C534" s="263" t="str">
        <x:v>Listening_and_Auditory_Attention</x:v>
      </x:c>
      <x:c r="D534" s="263" t="str">
        <x:v>NMED-T</x:v>
      </x:c>
      <x:c r="E534" s="263"/>
      <x:c r="F534" s="263"/>
      <x:c r="G534" s="263" t="str">
        <x:v>DOWNLOAD_PUBLIC</x:v>
      </x:c>
      <x:c r="H534" s="263" t="str">
        <x:v>[NMED-T OSF](https://osf.io/p6vkg/)</x:v>
      </x:c>
      <x:c r="I534" s="263" t="str">
        <x:v>naturalistic music listening；tempo / beat tracking</x:v>
      </x:c>
      <x:c r="J534" s="263" t="str">
        <x:v>20</x:v>
      </x:c>
      <x:c r="K534" s="263" t="str">
        <x:v>64</x:v>
      </x:c>
      <x:c r="L534" s="263" t="str">
        <x:v>未给出</x:v>
      </x:c>
      <x:c r="M534" s="263" t="str">
        <x:v>未给出</x:v>
      </x:c>
      <x:c r="N534" s="263" t="str">
        <x:v>processed</x:v>
      </x:c>
      <x:c r="O534" s="263" t="str">
        <x:v>public OSF</x:v>
      </x:c>
      <x:c r="P534" s="263" t="str">
        <x:v>未给出</x:v>
      </x:c>
      <x:c r="Q534" s="263" t="str">
        <x:v>05_Naturalistic_Stimulus_Decoding/Listening_and_Auditory_Attention/NMED-T</x:v>
      </x:c>
      <x:c r="R534" s="263" t="str">
        <x:v>存在公开仓库、官方入口或稳定数据访问号</x:v>
      </x:c>
      <x:c r="S534" s="263"/>
      <x:c r="T534" s="263"/>
      <x:c r="U534" s="264"/>
    </x:row>
    <x:row r="535" ht="60" customHeight="1">
      <x:c r="A535" s="239" t="str">
        <x:v>EEG-0324</x:v>
      </x:c>
      <x:c r="B535" s="228" t="str">
        <x:v>05_Naturalistic_Stimulus_Decoding</x:v>
      </x:c>
      <x:c r="C535" s="228" t="str">
        <x:v>Visual_Perception</x:v>
      </x:c>
      <x:c r="D535" s="228" t="str">
        <x:v>Alljoined1</x:v>
      </x:c>
      <x:c r="E535" s="228"/>
      <x:c r="F535" s="228"/>
      <x:c r="G535" s="228" t="str">
        <x:v>DOWNLOAD_PUBLIC</x:v>
      </x:c>
      <x:c r="H535" s="228" t="str">
        <x:v>[Alljoined1 link hub](https://linktr.ee/alljoined1)</x:v>
      </x:c>
      <x:c r="I535" s="228" t="str">
        <x:v>EEG-to-image decoding；natural image response decoding</x:v>
      </x:c>
      <x:c r="J535" s="228" t="str">
        <x:v>8</x:v>
      </x:c>
      <x:c r="K535" s="228" t="str">
        <x:v>64</x:v>
      </x:c>
      <x:c r="L535" s="228" t="str">
        <x:v>512Hz</x:v>
      </x:c>
      <x:c r="M535" s="228" t="str">
        <x:v>未给出</x:v>
      </x:c>
      <x:c r="N535" s="228" t="str">
        <x:v>未给出</x:v>
      </x:c>
      <x:c r="O535" s="228" t="str">
        <x:v>公开下载：Alljoined1 link hub (https://linktr.ee/alljoined1)；大版本 Alljoined-1.6M 可从 Hugging Face (https://huggingface.co/datasets/Alljoined/Alljoined-1.6M) 用 `snapshot_download` 获取。</x:v>
      </x:c>
      <x:c r="P535" s="228" t="str">
        <x:v>未给出</x:v>
      </x:c>
      <x:c r="Q535" s="228" t="str">
        <x:v>05_Naturalistic_Stimulus_Decoding/Visual_Perception/Alljoined1</x:v>
      </x:c>
      <x:c r="R535" s="228" t="str">
        <x:v>存在公开仓库、官方入口或稳定数据访问号</x:v>
      </x:c>
      <x:c r="S535" s="228"/>
      <x:c r="T535" s="228"/>
      <x:c r="U535" s="205"/>
    </x:row>
    <x:row r="536" ht="60" customHeight="1">
      <x:c r="A536" s="262" t="str">
        <x:v>EEG-0326</x:v>
      </x:c>
      <x:c r="B536" s="263" t="str">
        <x:v>05_Naturalistic_Stimulus_Decoding</x:v>
      </x:c>
      <x:c r="C536" s="263" t="str">
        <x:v>Visual_Perception</x:v>
      </x:c>
      <x:c r="D536" s="263" t="str">
        <x:v>COGITATE iEEG Dataset</x:v>
      </x:c>
      <x:c r="E536" s="263"/>
      <x:c r="F536" s="263"/>
      <x:c r="G536" s="263" t="str">
        <x:v>DOWNLOAD_PUBLIC</x:v>
      </x:c>
      <x:c r="H536" s="263" t="str">
        <x:v>[Cogitate iEEG GitHub](https://github.com/Cogitate-consortium/iEEG-data-release)</x:v>
      </x:c>
      <x:c r="I536" s="263" t="str">
        <x:v>conscious visual perception with iEEG, eye tracking, behavior</x:v>
      </x:c>
      <x:c r="J536" s="263" t="str">
        <x:v>38</x:v>
      </x:c>
      <x:c r="K536" s="263" t="str">
        <x:v>未给出</x:v>
      </x:c>
      <x:c r="L536" s="263" t="str">
        <x:v>未给出</x:v>
      </x:c>
      <x:c r="M536" s="263" t="str">
        <x:v>未给出</x:v>
      </x:c>
      <x:c r="N536" s="263" t="str">
        <x:v>raw</x:v>
      </x:c>
      <x:c r="O536" s="263" t="str">
        <x:v>open release; GitHub tools; terms of use</x:v>
      </x:c>
      <x:c r="P536" s="263" t="str">
        <x:v>Cogitate Consortium, Scientific Data 2025</x:v>
      </x:c>
      <x:c r="Q536" s="263" t="str">
        <x:v>05_Naturalistic_Stimulus_Decoding/Visual_Perception/COGITATE_iEEG_Dataset</x:v>
      </x:c>
      <x:c r="R536" s="263" t="str">
        <x:v>存在公开仓库、官方入口或稳定数据访问号</x:v>
      </x:c>
      <x:c r="S536" s="263"/>
      <x:c r="T536" s="263"/>
      <x:c r="U536" s="264"/>
    </x:row>
    <x:row r="537" ht="60" customHeight="1">
      <x:c r="A537" s="239" t="str">
        <x:v>EEG-0413</x:v>
      </x:c>
      <x:c r="B537" s="228" t="str">
        <x:v>06_Motor_and_Interaction</x:v>
      </x:c>
      <x:c r="C537" s="228" t="str">
        <x:v>Motor_Imagery_and_Execution</x:v>
      </x:c>
      <x:c r="D537" s="228" t="str">
        <x:v>Stieger2021</x:v>
      </x:c>
      <x:c r="E537" s="228"/>
      <x:c r="F537" s="228"/>
      <x:c r="G537" s="228" t="str">
        <x:v>DOWNLOAD_PUBLIC</x:v>
      </x:c>
      <x:c r="H537" s="228" t="str">
        <x:v>https://moabb.neurotechx.com/docs/generated/moabb.datasets.Stieger2021.html</x:v>
      </x:c>
      <x:c r="I537" s="228" t="str">
        <x:v>Motor Imagery / SMR-BCI (longitudinal)</x:v>
      </x:c>
      <x:c r="J537" s="228" t="str">
        <x:v>62</x:v>
      </x:c>
      <x:c r="K537" s="228"/>
      <x:c r="L537" s="228"/>
      <x:c r="M537" s="228"/>
      <x:c r="N537" s="228" t="str">
        <x:v>Raw</x:v>
      </x:c>
      <x:c r="O537" s="228"/>
      <x:c r="P537" s="228" t="str">
        <x:v>Stieger et al.</x:v>
      </x:c>
      <x:c r="Q537" s="228" t="str">
        <x:v>06_Motor_and_Interaction/Motor_Imagery_and_Execution/Stieger2021</x:v>
      </x:c>
      <x:c r="R537" s="228" t="str">
        <x:v>存在公开仓库、官方入口或稳定数据访问号</x:v>
      </x:c>
      <x:c r="S537" s="228"/>
      <x:c r="T537" s="228"/>
      <x:c r="U537" s="205"/>
    </x:row>
    <x:row r="538" ht="60" customHeight="1">
      <x:c r="A538" s="262" t="str">
        <x:v>EEG-0509</x:v>
      </x:c>
      <x:c r="B538" s="263" t="str">
        <x:v>03_Consciousness_and_State</x:v>
      </x:c>
      <x:c r="C538" s="263" t="str">
        <x:v>Resting_State</x:v>
      </x:c>
      <x:c r="D538" s="263" t="str">
        <x:v>OpenNeuro ds006801 Resting-state EEG before</x:v>
      </x:c>
      <x:c r="E538" s="263"/>
      <x:c r="F538" s="263" t="str">
        <x:v>OpenNeuro:ds006801</x:v>
      </x:c>
      <x:c r="G538" s="263" t="str">
        <x:v>DOWNLOAD_PUBLIC</x:v>
      </x:c>
      <x:c r="H538" s="263" t="str">
        <x:v>[OpenNeuro ds006801](https://openneuro.org/datasets/ds006801/versions/1.0.0)</x:v>
      </x:c>
      <x:c r="I538" s="263" t="str">
        <x:v>resting-state EEG before and after different study methods</x:v>
      </x:c>
      <x:c r="J538" s="263" t="str">
        <x:v>未给出</x:v>
      </x:c>
      <x:c r="K538" s="263" t="str">
        <x:v>未给出</x:v>
      </x:c>
      <x:c r="L538" s="263" t="str">
        <x:v>未给出</x:v>
      </x:c>
      <x:c r="M538" s="263" t="str">
        <x:v>BIDS</x:v>
      </x:c>
      <x:c r="N538" s="263" t="str">
        <x:v>raw</x:v>
      </x:c>
      <x:c r="O538" s="263" t="str">
        <x:v>public OpenNeuro</x:v>
      </x:c>
      <x:c r="P538" s="263" t="str">
        <x:v>未给出</x:v>
      </x:c>
      <x:c r="Q538" s="263" t="str">
        <x:v>03_Consciousness_and_State/Resting_State/OpenNeuro_ds006801_Resting-state_EEG_before</x:v>
      </x:c>
      <x:c r="R538" s="263" t="str">
        <x:v>存在公开仓库、官方入口或稳定数据访问号</x:v>
      </x:c>
      <x:c r="S538" s="263"/>
      <x:c r="T538" s="263"/>
      <x:c r="U538" s="264"/>
    </x:row>
    <x:row r="539">
      <x:c r="A539" s="240" t="str">
        <x:v>EEG-0510</x:v>
      </x:c>
      <x:c r="B539" s="230" t="str">
        <x:v>03_Consciousness_and_State</x:v>
      </x:c>
      <x:c r="C539" s="230" t="str">
        <x:v>Resting_State</x:v>
      </x:c>
      <x:c r="D539" s="230" t="str">
        <x:v>PRED+CT</x:v>
      </x:c>
      <x:c r="E539" s="230"/>
      <x:c r="F539" s="230"/>
      <x:c r="G539" s="230" t="str">
        <x:v>DOWNLOAD_PUBLIC</x:v>
      </x:c>
      <x:c r="H539" s="230" t="str">
        <x:v>[PRED+CT paper / portal](https://pmc.ncbi.nlm.nih.gov/articles/PMC5702317/)</x:v>
      </x:c>
      <x:c r="I539" s="230" t="str">
        <x:v>patient EEG repository; diagnosis / resting-state computational tools</x:v>
      </x:c>
      <x:c r="J539" s="230" t="str">
        <x:v>未给出</x:v>
      </x:c>
      <x:c r="K539" s="230" t="str">
        <x:v>未给出</x:v>
      </x:c>
      <x:c r="L539" s="230" t="str">
        <x:v>未给出</x:v>
      </x:c>
      <x:c r="M539" s="230" t="str">
        <x:v>repository-specific</x:v>
      </x:c>
      <x:c r="N539" s="230" t="str">
        <x:v>raw</x:v>
      </x:c>
      <x:c r="O539" s="230" t="str">
        <x:v>未给出</x:v>
      </x:c>
      <x:c r="P539" s="230" t="str">
        <x:v>Obeid et al., Frontiers Neuroinformatics 2017</x:v>
      </x:c>
      <x:c r="Q539" s="230" t="str">
        <x:v>03_Consciousness_and_State/Resting_State/PRED_CT</x:v>
      </x:c>
      <x:c r="R539" s="230" t="str">
        <x:v>存在公开仓库、官方入口或稳定数据访问号</x:v>
      </x:c>
      <x:c r="S539" s="230"/>
      <x:c r="T539" s="230"/>
      <x:c r="U539" s="241"/>
    </x:row>
    <x:row r="540">
      <x:c r="A540" s="267" t="str">
        <x:v>EEG-0006</x:v>
      </x:c>
      <x:c r="B540" s="268" t="str">
        <x:v>02_Healthcare_and_Disease</x:v>
      </x:c>
      <x:c r="C540" s="268" t="str">
        <x:v>Epilepsy_and_Abnormalities</x:v>
      </x:c>
      <x:c r="D540" s="268" t="str">
        <x:v>American Epilepsy Society Seizure Prediction Challenge</x:v>
      </x:c>
      <x:c r="E540" s="268"/>
      <x:c r="F540" s="268"/>
      <x:c r="G540" s="268" t="str">
        <x:v>DOWNLOAD_PUBLIC</x:v>
      </x:c>
      <x:c r="H540" s="268" t="str">
        <x:v>[Kaggle AES seizure prediction](https://www.kaggle.com/c/seizure-prediction)</x:v>
      </x:c>
      <x:c r="I540" s="268" t="str">
        <x:v>preictal vs interictal seizure prediction</x:v>
      </x:c>
      <x:c r="J540" s="268" t="str">
        <x:v>未给出</x:v>
      </x:c>
      <x:c r="K540" s="268" t="str">
        <x:v>未给出</x:v>
      </x:c>
      <x:c r="L540" s="268" t="str">
        <x:v>未给出</x:v>
      </x:c>
      <x:c r="M540" s="268" t="str">
        <x:v>MAT</x:v>
      </x:c>
      <x:c r="N540" s="268" t="str">
        <x:v>raw</x:v>
      </x:c>
      <x:c r="O540" s="268" t="str">
        <x:v>Kaggle rules; account needed</x:v>
      </x:c>
      <x:c r="P540" s="268" t="str">
        <x:v>未给出</x:v>
      </x:c>
      <x:c r="Q540" s="268" t="str">
        <x:v>02_Biometrics_and_Disease/Epilepsy_and_Abnormalities/American_Epilepsy_Society_Seizure_Prediction_Challenge</x:v>
      </x:c>
      <x:c r="R540" s="268" t="str">
        <x:v>存在公开仓库、官方入口或稳定数据访问号</x:v>
      </x:c>
      <x:c r="S540" s="268"/>
      <x:c r="T540" s="268"/>
      <x:c r="U540" s="269"/>
    </x:row>
    <x:row r="541">
      <x:c r="A541" s="240" t="str">
        <x:v>EEG-0012</x:v>
      </x:c>
      <x:c r="B541" s="230" t="str">
        <x:v>02_Healthcare_and_Disease</x:v>
      </x:c>
      <x:c r="C541" s="230" t="str">
        <x:v>Epilepsy_and_Abnormalities</x:v>
      </x:c>
      <x:c r="D541" s="230" t="str">
        <x:v>Harvard EEG Database</x:v>
      </x:c>
      <x:c r="E541" s="230"/>
      <x:c r="F541" s="230"/>
      <x:c r="G541" s="230" t="str">
        <x:v>DOWNLOAD_APPLICATION_REQUIRED</x:v>
      </x:c>
      <x:c r="H541" s="230" t="str">
        <x:v>[Harvard EEG Database](https://bdsp.io/content/harvard-eeg-db/)</x:v>
      </x:c>
      <x:c r="I541" s="230" t="str">
        <x:v>large-scale clinical EEG for abnormality, epilepsy, encephalopathy, prognosis</x:v>
      </x:c>
      <x:c r="J541" s="230" t="str">
        <x:v>100,000+</x:v>
      </x:c>
      <x:c r="K541" s="230" t="str">
        <x:v>未给出</x:v>
      </x:c>
      <x:c r="L541" s="230" t="str">
        <x:v>未给出</x:v>
      </x:c>
      <x:c r="M541" s="230" t="str">
        <x:v>未给出</x:v>
      </x:c>
      <x:c r="N541" s="230" t="str">
        <x:v>raw</x:v>
      </x:c>
      <x:c r="O541" s="230" t="str">
        <x:v>BDSP access terms; may require application/account</x:v>
      </x:c>
      <x:c r="P541" s="230" t="str">
        <x:v>未给出</x:v>
      </x:c>
      <x:c r="Q541" s="230" t="str">
        <x:v>02_Biometrics_and_Disease/Epilepsy_and_Abnormalities/Harvard_EEG_Database</x:v>
      </x:c>
      <x:c r="R541" s="230" t="str">
        <x:v>官方数据存在，但需申请、签署协议或获得权限</x:v>
      </x:c>
      <x:c r="S541" s="230"/>
      <x:c r="T541" s="230"/>
      <x:c r="U541" s="241"/>
    </x:row>
    <x:row r="542">
      <x:c r="A542" s="267" t="str">
        <x:v>EEG-0112</x:v>
      </x:c>
      <x:c r="B542" s="268" t="str">
        <x:v>03_Consciousness_and_State</x:v>
      </x:c>
      <x:c r="C542" s="268" t="str">
        <x:v>Sleep_Staging</x:v>
      </x:c>
      <x:c r="D542" s="268" t="str">
        <x:v>ASCERTAIN</x:v>
      </x:c>
      <x:c r="E542" s="268"/>
      <x:c r="F542" s="268"/>
      <x:c r="G542" s="268" t="str">
        <x:v>DOWNLOAD_PUBLIC</x:v>
      </x:c>
      <x:c r="H542" s="268" t="str">
        <x:v>[ASCERTAIN dataset](https://ascertain-dataset.github.io/)</x:v>
      </x:c>
      <x:c r="I542" s="268" t="str">
        <x:v>valence / arousal / personality-aware affect recognition</x:v>
      </x:c>
      <x:c r="J542" s="268" t="str">
        <x:v>58</x:v>
      </x:c>
      <x:c r="K542" s="268" t="str">
        <x:v>14</x:v>
      </x:c>
      <x:c r="L542" s="268" t="str">
        <x:v>未给出</x:v>
      </x:c>
      <x:c r="M542" s="268" t="str">
        <x:v>未给出</x:v>
      </x:c>
      <x:c r="N542" s="268" t="str">
        <x:v>未给出</x:v>
      </x:c>
      <x:c r="O542" s="268" t="str">
        <x:v>public download; citation/license terms on site</x:v>
      </x:c>
      <x:c r="P542" s="268" t="str">
        <x:v>未给出</x:v>
      </x:c>
      <x:c r="Q542" s="268" t="str">
        <x:v>03_Consciousness_and_State/Sleep_Staging/ASCERTAIN</x:v>
      </x:c>
      <x:c r="R542" s="268" t="str">
        <x:v>存在公开仓库、官方入口或稳定数据访问号</x:v>
      </x:c>
      <x:c r="S542" s="268"/>
      <x:c r="T542" s="268"/>
      <x:c r="U542" s="269"/>
    </x:row>
    <x:row r="543">
      <x:c r="A543" s="240" t="str">
        <x:v>EEG-0137</x:v>
      </x:c>
      <x:c r="B543" s="230" t="str">
        <x:v>03_Consciousness_and_State</x:v>
      </x:c>
      <x:c r="C543" s="230" t="str">
        <x:v>Sleep_Staging</x:v>
      </x:c>
      <x:c r="D543" s="230" t="str">
        <x:v>NFS</x:v>
      </x:c>
      <x:c r="E543" s="230"/>
      <x:c r="F543" s="230"/>
      <x:c r="G543" s="230" t="str">
        <x:v>DOWNLOAD_APPLICATION_REQUIRED</x:v>
      </x:c>
      <x:c r="H543" s="230" t="str">
        <x:v>[NSRR NFS](https://sleepdata.org/datasets/nfs)</x:v>
      </x:c>
      <x:c r="I543" s="230" t="str">
        <x:v>sleep/circadian protocols; PSG, actigraphy, questionnaires</x:v>
      </x:c>
      <x:c r="J543" s="230" t="str">
        <x:v>未给出</x:v>
      </x:c>
      <x:c r="K543" s="230" t="str">
        <x:v>未给出</x:v>
      </x:c>
      <x:c r="L543" s="230" t="str">
        <x:v>未给出</x:v>
      </x:c>
      <x:c r="M543" s="230" t="str">
        <x:v>EDF</x:v>
      </x:c>
      <x:c r="N543" s="230" t="str">
        <x:v>raw</x:v>
      </x:c>
      <x:c r="O543" s="230" t="str">
        <x:v>NSRR account + data request/DUA</x:v>
      </x:c>
      <x:c r="P543" s="230" t="str">
        <x:v>未给出</x:v>
      </x:c>
      <x:c r="Q543" s="230" t="str">
        <x:v>03_Consciousness_and_State/Sleep_Staging/NFS</x:v>
      </x:c>
      <x:c r="R543" s="230" t="str">
        <x:v>官方数据存在，但需申请、签署协议或获得权限</x:v>
      </x:c>
      <x:c r="S543" s="230"/>
      <x:c r="T543" s="230"/>
      <x:c r="U543" s="241"/>
    </x:row>
    <x:row r="544">
      <x:c r="A544" s="267" t="str">
        <x:v>EEG-0313</x:v>
      </x:c>
      <x:c r="B544" s="268" t="str">
        <x:v>05_Naturalistic_Stimulus_Decoding</x:v>
      </x:c>
      <x:c r="C544" s="268" t="str">
        <x:v>Listening_and_Auditory_Attention</x:v>
      </x:c>
      <x:c r="D544" s="268" t="str">
        <x:v>AlphaWaves</x:v>
      </x:c>
      <x:c r="E544" s="268"/>
      <x:c r="F544" s="268"/>
      <x:c r="G544" s="268" t="str">
        <x:v>DOWNLOAD_PUBLIC</x:v>
      </x:c>
      <x:c r="H544" s="268" t="str">
        <x:v>[MOABB AlphaWaves](https://moabb.neurotechx.com/docs/generated/moabb.datasets.Lee2019_Alpha.html)</x:v>
      </x:c>
      <x:c r="I544" s="268" t="str">
        <x:v>alpha rhythm / relaxation / eyes open-closed</x:v>
      </x:c>
      <x:c r="J544" s="268" t="str">
        <x:v>未给出</x:v>
      </x:c>
      <x:c r="K544" s="268" t="str">
        <x:v>未给出</x:v>
      </x:c>
      <x:c r="L544" s="268" t="str">
        <x:v>未给出</x:v>
      </x:c>
      <x:c r="M544" s="268" t="str">
        <x:v>MOABB-supported / 原始格式</x:v>
      </x:c>
      <x:c r="N544" s="268" t="str">
        <x:v>raw / 原始发布数据</x:v>
      </x:c>
      <x:c r="O544" s="268" t="str">
        <x:v>public via MOABB / original data link</x:v>
      </x:c>
      <x:c r="P544" s="268" t="str">
        <x:v>未给出</x:v>
      </x:c>
      <x:c r="Q544" s="268" t="str">
        <x:v>05_Naturalistic_Stimulus_Decoding/Listening_and_Auditory_Attention/AlphaWaves</x:v>
      </x:c>
      <x:c r="R544" s="268" t="str">
        <x:v>存在公开仓库、官方入口或稳定数据访问号</x:v>
      </x:c>
      <x:c r="S544" s="268"/>
      <x:c r="T544" s="268"/>
      <x:c r="U544" s="269"/>
    </x:row>
    <x:row r="545">
      <x:c r="A545" s="240" t="str">
        <x:v>EEG-0448</x:v>
      </x:c>
      <x:c r="B545" s="230" t="str">
        <x:v>06_Motor_and_Interaction</x:v>
      </x:c>
      <x:c r="C545" s="230" t="str">
        <x:v>SSVEP_and_Evoked_BCI</x:v>
      </x:c>
      <x:c r="D545" s="230" t="str">
        <x:v>Thielen2015</x:v>
      </x:c>
      <x:c r="E545" s="230"/>
      <x:c r="F545" s="230"/>
      <x:c r="G545" s="230" t="str">
        <x:v>DOWNLOAD_PUBLIC</x:v>
      </x:c>
      <x:c r="H545" s="230" t="str">
        <x:v>https://moabb.neurotechx.com/docs/generated/moabb.datasets.Thielen2015.html</x:v>
      </x:c>
      <x:c r="I545" s="230" t="str">
        <x:v>c-VEP</x:v>
      </x:c>
      <x:c r="J545" s="230"/>
      <x:c r="K545" s="230"/>
      <x:c r="L545" s="230"/>
      <x:c r="M545" s="230"/>
      <x:c r="N545" s="230" t="str">
        <x:v>Raw</x:v>
      </x:c>
      <x:c r="O545" s="230"/>
      <x:c r="P545" s="230" t="str">
        <x:v>Thielen, van den Broek, Farquhar, Desain, Radboud University</x:v>
      </x:c>
      <x:c r="Q545" s="230" t="str">
        <x:v>06_Motor_and_Interaction/SSVEP_and_Evoked_BCI/Thielen2015</x:v>
      </x:c>
      <x:c r="R545" s="230" t="str">
        <x:v>存在公开仓库、官方入口或稳定数据访问号</x:v>
      </x:c>
      <x:c r="S545" s="230"/>
      <x:c r="T545" s="230"/>
      <x:c r="U545" s="241"/>
    </x:row>
    <x:row r="546">
      <x:c r="A546" s="267" t="str">
        <x:v>EEG-0513</x:v>
      </x:c>
      <x:c r="B546" s="268" t="str">
        <x:v>03_Consciousness_and_State</x:v>
      </x:c>
      <x:c r="C546" s="268" t="str">
        <x:v>Resting_State</x:v>
      </x:c>
      <x:c r="D546" s="268" t="str">
        <x:v>Rodrigues2017</x:v>
      </x:c>
      <x:c r="E546" s="268"/>
      <x:c r="F546" s="268"/>
      <x:c r="G546" s="268" t="str">
        <x:v>DOWNLOAD_PUBLIC</x:v>
      </x:c>
      <x:c r="H546" s="268" t="str">
        <x:v>https://moabb.neurotechx.com/docs/generated/moabb.datasets.Rodrigues2017.html</x:v>
      </x:c>
      <x:c r="I546" s="268" t="str">
        <x:v>Resting State</x:v>
      </x:c>
      <x:c r="J546" s="268"/>
      <x:c r="K546" s="268"/>
      <x:c r="L546" s="268"/>
      <x:c r="M546" s="268"/>
      <x:c r="N546" s="268" t="str">
        <x:v>Raw</x:v>
      </x:c>
      <x:c r="O546" s="268"/>
      <x:c r="P546" s="268" t="str">
        <x:v>Gregoire Cattan / Pedro Rodrigues, GIPSA-lab</x:v>
      </x:c>
      <x:c r="Q546" s="268" t="str">
        <x:v>03_Consciousness_and_State/Resting_State/Rodrigues2017</x:v>
      </x:c>
      <x:c r="R546" s="268" t="str">
        <x:v>存在公开仓库、官方入口或稳定数据访问号</x:v>
      </x:c>
      <x:c r="S546" s="268"/>
      <x:c r="T546" s="268"/>
      <x:c r="U546" s="269"/>
    </x:row>
    <x:row r="547">
      <x:c r="A547" s="240" t="str">
        <x:v>EEG-0537</x:v>
      </x:c>
      <x:c r="B547" s="230" t="str">
        <x:v>07_General-purpose_and_Multi-paradigm</x:v>
      </x:c>
      <x:c r="C547" s="230" t="str">
        <x:v>Multi-task_EEG</x:v>
      </x:c>
      <x:c r="D547" s="230" t="str">
        <x:v>EEGDash aggregate</x:v>
      </x:c>
      <x:c r="E547" s="230"/>
      <x:c r="F547" s="230"/>
      <x:c r="G547" s="230" t="str">
        <x:v>DOWNLOAD_PUBLIC</x:v>
      </x:c>
      <x:c r="H547" s="230" t="str">
        <x:v>[EEGDash](https://eegdash.org/)</x:v>
      </x:c>
      <x:c r="I547" s="230" t="str">
        <x:v>searchable aggregate for EEG foundation-model pretraining and benchmarking</x:v>
      </x:c>
      <x:c r="J547" s="230" t="str">
        <x:v>未给出</x:v>
      </x:c>
      <x:c r="K547" s="230" t="str">
        <x:v>未给出</x:v>
      </x:c>
      <x:c r="L547" s="230" t="str">
        <x:v>未给出</x:v>
      </x:c>
      <x:c r="M547" s="230" t="str">
        <x:v>BIDS / dataset-specific</x:v>
      </x:c>
      <x:c r="N547" s="230" t="str">
        <x:v>raw</x:v>
      </x:c>
      <x:c r="O547" s="230" t="str">
        <x:v>public index; access depends on underlying dataset license</x:v>
      </x:c>
      <x:c r="P547" s="230" t="str">
        <x:v>未给出</x:v>
      </x:c>
      <x:c r="Q547" s="230" t="str">
        <x:v>07_General-purpose_and_Multi-paradigm/Multi-task_EEG/EEGDash_aggregate</x:v>
      </x:c>
      <x:c r="R547" s="230" t="str">
        <x:v>存在公开仓库、官方入口或稳定数据访问号</x:v>
      </x:c>
      <x:c r="S547" s="230"/>
      <x:c r="T547" s="230"/>
      <x:c r="U547" s="241"/>
    </x:row>
    <x:row r="548">
      <x:c r="A548" s="267" t="str">
        <x:v>EEG-0011</x:v>
      </x:c>
      <x:c r="B548" s="268" t="str">
        <x:v>02_Healthcare_and_Disease</x:v>
      </x:c>
      <x:c r="C548" s="268" t="str">
        <x:v>Epilepsy_and_Abnormalities</x:v>
      </x:c>
      <x:c r="D548" s="268" t="str">
        <x:v>EPILEPSIAE European Epilepsy Database</x:v>
      </x:c>
      <x:c r="E548" s="268"/>
      <x:c r="F548" s="268"/>
      <x:c r="G548" s="268" t="str">
        <x:v>DOWNLOAD_APPLICATION_REQUIRED</x:v>
      </x:c>
      <x:c r="H548" s="268" t="str">
        <x:v>[EPILEPSIAE database](https://www.epilepsiae.eu/)</x:v>
      </x:c>
      <x:c r="I548" s="268" t="str">
        <x:v>seizure detection / prediction; long-term epilepsy monitoring</x:v>
      </x:c>
      <x:c r="J548" s="268" t="str">
        <x:v>未给出</x:v>
      </x:c>
      <x:c r="K548" s="268" t="str">
        <x:v>未给出</x:v>
      </x:c>
      <x:c r="L548" s="268" t="str">
        <x:v>未给出</x:v>
      </x:c>
      <x:c r="M548" s="268" t="str">
        <x:v>未给出</x:v>
      </x:c>
      <x:c r="N548" s="268" t="str">
        <x:v>raw</x:v>
      </x:c>
      <x:c r="O548" s="268" t="str">
        <x:v>request / collaboration likely required</x:v>
      </x:c>
      <x:c r="P548" s="268" t="str">
        <x:v>未给出</x:v>
      </x:c>
      <x:c r="Q548" s="268" t="str">
        <x:v>02_Biometrics_and_Disease/Epilepsy_and_Abnormalities/EPILEPSIAE_European_Epilepsy_Database</x:v>
      </x:c>
      <x:c r="R548" s="268" t="str">
        <x:v>官方数据存在，但需申请、签署协议或获得权限</x:v>
      </x:c>
      <x:c r="S548" s="268"/>
      <x:c r="T548" s="268"/>
      <x:c r="U548" s="269"/>
    </x:row>
    <x:row r="549">
      <x:c r="A549" s="242" t="str">
        <x:v>EEG-0227</x:v>
      </x:c>
      <x:c r="B549" s="233" t="str">
        <x:v>04_Cognition_and_Emotion</x:v>
      </x:c>
      <x:c r="C549" s="233" t="str">
        <x:v>Cognitive_Task_Recognition</x:v>
      </x:c>
      <x:c r="D549" s="233" t="str">
        <x:v>EEGManyPipelines</x:v>
      </x:c>
      <x:c r="E549" s="233"/>
      <x:c r="F549" s="233"/>
      <x:c r="G549" s="233" t="str">
        <x:v>DOWNLOAD_PUBLIC</x:v>
      </x:c>
      <x:c r="H549" s="233" t="str">
        <x:v>[EEGManyPipelines OSF](https://osf.io/yb3pq/)</x:v>
      </x:c>
      <x:c r="I549" s="233" t="str">
        <x:v>long-term memory EEG task; ERP/time-frequency pipeline comparison</x:v>
      </x:c>
      <x:c r="J549" s="233" t="str">
        <x:v>未给出</x:v>
      </x:c>
      <x:c r="K549" s="233" t="str">
        <x:v>未给出</x:v>
      </x:c>
      <x:c r="L549" s="233" t="str">
        <x:v>未给出</x:v>
      </x:c>
      <x:c r="M549" s="233" t="str">
        <x:v>未给出</x:v>
      </x:c>
      <x:c r="N549" s="233" t="str">
        <x:v>raw</x:v>
      </x:c>
      <x:c r="O549" s="233" t="str">
        <x:v>public OSF</x:v>
      </x:c>
      <x:c r="P549" s="233" t="str">
        <x:v>未给出</x:v>
      </x:c>
      <x:c r="Q549" s="233" t="str">
        <x:v>04_Cognition_and_Emotion/Cognitive_Task_Recognition/EEGManyPipelines</x:v>
      </x:c>
      <x:c r="R549" s="233" t="str">
        <x:v>存在公开仓库、官方入口或稳定数据访问号</x:v>
      </x:c>
      <x:c r="S549" s="233"/>
      <x:c r="T549" s="233"/>
      <x:c r="U549" s="243"/>
    </x:row>
    <x:row r="550">
      <x:c r="A550" s="267" t="str">
        <x:v>EEG-0242</x:v>
      </x:c>
      <x:c r="B550" s="268" t="str">
        <x:v>04_Cognition_and_Emotion</x:v>
      </x:c>
      <x:c r="C550" s="268" t="str">
        <x:v>Cognitive_Task_Recognition</x:v>
      </x:c>
      <x:c r="D550" s="268" t="str">
        <x:v>RAM Public Data</x:v>
      </x:c>
      <x:c r="E550" s="268"/>
      <x:c r="F550" s="268"/>
      <x:c r="G550" s="268" t="str">
        <x:v>DOWNLOAD_PUBLIC</x:v>
      </x:c>
      <x:c r="H550" s="268" t="str">
        <x:v>[RAM Public Data](https://memory.psych.upenn.edu/RAM_Public_Data)</x:v>
      </x:c>
      <x:c r="I550" s="268" t="str">
        <x:v>human memory tasks with intracranial EEG</x:v>
      </x:c>
      <x:c r="J550" s="268" t="str">
        <x:v>251</x:v>
      </x:c>
      <x:c r="K550" s="268" t="str">
        <x:v>未给出</x:v>
      </x:c>
      <x:c r="L550" s="268" t="str">
        <x:v>未给出</x:v>
      </x:c>
      <x:c r="M550" s="268" t="str">
        <x:v>未给出</x:v>
      </x:c>
      <x:c r="N550" s="268" t="str">
        <x:v>未给出</x:v>
      </x:c>
      <x:c r="O550" s="268" t="str">
        <x:v>未给出</x:v>
      </x:c>
      <x:c r="P550" s="268" t="str">
        <x:v>未给出</x:v>
      </x:c>
      <x:c r="Q550" s="268" t="str">
        <x:v>04_Cognition_and_Emotion/Cognitive_Task_Recognition/RAM_Public_Data</x:v>
      </x:c>
      <x:c r="R550" s="268" t="str">
        <x:v>存在公开仓库、官方入口或稳定数据访问号</x:v>
      </x:c>
      <x:c r="S550" s="268"/>
      <x:c r="T550" s="268"/>
      <x:c r="U550" s="269"/>
    </x:row>
    <x:row r="551">
      <x:c r="A551" s="240" t="str">
        <x:v>EEG-0247</x:v>
      </x:c>
      <x:c r="B551" s="230" t="str">
        <x:v>04_Cognition_and_Emotion</x:v>
      </x:c>
      <x:c r="C551" s="230" t="str">
        <x:v>Cognitive_Task_Recognition</x:v>
      </x:c>
      <x:c r="D551" s="230" t="str">
        <x:v>Simultaneous scalp EEG and iEEG working-memory dataset</x:v>
      </x:c>
      <x:c r="E551" s="230"/>
      <x:c r="F551" s="230" t="str">
        <x:v>DOI:10.12751/g-node.d76994/</x:v>
      </x:c>
      <x:c r="G551" s="230" t="str">
        <x:v>DOWNLOAD_PUBLIC</x:v>
      </x:c>
      <x:c r="H551" s="230" t="str">
        <x:v>[G-Node scalp+iEEG](https://doi.gin.g-node.org/10.12751/g-node.d76994/)</x:v>
      </x:c>
      <x:c r="I551" s="230" t="str">
        <x:v>working memory; simultaneous scalp EEG and intracranial EEG</x:v>
      </x:c>
      <x:c r="J551" s="230" t="str">
        <x:v>未给出</x:v>
      </x:c>
      <x:c r="K551" s="230" t="str">
        <x:v>未给出</x:v>
      </x:c>
      <x:c r="L551" s="230" t="str">
        <x:v>未给出</x:v>
      </x:c>
      <x:c r="M551" s="230" t="str">
        <x:v>未给出</x:v>
      </x:c>
      <x:c r="N551" s="230" t="str">
        <x:v>未给出</x:v>
      </x:c>
      <x:c r="O551" s="230" t="str">
        <x:v>public G-Node/GIN; citation required</x:v>
      </x:c>
      <x:c r="P551" s="230" t="str">
        <x:v>未给出</x:v>
      </x:c>
      <x:c r="Q551" s="230" t="str">
        <x:v>04_Cognition_and_Emotion/Cognitive_Task_Recognition/Simultaneous_scalp_EEG_and_iEEG_working-memory_dataset</x:v>
      </x:c>
      <x:c r="R551" s="230" t="str">
        <x:v>存在公开仓库、官方入口或稳定数据访问号</x:v>
      </x:c>
      <x:c r="S551" s="230"/>
      <x:c r="T551" s="230"/>
      <x:c r="U551" s="241"/>
    </x:row>
    <x:row r="552">
      <x:c r="A552" s="267" t="str">
        <x:v>EEG-0327</x:v>
      </x:c>
      <x:c r="B552" s="268" t="str">
        <x:v>05_Naturalistic_Stimulus_Decoding</x:v>
      </x:c>
      <x:c r="C552" s="268" t="str">
        <x:v>Visual_Perception</x:v>
      </x:c>
      <x:c r="D552" s="268" t="str">
        <x:v>COGITATE M-EEG Dataset</x:v>
      </x:c>
      <x:c r="E552" s="268"/>
      <x:c r="F552" s="268"/>
      <x:c r="G552" s="268" t="str">
        <x:v>DOWNLOAD_PUBLIC</x:v>
      </x:c>
      <x:c r="H552" s="268" t="str">
        <x:v>[COGITATE data release](https://cogitate-consortium.github.io/cogitate-data/03_cogdataset/)</x:v>
      </x:c>
      <x:c r="I552" s="268" t="str">
        <x:v>conscious visual perception; GNWT vs IIT adversarial collaboration</x:v>
      </x:c>
      <x:c r="J552" s="268" t="str">
        <x:v>100</x:v>
      </x:c>
      <x:c r="K552" s="268" t="str">
        <x:v>未给出</x:v>
      </x:c>
      <x:c r="L552" s="268" t="str">
        <x:v>未给出</x:v>
      </x:c>
      <x:c r="M552" s="268" t="str">
        <x:v>未给出</x:v>
      </x:c>
      <x:c r="N552" s="268" t="str">
        <x:v>未给出</x:v>
      </x:c>
      <x:c r="O552" s="268" t="str">
        <x:v>open-access release; CC BY 4.0 / terms of use</x:v>
      </x:c>
      <x:c r="P552" s="268" t="str">
        <x:v>未给出</x:v>
      </x:c>
      <x:c r="Q552" s="268" t="str">
        <x:v>05_Naturalistic_Stimulus_Decoding/Visual_Perception/COGITATE_M-EEG_Dataset</x:v>
      </x:c>
      <x:c r="R552" s="268" t="str">
        <x:v>存在公开仓库、官方入口或稳定数据访问号</x:v>
      </x:c>
      <x:c r="S552" s="268"/>
      <x:c r="T552" s="268"/>
      <x:c r="U552" s="269"/>
    </x:row>
    <x:row r="553">
      <x:c r="A553" s="240" t="str">
        <x:v>EEG-0549</x:v>
      </x:c>
      <x:c r="B553" s="230" t="str">
        <x:v>07_General-purpose_and_Multi-paradigm</x:v>
      </x:c>
      <x:c r="C553" s="230" t="str">
        <x:v>Multi-task_EEG</x:v>
      </x:c>
      <x:c r="D553" s="230" t="str">
        <x:v>MindBigData</x:v>
      </x:c>
      <x:c r="E553" s="230"/>
      <x:c r="F553" s="230"/>
      <x:c r="G553" s="230" t="str">
        <x:v>DOWNLOAD_PUBLIC</x:v>
      </x:c>
      <x:c r="H553" s="230" t="str">
        <x:v>[MindBigData](https://mindbigdata.com/opendb/)</x:v>
      </x:c>
      <x:c r="I553" s="230" t="str">
        <x:v>digit perception / imagined digit classification</x:v>
      </x:c>
      <x:c r="J553" s="230" t="str">
        <x:v>未给出</x:v>
      </x:c>
      <x:c r="K553" s="230" t="str">
        <x:v>未给出</x:v>
      </x:c>
      <x:c r="L553" s="230" t="str">
        <x:v>未给出</x:v>
      </x:c>
      <x:c r="M553" s="230" t="str">
        <x:v>未给出</x:v>
      </x:c>
      <x:c r="N553" s="230" t="str">
        <x:v>raw</x:v>
      </x:c>
      <x:c r="O553" s="230" t="str">
        <x:v>未给出</x:v>
      </x:c>
      <x:c r="P553" s="230" t="str">
        <x:v>未给出</x:v>
      </x:c>
      <x:c r="Q553" s="230" t="str">
        <x:v>07_General-purpose_and_Multi-paradigm/Multi-task_EEG/MindBigData</x:v>
      </x:c>
      <x:c r="R553" s="230" t="str">
        <x:v>存在公开仓库、官方入口或稳定数据访问号</x:v>
      </x:c>
      <x:c r="S553" s="230"/>
      <x:c r="T553" s="230"/>
      <x:c r="U553" s="241"/>
    </x:row>
    <x:row r="554">
      <x:c r="A554" s="267" t="str">
        <x:v>EEG-0007</x:v>
      </x:c>
      <x:c r="B554" s="268" t="str">
        <x:v>02_Healthcare_and_Disease</x:v>
      </x:c>
      <x:c r="C554" s="268" t="str">
        <x:v>Epilepsy_and_Abnormalities</x:v>
      </x:c>
      <x:c r="D554" s="268" t="str">
        <x:v>BEED</x:v>
      </x:c>
      <x:c r="E554" s="268"/>
      <x:c r="F554" s="268"/>
      <x:c r="G554" s="268" t="str">
        <x:v>DOWNLOAD_PUBLIC</x:v>
      </x:c>
      <x:c r="H554" s="268" t="str">
        <x:v>[BEED GitHub](https://github.com/renan-cunha/BEED)</x:v>
      </x:c>
      <x:c r="I554" s="268" t="str">
        <x:v>epileptic seizure / interictal EEG classification</x:v>
      </x:c>
      <x:c r="J554" s="268" t="str">
        <x:v>未给出</x:v>
      </x:c>
      <x:c r="K554" s="268" t="str">
        <x:v>未给出</x:v>
      </x:c>
      <x:c r="L554" s="268" t="str">
        <x:v>未给出</x:v>
      </x:c>
      <x:c r="M554" s="268" t="str">
        <x:v>未给出</x:v>
      </x:c>
      <x:c r="N554" s="268" t="str">
        <x:v>未给出</x:v>
      </x:c>
      <x:c r="O554" s="268" t="str">
        <x:v>未给出</x:v>
      </x:c>
      <x:c r="P554" s="268" t="str">
        <x:v>未给出</x:v>
      </x:c>
      <x:c r="Q554" s="268" t="str">
        <x:v>02_Biometrics_and_Disease/Epilepsy_and_Abnormalities/BEED</x:v>
      </x:c>
      <x:c r="R554" s="268" t="str">
        <x:v>存在公开仓库、官方入口或稳定数据访问号</x:v>
      </x:c>
      <x:c r="S554" s="268"/>
      <x:c r="T554" s="268"/>
      <x:c r="U554" s="269"/>
    </x:row>
    <x:row r="555">
      <x:c r="A555" s="240" t="str">
        <x:v>EEG-0489</x:v>
      </x:c>
      <x:c r="B555" s="230" t="str">
        <x:v>06_Motor_and_Interaction</x:v>
      </x:c>
      <x:c r="C555" s="230" t="str">
        <x:v>Interaction_and_Control</x:v>
      </x:c>
      <x:c r="D555" s="230" t="str">
        <x:v>NeuBCI Target Retrieval RSVP-EEG Dataset</x:v>
      </x:c>
      <x:c r="E555" s="230"/>
      <x:c r="F555" s="230"/>
      <x:c r="G555" s="230" t="str">
        <x:v>DOWNLOAD_PUBLIC</x:v>
      </x:c>
      <x:c r="H555" s="230" t="str">
        <x:v>[Science Data Bank NeuBCI RSVP-EEG](https://www.scidb.cn/en/detail?dataSetId=fd2f8cddb79a4cbc9ecdaa19c93ff9cd)</x:v>
      </x:c>
      <x:c r="I555" s="230" t="str">
        <x:v>RSVP-based target retrieval / target vs non-target detection</x:v>
      </x:c>
      <x:c r="J555" s="230" t="str">
        <x:v>未给出</x:v>
      </x:c>
      <x:c r="K555" s="230" t="str">
        <x:v>未给出</x:v>
      </x:c>
      <x:c r="L555" s="230" t="str">
        <x:v>未给出</x:v>
      </x:c>
      <x:c r="M555" s="230" t="str">
        <x:v>未给出</x:v>
      </x:c>
      <x:c r="N555" s="230" t="str">
        <x:v>未给出</x:v>
      </x:c>
      <x:c r="O555" s="230" t="str">
        <x:v>public Science Data Bank; license terms on page</x:v>
      </x:c>
      <x:c r="P555" s="230" t="str">
        <x:v>未给出</x:v>
      </x:c>
      <x:c r="Q555" s="230" t="str">
        <x:v>06_Motor_and_Interaction/Interaction_and_Control/NeuBCI_Target_Retrieval_RSVP-EEG_Dataset</x:v>
      </x:c>
      <x:c r="R555" s="230" t="str">
        <x:v>存在公开仓库、官方入口或稳定数据访问号</x:v>
      </x:c>
      <x:c r="S555" s="230"/>
      <x:c r="T555" s="230"/>
      <x:c r="U555" s="241"/>
    </x:row>
    <x:row r="556">
      <x:c r="A556" s="267" t="str">
        <x:v>EEG-0522</x:v>
      </x:c>
      <x:c r="B556" s="268" t="str">
        <x:v>08_Health_and_Population</x:v>
      </x:c>
      <x:c r="C556" s="268" t="str">
        <x:v>Lifespan_and_Normative</x:v>
      </x:c>
      <x:c r="D556" s="268" t="str">
        <x:v>MIPDB</x:v>
      </x:c>
      <x:c r="E556" s="268"/>
      <x:c r="F556" s="268"/>
      <x:c r="G556" s="268" t="str">
        <x:v>DOWNLOAD_PUBLIC</x:v>
      </x:c>
      <x:c r="H556" s="268" t="str">
        <x:v>[NITRC MIPDB](https://fcon_1000.projects.nitrc.org/indi/cmi_healthy_brain_network/MIPDB.html)</x:v>
      </x:c>
      <x:c r="I556" s="268" t="str">
        <x:v>developmental resting/task EEG + MRI / behavior</x:v>
      </x:c>
      <x:c r="J556" s="268" t="str">
        <x:v>未给出</x:v>
      </x:c>
      <x:c r="K556" s="268" t="str">
        <x:v>未给出</x:v>
      </x:c>
      <x:c r="L556" s="268" t="str">
        <x:v>未给出</x:v>
      </x:c>
      <x:c r="M556" s="268" t="str">
        <x:v>未给出</x:v>
      </x:c>
      <x:c r="N556" s="268" t="str">
        <x:v>未给出</x:v>
      </x:c>
      <x:c r="O556" s="268" t="str">
        <x:v>未给出</x:v>
      </x:c>
      <x:c r="P556" s="268" t="str">
        <x:v>未给出</x:v>
      </x:c>
      <x:c r="Q556" s="268" t="str">
        <x:v>02_Biometrics_and_Disease/Development_and_Lifespan/MIPDB</x:v>
      </x:c>
      <x:c r="R556" s="268" t="str">
        <x:v>存在公开仓库、官方入口或稳定数据访问号</x:v>
      </x:c>
      <x:c r="S556" s="268"/>
      <x:c r="T556" s="268"/>
      <x:c r="U556" s="269"/>
    </x:row>
    <x:row r="557">
      <x:c r="A557" s="256" t="str">
        <x:v>EEG-0552</x:v>
      </x:c>
      <x:c r="B557" s="257" t="str">
        <x:v>07_General-purpose_and_Multi-paradigm</x:v>
      </x:c>
      <x:c r="C557" s="257" t="str">
        <x:v>Multi-task_EEG</x:v>
      </x:c>
      <x:c r="D557" s="257" t="str">
        <x:v>Omni-iEEG</x:v>
      </x:c>
      <x:c r="E557" s="257"/>
      <x:c r="F557" s="257"/>
      <x:c r="G557" s="257" t="str">
        <x:v>DOWNLOAD_PUBLIC</x:v>
      </x:c>
      <x:c r="H557" s="257" t="str">
        <x:v>[Omni-iEEG project](https://omni-ieeg.github.io/)</x:v>
      </x:c>
      <x:c r="I557" s="257" t="str">
        <x:v>large-scale iEEG representation learning; multitask clinical/neuroscience decoding</x:v>
      </x:c>
      <x:c r="J557" s="257" t="str">
        <x:v>未给出</x:v>
      </x:c>
      <x:c r="K557" s="257" t="str">
        <x:v>未给出</x:v>
      </x:c>
      <x:c r="L557" s="257" t="str">
        <x:v>未给出</x:v>
      </x:c>
      <x:c r="M557" s="257" t="str">
        <x:v>未给出</x:v>
      </x:c>
      <x:c r="N557" s="257" t="str">
        <x:v>未给出</x:v>
      </x:c>
      <x:c r="O557" s="257" t="str">
        <x:v>未给出</x:v>
      </x:c>
      <x:c r="P557" s="257" t="str">
        <x:v>未给出</x:v>
      </x:c>
      <x:c r="Q557" s="257" t="str">
        <x:v>07_General-purpose_and_Multi-paradigm/Multi-task_EEG/Omni-iEEG</x:v>
      </x:c>
      <x:c r="R557" s="257" t="str">
        <x:v>存在公开仓库、官方入口或稳定数据访问号</x:v>
      </x:c>
      <x:c r="S557" s="257"/>
      <x:c r="T557" s="257"/>
      <x:c r="U557" s="258"/>
    </x:row>
  </x:sheetData>
  <x:pageMargins left="0.7" right="0.7" top="0.75" bottom="0.75" header="0.3" footer="0.3"/>
  <x:tableParts count="1">
    <x:tablePart xmlns:r="http://schemas.openxmlformats.org/officeDocument/2006/relationships" r:id="Rb1cc9c52d47c4b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8" hidden="0" customWidth="1"/>
    <x:col min="4" max="4" width="42" hidden="0" customWidth="1"/>
    <x:col min="5" max="5" width="52" hidden="0" customWidth="1"/>
    <x:col min="6" max="6" width="48" hidden="0" customWidth="1"/>
    <x:col min="7" max="7" width="46" hidden="0" customWidth="1"/>
  </x:cols>
  <x:sheetData>
    <x:row r="1" ht="36" customHeight="1">
      <x:c r="A1" s="23" t="str">
        <x:v>原条目</x:v>
      </x:c>
      <x:c r="B1" s="23" t="str">
        <x:v>合并别名</x:v>
      </x:c>
      <x:c r="C1" s="23" t="str">
        <x:v>处理结果</x:v>
      </x:c>
      <x:c r="D1" s="23" t="str">
        <x:v>稳定标识</x:v>
      </x:c>
      <x:c r="E1" s="23" t="str">
        <x:v>排除原因</x:v>
      </x:c>
      <x:c r="F1" s="23" t="str">
        <x:v>原链接</x:v>
      </x:c>
      <x:c r="G1" s="23" t="str">
        <x:v>任务</x:v>
      </x:c>
    </x:row>
    <x:row r="2" ht="52" customHeight="1">
      <x:c r="A2" s="19" t="str">
        <x:v>Shin 2017 Hybrid EEG-NIRS Dataset</x:v>
      </x:c>
      <x:c r="B2" s="19"/>
      <x:c r="C2" s="19" t="str">
        <x:v>EXCLUDE_CONFLATED_RECORD</x:v>
      </x:c>
      <x:c r="D2" s="19" t="str">
        <x:v>DOI:10.14279/depositonce-5830</x:v>
      </x:c>
      <x:c r="E2" s="19" t="str">
        <x:v>任务描述对应Shin 2018认知数据，但链接/论文对应Shin 2017 MI数据；由两个正确条目替代</x:v>
      </x:c>
      <x:c r="F2" s="19" t="str">
        <x:v>https://doi.org/10.14279/depositonce-5830</x:v>
      </x:c>
      <x:c r="G2" s="19" t="str">
        <x:v>working memory / n-back；discrimination-selection response；word generation；cognitive load vs rest</x:v>
      </x:c>
    </x:row>
    <x:row r="3" ht="52" customHeight="1">
      <x:c r="A3" s="19" t="str">
        <x:v>Clinical</x:v>
      </x:c>
      <x:c r="B3" s="19"/>
      <x:c r="C3" s="19" t="str">
        <x:v>EXCLUDE_NON_DATASET</x:v>
      </x:c>
      <x:c r="D3" s="19"/>
      <x:c r="E3" s="19" t="str">
        <x:v>父级集合、目录、聚合预训练清单或信息不足的泛化条目；不作为独立下载单元</x:v>
      </x:c>
      <x:c r="F3" s="19"/>
      <x:c r="G3" s="19"/>
    </x:row>
    <x:row r="4" ht="52" customHeight="1">
      <x:c r="A4" s="19" t="str">
        <x:v>MOABB catalog</x:v>
      </x:c>
      <x:c r="B4" s="19"/>
      <x:c r="C4" s="19" t="str">
        <x:v>EXCLUDE_NON_DATASET</x:v>
      </x:c>
      <x:c r="D4" s="19"/>
      <x:c r="E4" s="19" t="str">
        <x:v>父级集合、目录、聚合预训练清单或信息不足的泛化条目；不作为独立下载单元</x:v>
      </x:c>
      <x:c r="F4" s="19" t="str">
        <x:v>[MOABB data summary](https://moabb.neurotechx.com/docs/dataset_summary.html)</x:v>
      </x:c>
      <x:c r="G4" s="19" t="str">
        <x:v>MI, P300 / ERP, SSVEP, c-VEP, resting-state 等</x:v>
      </x:c>
    </x:row>
    <x:row r="5" ht="52" customHeight="1">
      <x:c r="A5" s="19" t="str">
        <x:v>MOABB-indexed Motor Datasets</x:v>
      </x:c>
      <x:c r="B5" s="19"/>
      <x:c r="C5" s="19" t="str">
        <x:v>EXCLUDE_NON_DATASET</x:v>
      </x:c>
      <x:c r="D5" s="19"/>
      <x:c r="E5" s="19" t="str">
        <x:v>父级集合、目录、聚合预训练清单或信息不足的泛化条目；不作为独立下载单元</x:v>
      </x:c>
      <x:c r="F5" s="19"/>
      <x:c r="G5" s="19"/>
    </x:row>
    <x:row r="6" ht="52" customHeight="1">
      <x:c r="A6" s="19" t="str">
        <x:v>P300</x:v>
      </x:c>
      <x:c r="B6" s="19"/>
      <x:c r="C6" s="19" t="str">
        <x:v>EXCLUDE_NON_DATASET</x:v>
      </x:c>
      <x:c r="D6" s="19"/>
      <x:c r="E6" s="19" t="str">
        <x:v>父级集合、目录、聚合预训练清单或信息不足的泛化条目；不作为独立下载单元</x:v>
      </x:c>
      <x:c r="F6" s="19"/>
      <x:c r="G6" s="19"/>
    </x:row>
    <x:row r="7" ht="52" customHeight="1">
      <x:c r="A7" s="19" t="str">
        <x:v>PhysioNet</x:v>
      </x:c>
      <x:c r="B7" s="19"/>
      <x:c r="C7" s="19" t="str">
        <x:v>EXCLUDE_NON_DATASET</x:v>
      </x:c>
      <x:c r="D7" s="19"/>
      <x:c r="E7" s="19" t="str">
        <x:v>父级集合、目录、聚合预训练清单或信息不足的泛化条目；不作为独立下载单元</x:v>
      </x:c>
      <x:c r="F7" s="19"/>
      <x:c r="G7" s="19" t="str">
        <x:v>Sleep staging (5-class sleep stage classification following AASM standards; original challenge targeted arousal region classification)</x:v>
      </x:c>
    </x:row>
    <x:row r="8" ht="52" customHeight="1">
      <x:c r="A8" s="19" t="str">
        <x:v>REVE pretraining corpus (aggregate: 92 EEG datasets)</x:v>
      </x:c>
      <x:c r="B8" s="19"/>
      <x:c r="C8" s="19" t="str">
        <x:v>EXCLUDE_NON_DATASET</x:v>
      </x:c>
      <x:c r="D8" s="19"/>
      <x:c r="E8" s="19" t="str">
        <x:v>父级集合、目录、聚合预训练清单或信息不足的泛化条目；不作为独立下载单元</x:v>
      </x:c>
      <x:c r="F8" s="19"/>
      <x:c r="G8" s="19" t="str">
        <x:v>self-supervised masked-autoencoder pretraining (no labels)</x:v>
      </x:c>
    </x:row>
    <x:row r="9" ht="52" customHeight="1">
      <x:c r="A9" s="19" t="str">
        <x:v>SEED Series</x:v>
      </x:c>
      <x:c r="B9" s="19"/>
      <x:c r="C9" s="19" t="str">
        <x:v>EXCLUDE_NON_DATASET</x:v>
      </x:c>
      <x:c r="D9" s="19"/>
      <x:c r="E9" s="19" t="str">
        <x:v>父级集合、目录、聚合预训练清单或信息不足的泛化条目；不作为独立下载单元</x:v>
      </x:c>
      <x:c r="F9" s="19" t="str">
        <x:v>[BCMI SEED download/apply](https://bcmi.sjtu.edu.cn/home/seed/downloads.html)</x:v>
      </x:c>
      <x:c r="G9" s="19" t="str">
        <x:v>SEED: 3-class positive / neutral / negative；SEED-IV: 4-class happy / sad / fear / neutral；SEED-V: 5-class happy / fear / sad / disgust / neutral；SEED-GER/FRA: 3-class positive / neutral / negative</x:v>
      </x:c>
    </x:row>
    <x:row r="10" ht="52" customHeight="1">
      <x:c r="A10" s="19" t="str">
        <x:v>Sleep</x:v>
      </x:c>
      <x:c r="B10" s="19"/>
      <x:c r="C10" s="19" t="str">
        <x:v>EXCLUDE_NON_DATASET</x:v>
      </x:c>
      <x:c r="D10" s="19"/>
      <x:c r="E10" s="19" t="str">
        <x:v>父级集合、目录、聚合预训练清单或信息不足的泛化条目；不作为独立下载单元</x:v>
      </x:c>
      <x:c r="F10" s="19"/>
      <x:c r="G10" s="19"/>
    </x:row>
    <x:row r="11" ht="52" customHeight="1">
      <x:c r="A11" s="19" t="str">
        <x:v>Temple University</x:v>
      </x:c>
      <x:c r="B11" s="19"/>
      <x:c r="C11" s="19" t="str">
        <x:v>EXCLUDE_NON_DATASET</x:v>
      </x:c>
      <x:c r="D11" s="19"/>
      <x:c r="E11" s="19" t="str">
        <x:v>父级集合、目录、聚合预训练清单或信息不足的泛化条目；不作为独立下载单元</x:v>
      </x:c>
      <x:c r="F11" s="19"/>
      <x:c r="G11" s="19"/>
    </x:row>
    <x:row r="12" ht="52" customHeight="1">
      <x:c r="A12" s="19" t="str">
        <x:v>Tsinghua BCI Series</x:v>
      </x:c>
      <x:c r="B12" s="19"/>
      <x:c r="C12" s="19" t="str">
        <x:v>EXCLUDE_NON_DATASET</x:v>
      </x:c>
      <x:c r="D12" s="19"/>
      <x:c r="E12" s="19" t="str">
        <x:v>父级集合、目录、聚合预训练清单或信息不足的泛化条目；不作为独立下载单元</x:v>
      </x:c>
      <x:c r="F12" s="19"/>
      <x:c r="G12" s="19"/>
    </x:row>
    <x:row r="13" ht="52" customHeight="1">
      <x:c r="A13" s="19" t="str">
        <x:v>Absence-16</x:v>
      </x:c>
      <x:c r="B13" s="19"/>
      <x:c r="C13" s="19" t="str">
        <x:v>EXCLUDE_NOT_PUBLIC</x:v>
      </x:c>
      <x:c r="D13" s="19"/>
      <x:c r="E13" s="19" t="str">
        <x:v>明确未公开或私有，不能列入可下载清单</x:v>
      </x:c>
      <x:c r="F13" s="19" t="str">
        <x:v>not publicly released</x:v>
      </x:c>
      <x:c r="G13" s="19" t="str">
        <x:v>absence seizure vs normal vs IED</x:v>
      </x:c>
    </x:row>
    <x:row r="14" ht="52" customHeight="1">
      <x:c r="A14" s="19" t="str">
        <x:v>Atonic-5</x:v>
      </x:c>
      <x:c r="B14" s="19"/>
      <x:c r="C14" s="19" t="str">
        <x:v>EXCLUDE_NOT_PUBLIC</x:v>
      </x:c>
      <x:c r="D14" s="19"/>
      <x:c r="E14" s="19" t="str">
        <x:v>明确未公开或私有，不能列入可下载清单</x:v>
      </x:c>
      <x:c r="F14" s="19" t="str">
        <x:v>not publicly released</x:v>
      </x:c>
      <x:c r="G14" s="19" t="str">
        <x:v>atonic seizure vs normal vs IED</x:v>
      </x:c>
    </x:row>
    <x:row r="15" ht="52" customHeight="1">
      <x:c r="A15" s="19" t="str">
        <x:v>Clonic-6</x:v>
      </x:c>
      <x:c r="B15" s="19"/>
      <x:c r="C15" s="19" t="str">
        <x:v>EXCLUDE_NOT_PUBLIC</x:v>
      </x:c>
      <x:c r="D15" s="19"/>
      <x:c r="E15" s="19" t="str">
        <x:v>明确未公开或私有，不能列入可下载清单</x:v>
      </x:c>
      <x:c r="F15" s="19" t="str">
        <x:v>not publicly released</x:v>
      </x:c>
      <x:c r="G15" s="19" t="str">
        <x:v>clonic seizure vs normal vs IED</x:v>
      </x:c>
    </x:row>
    <x:row r="16" ht="52" customHeight="1">
      <x:c r="A16" s="19" t="str">
        <x:v>DRE-Clinical</x:v>
      </x:c>
      <x:c r="B16" s="19"/>
      <x:c r="C16" s="19" t="str">
        <x:v>EXCLUDE_NOT_PUBLIC</x:v>
      </x:c>
      <x:c r="D16" s="19"/>
      <x:c r="E16" s="19" t="str">
        <x:v>明确未公开或私有，不能列入可下载清单</x:v>
      </x:c>
      <x:c r="F16" s="19" t="str">
        <x:v>not publicly released</x:v>
      </x:c>
      <x:c r="G16" s="19" t="str">
        <x:v>iEEG seizure detection / SOZ localization</x:v>
      </x:c>
    </x:row>
    <x:row r="17" ht="52" customHeight="1">
      <x:c r="A17" s="19" t="str">
        <x:v>IIIC Seizure</x:v>
      </x:c>
      <x:c r="B17" s="19"/>
      <x:c r="C17" s="19" t="str">
        <x:v>EXCLUDE_NOT_PUBLIC</x:v>
      </x:c>
      <x:c r="D17" s="19"/>
      <x:c r="E17" s="19" t="str">
        <x:v>明确未公开或私有，不能列入可下载清单</x:v>
      </x:c>
      <x:c r="F17" s="19" t="str">
        <x:v>[BDSP SPaRCNet](https://bdsp.io/content/bdsp-sparcnet/)</x:v>
      </x:c>
      <x:c r="G17" s="19" t="str">
        <x:v>ICU EEG seizure / periodic and rhythmic pattern classification</x:v>
      </x:c>
    </x:row>
    <x:row r="18" ht="52" customHeight="1">
      <x:c r="A18" s="19" t="str">
        <x:v>Attention</x:v>
      </x:c>
      <x:c r="B18" s="19"/>
      <x:c r="C18" s="19" t="str">
        <x:v>EXCLUDE_NO_ACTIONABLE_SOURCE</x:v>
      </x:c>
      <x:c r="D18" s="19"/>
      <x:c r="E18" s="19" t="str">
        <x:v>未找到可执行的官方仓库、稳定编号或公开下载入口；不纳入最终下载清单</x:v>
      </x:c>
      <x:c r="F18" s="19" t="str">
        <x:v>未给出</x:v>
      </x:c>
      <x:c r="G18" s="19" t="str">
        <x:v>attention-related EEG pretraining source reported by SAMBA</x:v>
      </x:c>
    </x:row>
    <x:row r="19" ht="52" customHeight="1">
      <x:c r="A19" s="19" t="str">
        <x:v>AV-GC-AAD (Audiovisual Gaze-Controlled AAD dataset)</x:v>
      </x:c>
      <x:c r="B19" s="19"/>
      <x:c r="C19" s="19" t="str">
        <x:v>EXCLUDE_NO_ACTIONABLE_SOURCE</x:v>
      </x:c>
      <x:c r="D19" s="19"/>
      <x:c r="E19" s="19" t="str">
        <x:v>未找到可执行的官方仓库、稳定编号或公开下载入口；不纳入最终下载清单</x:v>
      </x:c>
      <x:c r="F19" s="19"/>
      <x:c r="G19" s="19" t="str">
        <x:v>Auditory attention detection (AAD) under audio-visual (multi-stimuli) conditions: binary classification of attended talker (left/right, +/-90 deg) in a two-talker scenario with gaze-controlled visual manipulation</x:v>
      </x:c>
    </x:row>
    <x:row r="20" ht="52" customHeight="1">
      <x:c r="A20" s="19" t="str">
        <x:v>BCI Challenge @ NER 2015 (Inria)</x:v>
      </x:c>
      <x:c r="B20" s="19"/>
      <x:c r="C20" s="19" t="str">
        <x:v>EXCLUDE_NO_ACTIONABLE_SOURCE</x:v>
      </x:c>
      <x:c r="D20" s="19"/>
      <x:c r="E20" s="19" t="str">
        <x:v>未找到可执行的官方仓库、稳定编号或公开下载入口；不纳入最终下载清单</x:v>
      </x:c>
      <x:c r="F20" s="19"/>
      <x:c r="G20" s="19" t="str">
        <x:v>Error-Related Potential (ErrP) detection during P300 spelling</x:v>
      </x:c>
    </x:row>
    <x:row r="21" ht="52" customHeight="1">
      <x:c r="A21" s="19" t="str">
        <x:v>BCIC 2020-T1</x:v>
      </x:c>
      <x:c r="B21" s="19"/>
      <x:c r="C21" s="19" t="str">
        <x:v>EXCLUDE_NO_ACTIONABLE_SOURCE</x:v>
      </x:c>
      <x:c r="D21" s="19"/>
      <x:c r="E21" s="19" t="str">
        <x:v>未找到可执行的官方仓库、稳定编号或公开下载入口；不纳入最终下载清单</x:v>
      </x:c>
      <x:c r="F21" s="19"/>
      <x:c r="G21" s="19" t="str">
        <x:v>Hand motor imagery, 2-class (left hand vs right hand); zero-shot unseen test track [excluded from training]</x:v>
      </x:c>
    </x:row>
    <x:row r="22" ht="52" customHeight="1">
      <x:c r="A22" s="19" t="str">
        <x:v>BEIRUT</x:v>
      </x:c>
      <x:c r="B22" s="19"/>
      <x:c r="C22" s="19" t="str">
        <x:v>EXCLUDE_NO_ACTIONABLE_SOURCE</x:v>
      </x:c>
      <x:c r="D22" s="19" t="str">
        <x:v>DOI:10.17632/5pc2j46cbc.1</x:v>
      </x:c>
      <x:c r="E22" s="19" t="str">
        <x:v>未找到可执行的官方仓库、稳定编号或公开下载入口；不纳入最终下载清单</x:v>
      </x:c>
      <x:c r="F22" s="19"/>
      <x:c r="G22" s="19" t="str">
        <x:v>seizure prediction (subject-agnostic / cross-subject); downstream evaluation</x:v>
      </x:c>
    </x:row>
    <x:row r="23" ht="52" customHeight="1">
      <x:c r="A23" s="19" t="str">
        <x:v>Binocular Dual-Frequency SSVEP Dataset (Yike et al., 2024)</x:v>
      </x:c>
      <x:c r="B23" s="19"/>
      <x:c r="C23" s="19" t="str">
        <x:v>EXCLUDE_NO_ACTIONABLE_SOURCE</x:v>
      </x:c>
      <x:c r="D23" s="19"/>
      <x:c r="E23" s="19" t="str">
        <x:v>未找到可执行的官方仓库、稳定编号或公开下载入口；不纳入最终下载清单</x:v>
      </x:c>
      <x:c r="F23" s="19"/>
      <x:c r="G23" s="19" t="str">
        <x:v>40-class binocular SSVEP target recognition</x:v>
      </x:c>
    </x:row>
    <x:row r="24" ht="52" customHeight="1">
      <x:c r="A24" s="19" t="str">
        <x:v>BNCI</x:v>
      </x:c>
      <x:c r="B24" s="19"/>
      <x:c r="C24" s="19" t="str">
        <x:v>EXCLUDE_NO_ACTIONABLE_SOURCE</x:v>
      </x:c>
      <x:c r="D24" s="19"/>
      <x:c r="E24" s="19" t="str">
        <x:v>未找到可执行的官方仓库、稳定编号或公开下载入口；不纳入最终下载清单</x:v>
      </x:c>
      <x:c r="F24" s="19"/>
      <x:c r="G24" s="19"/>
    </x:row>
    <x:row r="25" ht="52" customHeight="1">
      <x:c r="A25" s="19" t="str">
        <x:v>Bonn EEG dataset (University of Bonn epilepsy EEG)</x:v>
      </x:c>
      <x:c r="B25" s="19"/>
      <x:c r="C25" s="19" t="str">
        <x:v>EXCLUDE_NO_ACTIONABLE_SOURCE</x:v>
      </x:c>
      <x:c r="D25" s="19"/>
      <x:c r="E25" s="19" t="str">
        <x:v>未找到可执行的官方仓库、稳定编号或公开下载入口；不纳入最终下载清单</x:v>
      </x:c>
      <x:c r="F25" s="19"/>
      <x:c r="G25" s="19" t="str">
        <x:v>EEG compression (reconstruction fidelity) only</x:v>
      </x:c>
    </x:row>
    <x:row r="26" ht="52" customHeight="1">
      <x:c r="A26" s="19" t="str">
        <x:v>Brennan2018</x:v>
      </x:c>
      <x:c r="B26" s="19"/>
      <x:c r="C26" s="19" t="str">
        <x:v>EXCLUDE_NO_ACTIONABLE_SOURCE</x:v>
      </x:c>
      <x:c r="D26" s="19"/>
      <x:c r="E26" s="19" t="str">
        <x:v>未找到可执行的官方仓库、稳定编号或公开下载入口；不纳入最终下载清单</x:v>
      </x:c>
      <x:c r="F26" s="19"/>
      <x:c r="G26" s="19" t="str">
        <x:v>Naturalistic story listening; neural-acoustic alignment (Stage 2 multimodal alignment)</x:v>
      </x:c>
    </x:row>
    <x:row r="27" ht="52" customHeight="1">
      <x:c r="A27" s="19" t="str">
        <x:v>Brennan2019</x:v>
      </x:c>
      <x:c r="B27" s="19"/>
      <x:c r="C27" s="19" t="str">
        <x:v>EXCLUDE_NO_ACTIONABLE_SOURCE</x:v>
      </x:c>
      <x:c r="D27" s="19"/>
      <x:c r="E27" s="19" t="str">
        <x:v>未找到可执行的官方仓库、稳定编号或公开下载入口；不纳入最终下载清单</x:v>
      </x:c>
      <x:c r="F27" s="19"/>
      <x:c r="G27" s="19" t="str">
        <x:v>Naturalistic speech-listening EEG (comprehension)</x:v>
      </x:c>
    </x:row>
    <x:row r="28" ht="52" customHeight="1">
      <x:c r="A28" s="19" t="str">
        <x:v>Buckwalter (2021)</x:v>
      </x:c>
      <x:c r="B28" s="19"/>
      <x:c r="C28" s="19" t="str">
        <x:v>EXCLUDE_NO_ACTIONABLE_SOURCE</x:v>
      </x:c>
      <x:c r="D28" s="19"/>
      <x:c r="E28" s="19" t="str">
        <x:v>未找到可执行的官方仓库、稳定编号或公开下载入口；不纳入最终下载清单</x:v>
      </x:c>
      <x:c r="F28" s="19" t="str">
        <x:v>isip.piconepress.com/projects/nedc/html/tuh_eeg/ (rsync path: data/tuh_eeg/tuh_eeg_artifact/)</x:v>
      </x:c>
      <x:c r="G28" s="19" t="str">
        <x:v>Artifact</x:v>
      </x:c>
    </x:row>
    <x:row r="29" ht="52" customHeight="1">
      <x:c r="A29" s="19" t="str">
        <x:v>CBVEP100 (Castillos et al., 2023)</x:v>
      </x:c>
      <x:c r="B29" s="19"/>
      <x:c r="C29" s="19" t="str">
        <x:v>EXCLUDE_NO_ACTIONABLE_SOURCE</x:v>
      </x:c>
      <x:c r="D29" s="19"/>
      <x:c r="E29" s="19" t="str">
        <x:v>未找到可执行的官方仓库、稳定编号或公开下载入口；不纳入最终下载清单</x:v>
      </x:c>
      <x:c r="F29" s="19"/>
      <x:c r="G29" s="19" t="str">
        <x:v>4-class burst-VEP / c-VEP decoding, 100% (full) stimulus amplitude condition</x:v>
      </x:c>
    </x:row>
    <x:row r="30" ht="52" customHeight="1">
      <x:c r="A30" s="19" t="str">
        <x:v>CBVEP40 (Castillos et al., 2023)</x:v>
      </x:c>
      <x:c r="B30" s="19"/>
      <x:c r="C30" s="19" t="str">
        <x:v>EXCLUDE_NO_ACTIONABLE_SOURCE</x:v>
      </x:c>
      <x:c r="D30" s="19"/>
      <x:c r="E30" s="19" t="str">
        <x:v>未找到可执行的官方仓库、稳定编号或公开下载入口；不纳入最终下载清单</x:v>
      </x:c>
      <x:c r="F30" s="19"/>
      <x:c r="G30" s="19" t="str">
        <x:v>4-class burst-VEP / c-VEP decoding, 40% (reduced) stimulus amplitude condition</x:v>
      </x:c>
    </x:row>
    <x:row r="31" ht="52" customHeight="1">
      <x:c r="A31" s="19" t="str">
        <x:v>CL-Drive</x:v>
      </x:c>
      <x:c r="B31" s="19"/>
      <x:c r="C31" s="19" t="str">
        <x:v>EXCLUDE_NO_ACTIONABLE_SOURCE</x:v>
      </x:c>
      <x:c r="D31" s="19"/>
      <x:c r="E31" s="19" t="str">
        <x:v>未找到可执行的官方仓库、稳定编号或公开下载入口；不纳入最终下载清单</x:v>
      </x:c>
      <x:c r="F31" s="19"/>
      <x:c r="G31" s="19" t="str">
        <x:v>Cognitive load (CL) prediction (binary: low vs high) in driving; multimodal (EEG, ECG, EDA, gaze)</x:v>
      </x:c>
    </x:row>
    <x:row r="32" ht="52" customHeight="1">
      <x:c r="A32" s="19" t="str">
        <x:v>CNBPM</x:v>
      </x:c>
      <x:c r="B32" s="19"/>
      <x:c r="C32" s="19" t="str">
        <x:v>EXCLUDE_NO_ACTIONABLE_SOURCE</x:v>
      </x:c>
      <x:c r="D32" s="19"/>
      <x:c r="E32" s="19" t="str">
        <x:v>未找到可执行的官方仓库、稳定编号或公开下载入口；不纳入最终下载清单</x:v>
      </x:c>
      <x:c r="F32" s="19" t="str">
        <x:v>未给出</x:v>
      </x:c>
      <x:c r="G32" s="19" t="str">
        <x:v>AD / MCI / healthy control classification</x:v>
      </x:c>
    </x:row>
    <x:row r="33" ht="52" customHeight="1">
      <x:c r="A33" s="19" t="str">
        <x:v>Cog-Expo</x:v>
      </x:c>
      <x:c r="B33" s="19"/>
      <x:c r="C33" s="19" t="str">
        <x:v>EXCLUDE_NO_ACTIONABLE_SOURCE</x:v>
      </x:c>
      <x:c r="D33" s="19"/>
      <x:c r="E33" s="19" t="str">
        <x:v>未找到可执行的官方仓库、稳定编号或公开下载入口；不纳入最终下载清单</x:v>
      </x:c>
      <x:c r="F33" s="19"/>
      <x:c r="G33" s="19" t="str">
        <x:v>EEG recording of human cognitive responses to multi-exposure image stimuli (under/normal/over exposure), for cognition-aware multi-exposure fusion</x:v>
      </x:c>
    </x:row>
    <x:row r="34" ht="52" customHeight="1">
      <x:c r="A34" s="19" t="str">
        <x:v>Cognision</x:v>
      </x:c>
      <x:c r="B34" s="19"/>
      <x:c r="C34" s="19" t="str">
        <x:v>EXCLUDE_NO_ACTIONABLE_SOURCE</x:v>
      </x:c>
      <x:c r="D34" s="19"/>
      <x:c r="E34" s="19" t="str">
        <x:v>未找到可执行的官方仓库、稳定编号或公开下载入口；不纳入最终下载清单</x:v>
      </x:c>
      <x:c r="F34" s="19" t="str">
        <x:v>未给出</x:v>
      </x:c>
      <x:c r="G34" s="19" t="str">
        <x:v>clinical cognitive EEG; LEAD downstream source</x:v>
      </x:c>
    </x:row>
    <x:row r="35" ht="52" customHeight="1">
      <x:c r="A35" s="19" t="str">
        <x:v>Cognition</x:v>
      </x:c>
      <x:c r="B35" s="19"/>
      <x:c r="C35" s="19" t="str">
        <x:v>EXCLUDE_NO_ACTIONABLE_SOURCE</x:v>
      </x:c>
      <x:c r="D35" s="19"/>
      <x:c r="E35" s="19" t="str">
        <x:v>未找到可执行的官方仓库、稳定编号或公开下载入口；不纳入最终下载清单</x:v>
      </x:c>
      <x:c r="F35" s="19"/>
      <x:c r="G35" s="19"/>
    </x:row>
    <x:row r="36" ht="52" customHeight="1">
      <x:c r="A36" s="19" t="str">
        <x:v>Crowdsourced</x:v>
      </x:c>
      <x:c r="B36" s="19"/>
      <x:c r="C36" s="19" t="str">
        <x:v>EXCLUDE_NO_ACTIONABLE_SOURCE</x:v>
      </x:c>
      <x:c r="D36" s="19"/>
      <x:c r="E36" s="19" t="str">
        <x:v>未找到可执行的官方仓库、稳定编号或公开下载入口；不纳入最终下载清单</x:v>
      </x:c>
      <x:c r="F36" s="19" t="str">
        <x:v>未给出</x:v>
      </x:c>
      <x:c r="G36" s="19" t="str">
        <x:v>crowdsourced EEG source reported by EEG-X/SAMBA</x:v>
      </x:c>
    </x:row>
    <x:row r="37" ht="52" customHeight="1">
      <x:c r="A37" s="19" t="str">
        <x:v>DEAP-valence</x:v>
      </x:c>
      <x:c r="B37" s="19"/>
      <x:c r="C37" s="19" t="str">
        <x:v>EXCLUDE_NO_ACTIONABLE_SOURCE</x:v>
      </x:c>
      <x:c r="D37" s="19"/>
      <x:c r="E37" s="19" t="str">
        <x:v>未找到可执行的官方仓库、稳定编号或公开下载入口；不纳入最终下载清单</x:v>
      </x:c>
      <x:c r="F37" s="19" t="str">
        <x:v>Queen Mary University of London, eecs.qmul.ac.uk/mmv/datasets/deap/ (requires signed EULA upload via dataset request form)</x:v>
      </x:c>
      <x:c r="G37" s="19" t="str">
        <x:v>High/low valence classification (2 classes)</x:v>
      </x:c>
    </x:row>
    <x:row r="38" ht="52" customHeight="1">
      <x:c r="A38" s="19" t="str">
        <x:v>DTU (Technical University of Denmark auditory attention EEG dataset)</x:v>
      </x:c>
      <x:c r="B38" s="19"/>
      <x:c r="C38" s="19" t="str">
        <x:v>EXCLUDE_NO_ACTIONABLE_SOURCE</x:v>
      </x:c>
      <x:c r="D38" s="19"/>
      <x:c r="E38" s="19" t="str">
        <x:v>未找到可执行的官方仓库、稳定编号或公开下载入口；不纳入最终下载清单</x:v>
      </x:c>
      <x:c r="F38" s="19"/>
      <x:c r="G38" s="19" t="str">
        <x:v>Auditory attention detection (AAD) / auditory spatial attention decoding: identify the attended speaker of two simultaneous speakers from EEG</x:v>
      </x:c>
    </x:row>
    <x:row r="39" ht="52" customHeight="1">
      <x:c r="A39" s="19" t="str">
        <x:v>EAV</x:v>
      </x:c>
      <x:c r="B39" s="19"/>
      <x:c r="C39" s="19" t="str">
        <x:v>EXCLUDE_NO_ACTIONABLE_SOURCE</x:v>
      </x:c>
      <x:c r="D39" s="19"/>
      <x:c r="E39" s="19" t="str">
        <x:v>未找到可执行的官方仓库、稳定编号或公开下载入口；不纳入最终下载清单</x:v>
      </x:c>
      <x:c r="F39" s="19"/>
      <x:c r="G39" s="19" t="str">
        <x:v>Multimodal emotion recognition (5-class: neutral, anger, happiness, sadness, calmness)</x:v>
      </x:c>
    </x:row>
    <x:row r="40" ht="52" customHeight="1">
      <x:c r="A40" s="19" t="str">
        <x:v>EEG-EMG-Fusion (Multimodal signal dataset for 11 intuitive movement tasks from single upper extremity during multiple recording sessions; Jeong et al. 2020)</x:v>
      </x:c>
      <x:c r="B40" s="19"/>
      <x:c r="C40" s="19" t="str">
        <x:v>EXCLUDE_NO_ACTIONABLE_SOURCE</x:v>
      </x:c>
      <x:c r="D40" s="19"/>
      <x:c r="E40" s="19" t="str">
        <x:v>未找到可执行的官方仓库、稳定编号或公开下载入口；不纳入最终下载清单</x:v>
      </x:c>
      <x:c r="F40" s="19"/>
      <x:c r="G40" s="19" t="str">
        <x:v>Concurrent EEG-EMG motor decoding: upper-extremity movement classification (3 main movements arm-reaching / hand-grasping / wrist-twisting; 11 sub-movements) and subject identification (25 subjects); cortico-muscular dependence estimation</x:v>
      </x:c>
    </x:row>
    <x:row r="41" ht="52" customHeight="1">
      <x:c r="A41" s="19" t="str">
        <x:v>EEG-Hallucination dataset (self-collected, MLLM hallucination verification)</x:v>
      </x:c>
      <x:c r="B41" s="19"/>
      <x:c r="C41" s="19" t="str">
        <x:v>EXCLUDE_NO_ACTIONABLE_SOURCE</x:v>
      </x:c>
      <x:c r="D41" s="19"/>
      <x:c r="E41" s="19" t="str">
        <x:v>未找到可执行的官方仓库、稳定编号或公开下载入口；不纳入最终下载清单</x:v>
      </x:c>
      <x:c r="F41" s="19"/>
      <x:c r="G41" s="19" t="str">
        <x:v>ERP analysis and word/sentence-level classification of hallucinated vs. non-hallucinated MLLM-generated content from EEG during a verification task</x:v>
      </x:c>
    </x:row>
    <x:row r="42" ht="52" customHeight="1">
      <x:c r="A42" s="19" t="str">
        <x:v>EEGCVPR40 (Spampinato</x:v>
      </x:c>
      <x:c r="B42" s="19"/>
      <x:c r="C42" s="19" t="str">
        <x:v>EXCLUDE_NO_ACTIONABLE_SOURCE</x:v>
      </x:c>
      <x:c r="D42" s="19"/>
      <x:c r="E42" s="19" t="str">
        <x:v>未找到可执行的官方仓库、稳定编号或公开下载入口；不纳入最终下载清单</x:v>
      </x:c>
      <x:c r="F42" s="19"/>
      <x:c r="G42" s="19" t="str">
        <x:v>EEG-based visual classification / retrieval (40-category ImageNet subset)</x:v>
      </x:c>
    </x:row>
    <x:row r="43" ht="52" customHeight="1">
      <x:c r="A43" s="19" t="str">
        <x:v>Emotion</x:v>
      </x:c>
      <x:c r="B43" s="19"/>
      <x:c r="C43" s="19" t="str">
        <x:v>EXCLUDE_NO_ACTIONABLE_SOURCE</x:v>
      </x:c>
      <x:c r="D43" s="19"/>
      <x:c r="E43" s="19" t="str">
        <x:v>未找到可执行的官方仓库、稳定编号或公开下载入口；不纳入最终下载清单</x:v>
      </x:c>
      <x:c r="F43" s="19"/>
      <x:c r="G43" s="19"/>
    </x:row>
    <x:row r="44" ht="52" customHeight="1">
      <x:c r="A44" s="19" t="str">
        <x:v>Error-Related EEG Dataset (Kueper et al., 2024) [ERN]</x:v>
      </x:c>
      <x:c r="B44" s="19"/>
      <x:c r="C44" s="19" t="str">
        <x:v>EXCLUDE_NO_ACTIONABLE_SOURCE</x:v>
      </x:c>
      <x:c r="D44" s="19"/>
      <x:c r="E44" s="19" t="str">
        <x:v>未找到可执行的官方仓库、稳定编号或公开下载入口；不纳入最终下载清单</x:v>
      </x:c>
      <x:c r="F44" s="19"/>
      <x:c r="G44" s="19" t="str">
        <x:v>2-class error-related negativity / ErrP classification (error vs correct movement)</x:v>
      </x:c>
    </x:row>
    <x:row r="45" ht="52" customHeight="1">
      <x:c r="A45" s="19" t="str">
        <x:v>ESAA (EEG-Speech Auditory Attention Detection database)</x:v>
      </x:c>
      <x:c r="B45" s="19"/>
      <x:c r="C45" s="19" t="str">
        <x:v>EXCLUDE_NO_ACTIONABLE_SOURCE</x:v>
      </x:c>
      <x:c r="D45" s="19"/>
      <x:c r="E45" s="19" t="str">
        <x:v>未找到可执行的官方仓库、稳定编号或公开下载入口；不纳入最终下载清单</x:v>
      </x:c>
      <x:c r="F45" s="19"/>
      <x:c r="G45" s="19" t="str">
        <x:v>Speech auditory attention decoding (Stage 3 downstream)</x:v>
      </x:c>
    </x:row>
    <x:row r="46" ht="52" customHeight="1">
      <x:c r="A46" s="19" t="str">
        <x:v>FoG</x:v>
      </x:c>
      <x:c r="B46" s="19"/>
      <x:c r="C46" s="19" t="str">
        <x:v>EXCLUDE_NO_ACTIONABLE_SOURCE</x:v>
      </x:c>
      <x:c r="D46" s="19"/>
      <x:c r="E46" s="19" t="str">
        <x:v>未找到可执行的官方仓库、稳定编号或公开下载入口；不纳入最终下载清单</x:v>
      </x:c>
      <x:c r="F46" s="19" t="str">
        <x:v>未给出</x:v>
      </x:c>
      <x:c r="G46" s="19" t="str">
        <x:v>freezing-of-gait related clinical decoding; EEG/EOG reported by Brant-X</x:v>
      </x:c>
    </x:row>
    <x:row r="47" ht="52" customHeight="1">
      <x:c r="A47" s="19" t="str">
        <x:v>Go-Nogo</x:v>
      </x:c>
      <x:c r="B47" s="19"/>
      <x:c r="C47" s="19" t="str">
        <x:v>EXCLUDE_NO_ACTIONABLE_SOURCE</x:v>
      </x:c>
      <x:c r="D47" s="19"/>
      <x:c r="E47" s="19" t="str">
        <x:v>未找到可执行的官方仓库、稳定编号或公开下载入口；不纳入最终下载清单</x:v>
      </x:c>
      <x:c r="F47" s="19"/>
      <x:c r="G47" s="19" t="str">
        <x:v>Rapid visual go/no-go categorization and recognition task (animal categorization: 50 targets vs 50 non-targets per series; and recognition of a single repeated photograph); pretraining</x:v>
      </x:c>
    </x:row>
    <x:row r="48" ht="52" customHeight="1">
      <x:c r="A48" s="19" t="str">
        <x:v>Harati (2015)</x:v>
      </x:c>
      <x:c r="B48" s="19"/>
      <x:c r="C48" s="19" t="str">
        <x:v>EXCLUDE_NO_ACTIONABLE_SOURCE</x:v>
      </x:c>
      <x:c r="D48" s="19"/>
      <x:c r="E48" s="19" t="str">
        <x:v>未找到可执行的官方仓库、稳定编号或公开下载入口；不纳入最终下载清单</x:v>
      </x:c>
      <x:c r="F48" s="19" t="str">
        <x:v>isip.piconepress.com/projects/nedc/html/tuh_eeg/ (rsync path: data/tuh_eeg/tuh_eeg_events/)</x:v>
      </x:c>
      <x:c r="G48" s="19" t="str">
        <x:v>Event</x:v>
      </x:c>
    </x:row>
    <x:row r="49" ht="52" customHeight="1">
      <x:c r="A49" s="19" t="str">
        <x:v>HFO</x:v>
      </x:c>
      <x:c r="B49" s="19"/>
      <x:c r="C49" s="19" t="str">
        <x:v>EXCLUDE_NO_ACTIONABLE_SOURCE</x:v>
      </x:c>
      <x:c r="D49" s="19"/>
      <x:c r="E49" s="19" t="str">
        <x:v>未找到可执行的官方仓库、稳定编号或公开下载入口；不纳入最终下载清单</x:v>
      </x:c>
      <x:c r="F49" s="19"/>
      <x:c r="G49" s="19" t="str">
        <x:v>Sleep EEG in pediatric epilepsy; pretraining</x:v>
      </x:c>
    </x:row>
    <x:row r="50" ht="52" customHeight="1">
      <x:c r="A50" s="19" t="str">
        <x:v>HUH (Helsinki University Hospital neonatal</x:v>
      </x:c>
      <x:c r="B50" s="19"/>
      <x:c r="C50" s="19" t="str">
        <x:v>EXCLUDE_NO_ACTIONABLE_SOURCE</x:v>
      </x:c>
      <x:c r="D50" s="19"/>
      <x:c r="E50" s="19" t="str">
        <x:v>未找到可执行的官方仓库、稳定编号或公开下载入口；不纳入最终下载清单</x:v>
      </x:c>
      <x:c r="F50" s="19"/>
      <x:c r="G50" s="19" t="str">
        <x:v>Seizure detection</x:v>
      </x:c>
    </x:row>
    <x:row r="51" ht="52" customHeight="1">
      <x:c r="A51" s="19" t="str">
        <x:v>Jaramillo2021</x:v>
      </x:c>
      <x:c r="B51" s="19"/>
      <x:c r="C51" s="19" t="str">
        <x:v>EXCLUDE_NO_ACTIONABLE_SOURCE</x:v>
      </x:c>
      <x:c r="D51" s="19"/>
      <x:c r="E51" s="19" t="str">
        <x:v>未找到可执行的官方仓库、稳定编号或公开下载入口；不纳入最终下载清单</x:v>
      </x:c>
      <x:c r="F51" s="19" t="str">
        <x:v>未给出</x:v>
      </x:c>
      <x:c r="G51" s="19" t="str">
        <x:v>clinical EEG + EOG; Brant-X pretraining source</x:v>
      </x:c>
    </x:row>
    <x:row r="52" ht="52" customHeight="1">
      <x:c r="A52" s="19" t="str">
        <x:v>KISS (Korea Image-based Sleep Study)</x:v>
      </x:c>
      <x:c r="B52" s="19"/>
      <x:c r="C52" s="19" t="str">
        <x:v>EXCLUDE_NO_ACTIONABLE_SOURCE</x:v>
      </x:c>
      <x:c r="D52" s="19"/>
      <x:c r="E52" s="19" t="str">
        <x:v>未找到可执行的官方仓库、稳定编号或公开下载入口；不纳入最终下载清单</x:v>
      </x:c>
      <x:c r="F52" s="19"/>
      <x:c r="G52" s="19" t="str">
        <x:v>Sleep FM pre-training and downstream sleep staging and SDB segmentation</x:v>
      </x:c>
    </x:row>
    <x:row r="53" ht="52" customHeight="1">
      <x:c r="A53" s="19" t="str">
        <x:v>KUL Auditory Decoding Dataset (Bollens et al., 2023)</x:v>
      </x:c>
      <x:c r="B53" s="19"/>
      <x:c r="C53" s="19" t="str">
        <x:v>EXCLUDE_NO_ACTIONABLE_SOURCE</x:v>
      </x:c>
      <x:c r="D53" s="19"/>
      <x:c r="E53" s="19" t="str">
        <x:v>未找到可执行的官方仓库、稳定编号或公开下载入口；不纳入最终下载清单</x:v>
      </x:c>
      <x:c r="F53" s="19"/>
      <x:c r="G53" s="19" t="str">
        <x:v>auditory attention / speech decoding [pre-training]</x:v>
      </x:c>
    </x:row>
    <x:row r="54" ht="52" customHeight="1">
      <x:c r="A54" s="19" t="str">
        <x:v>Large-5F</x:v>
      </x:c>
      <x:c r="B54" s="19"/>
      <x:c r="C54" s="19" t="str">
        <x:v>EXCLUDE_NO_ACTIONABLE_SOURCE</x:v>
      </x:c>
      <x:c r="D54" s="19"/>
      <x:c r="E54" s="19" t="str">
        <x:v>未找到可执行的官方仓库、稳定编号或公开下载入口；不纳入最终下载清单</x:v>
      </x:c>
      <x:c r="F54" s="19" t="str">
        <x:v>未给出</x:v>
      </x:c>
      <x:c r="G54" s="19" t="str">
        <x:v>motor imagery / motor execution; CoMET pretraining source</x:v>
      </x:c>
    </x:row>
    <x:row r="55" ht="52" customHeight="1">
      <x:c r="A55" s="19" t="str">
        <x:v>Large-MI-5F (Kaya et al., 2018)</x:v>
      </x:c>
      <x:c r="B55" s="19"/>
      <x:c r="C55" s="19" t="str">
        <x:v>EXCLUDE_NO_ACTIONABLE_SOURCE</x:v>
      </x:c>
      <x:c r="D55" s="19"/>
      <x:c r="E55" s="19" t="str">
        <x:v>未找到可执行的官方仓库、稳定编号或公开下载入口；不纳入最终下载清单</x:v>
      </x:c>
      <x:c r="F55" s="19"/>
      <x:c r="G55" s="19" t="str">
        <x:v>5-class finger movement motor imagery (thumb, index, middle, ring, pinkie) [pre-training]</x:v>
      </x:c>
    </x:row>
    <x:row r="56" ht="52" customHeight="1">
      <x:c r="A56" s="19" t="str">
        <x:v>Large-MI-Classic (Kaya et al., 2018)</x:v>
      </x:c>
      <x:c r="B56" s="19"/>
      <x:c r="C56" s="19" t="str">
        <x:v>EXCLUDE_NO_ACTIONABLE_SOURCE</x:v>
      </x:c>
      <x:c r="D56" s="19"/>
      <x:c r="E56" s="19" t="str">
        <x:v>未找到可执行的官方仓库、稳定编号或公开下载入口；不纳入最终下载清单</x:v>
      </x:c>
      <x:c r="F56" s="19"/>
      <x:c r="G56" s="19" t="str">
        <x:v>6-class motor imagery (left/right hand, left/right foot, tongue, rest) [pre-training]</x:v>
      </x:c>
    </x:row>
    <x:row r="57" ht="52" customHeight="1">
      <x:c r="A57" s="19" t="str">
        <x:v>Localize-MI</x:v>
      </x:c>
      <x:c r="B57" s="19"/>
      <x:c r="C57" s="19" t="str">
        <x:v>EXCLUDE_NO_ACTIONABLE_SOURCE</x:v>
      </x:c>
      <x:c r="D57" s="19"/>
      <x:c r="E57" s="19" t="str">
        <x:v>未找到可执行的官方仓库、稳定编号或公开下载入口；不纳入最终下载清单</x:v>
      </x:c>
      <x:c r="F57" s="19"/>
      <x:c r="G57" s="19" t="str">
        <x:v>EEG spatial super-resolution (high-density recovery; more extensive SR scales 2x/4x/8x/16x)</x:v>
      </x:c>
    </x:row>
    <x:row r="58" ht="52" customHeight="1">
      <x:c r="A58" s="19" t="str">
        <x:v>Lopez2015</x:v>
      </x:c>
      <x:c r="B58" s="19" t="str">
        <x:v>Lopez (2015)</x:v>
      </x:c>
      <x:c r="C58" s="19" t="str">
        <x:v>EXCLUDE_NO_ACTIONABLE_SOURCE</x:v>
      </x:c>
      <x:c r="D58" s="19"/>
      <x:c r="E58" s="19" t="str">
        <x:v>未找到可执行的官方仓库、稳定编号或公开下载入口；不纳入最终下载清单</x:v>
      </x:c>
      <x:c r="F58" s="19" t="str">
        <x:v>未给出</x:v>
      </x:c>
      <x:c r="G58" s="19" t="str">
        <x:v>clinical EEG; SingLEM pretraining source</x:v>
      </x:c>
    </x:row>
    <x:row r="59" ht="52" customHeight="1">
      <x:c r="A59" s="19" t="str">
        <x:v>MAD-EEG</x:v>
      </x:c>
      <x:c r="B59" s="19"/>
      <x:c r="C59" s="19" t="str">
        <x:v>EXCLUDE_NO_ACTIONABLE_SOURCE</x:v>
      </x:c>
      <x:c r="D59" s="19"/>
      <x:c r="E59" s="19" t="str">
        <x:v>未找到可执行的官方仓库、稳定编号或公开下载入口；不纳入最终下载清单</x:v>
      </x:c>
      <x:c r="F59" s="19"/>
      <x:c r="G59" s="19" t="str">
        <x:v>Cross-modal music retrieval / auditory attention to target instrument in polyphonic music (Stage 3 downstream)</x:v>
      </x:c>
    </x:row>
    <x:row r="60" ht="52" customHeight="1">
      <x:c r="A60" s="19" t="str">
        <x:v>MDME (Multimodal Dataset for Mixed Emotion Recognition)</x:v>
      </x:c>
      <x:c r="B60" s="19"/>
      <x:c r="C60" s="19" t="str">
        <x:v>EXCLUDE_NO_ACTIONABLE_SOURCE</x:v>
      </x:c>
      <x:c r="D60" s="19"/>
      <x:c r="E60" s="19" t="str">
        <x:v>未找到可执行的官方仓库、稳定编号或公开下载入口；不纳入最终下载清单</x:v>
      </x:c>
      <x:c r="F60" s="19"/>
      <x:c r="G60" s="19" t="str">
        <x:v>Mixed emotion recognition</x:v>
      </x:c>
    </x:row>
    <x:row r="61" ht="52" customHeight="1">
      <x:c r="A61" s="19" t="str">
        <x:v>MoBI (Mobile Brain-Body Imaging dataset during treadmill walking)</x:v>
      </x:c>
      <x:c r="B61" s="19"/>
      <x:c r="C61" s="19" t="str">
        <x:v>EXCLUDE_NO_ACTIONABLE_SOURCE</x:v>
      </x:c>
      <x:c r="D61" s="19"/>
      <x:c r="E61" s="19" t="str">
        <x:v>未找到可执行的官方仓库、稳定编号或公开下载入口；不纳入最终下载清单</x:v>
      </x:c>
      <x:c r="F61" s="19"/>
      <x:c r="G61" s="19" t="str">
        <x:v>Gait prediction / lower-limb motor imagery (regression of 12 joint angles: hip, knee, ankle bilateral)</x:v>
      </x:c>
    </x:row>
    <x:row r="62" ht="52" customHeight="1">
      <x:c r="A62" s="19" t="str">
        <x:v>N400 Speech</x:v>
      </x:c>
      <x:c r="B62" s="19"/>
      <x:c r="C62" s="19" t="str">
        <x:v>EXCLUDE_NO_ACTIONABLE_SOURCE</x:v>
      </x:c>
      <x:c r="D62" s="19"/>
      <x:c r="E62" s="19" t="str">
        <x:v>未找到可执行的官方仓库、稳定编号或公开下载入口；不纳入最终下载清单</x:v>
      </x:c>
      <x:c r="F62" s="19" t="str">
        <x:v>未给出</x:v>
      </x:c>
      <x:c r="G62" s="19" t="str">
        <x:v>N400 / speech-language ERP; BioCodec downstream source</x:v>
      </x:c>
    </x:row>
    <x:row r="63" ht="52" customHeight="1">
      <x:c r="A63" s="19" t="str">
        <x:v>P300 speller</x:v>
      </x:c>
      <x:c r="B63" s="19"/>
      <x:c r="C63" s="19" t="str">
        <x:v>EXCLUDE_NO_ACTIONABLE_SOURCE</x:v>
      </x:c>
      <x:c r="D63" s="19"/>
      <x:c r="E63" s="19" t="str">
        <x:v>未找到可执行的官方仓库、稳定编号或公开下载入口；不纳入最终下载清单</x:v>
      </x:c>
      <x:c r="F63" s="19"/>
      <x:c r="G63" s="19" t="str">
        <x:v>P300 speller and RSVP ERP [pre-training]</x:v>
      </x:c>
    </x:row>
    <x:row r="64" ht="52" customHeight="1">
      <x:c r="A64" s="19" t="str">
        <x:v>Pavlov2022</x:v>
      </x:c>
      <x:c r="B64" s="19"/>
      <x:c r="C64" s="19" t="str">
        <x:v>EXCLUDE_NO_ACTIONABLE_SOURCE</x:v>
      </x:c>
      <x:c r="D64" s="19"/>
      <x:c r="E64" s="19" t="str">
        <x:v>未找到可执行的官方仓库、稳定编号或公开下载入口；不纳入最终下载清单</x:v>
      </x:c>
      <x:c r="F64" s="19" t="str">
        <x:v>未给出</x:v>
      </x:c>
      <x:c r="G64" s="19" t="str">
        <x:v>resting-state EEG; NeuroRVQ pretraining source</x:v>
      </x:c>
    </x:row>
    <x:row r="65" ht="52" customHeight="1">
      <x:c r="A65" s="19" t="str">
        <x:v>PME4</x:v>
      </x:c>
      <x:c r="B65" s="19"/>
      <x:c r="C65" s="19" t="str">
        <x:v>EXCLUDE_NO_ACTIONABLE_SOURCE</x:v>
      </x:c>
      <x:c r="D65" s="19"/>
      <x:c r="E65" s="19" t="str">
        <x:v>未找到可执行的官方仓库、稳定编号或公开下载入口；不纳入最终下载清单</x:v>
      </x:c>
      <x:c r="F65" s="19"/>
      <x:c r="G65" s="19" t="str">
        <x:v>Emotion analysis / recognition from EEG with audio (Stage 3 downstream)</x:v>
      </x:c>
    </x:row>
    <x:row r="66" ht="52" customHeight="1">
      <x:c r="A66" s="19" t="str">
        <x:v>Raw EEG Data (Trujillo 2020)</x:v>
      </x:c>
      <x:c r="B66" s="19"/>
      <x:c r="C66" s="19" t="str">
        <x:v>EXCLUDE_NO_ACTIONABLE_SOURCE</x:v>
      </x:c>
      <x:c r="D66" s="19"/>
      <x:c r="E66" s="19" t="str">
        <x:v>未找到可执行的官方仓库、稳定编号或公开下载入口；不纳入最终下载清单</x:v>
      </x:c>
      <x:c r="F66" s="19"/>
      <x:c r="G66" s="19" t="str">
        <x:v>Categorization tasks (Information-Integration categorization and Rule-Based categorization)</x:v>
      </x:c>
    </x:row>
    <x:row r="67" ht="52" customHeight="1">
      <x:c r="A67" s="19" t="str">
        <x:v>Regulation of Brain Cognitive States EEG Dataset</x:v>
      </x:c>
      <x:c r="B67" s="19"/>
      <x:c r="C67" s="19" t="str">
        <x:v>EXCLUDE_NO_ACTIONABLE_SOURCE</x:v>
      </x:c>
      <x:c r="D67" s="19"/>
      <x:c r="E67" s="19" t="str">
        <x:v>未找到可执行的官方仓库、稳定编号或公开下载入口；不纳入最终下载清单</x:v>
      </x:c>
      <x:c r="F67" s="19"/>
      <x:c r="G67" s="19" t="str">
        <x:v>Working-memory (n-back) task under multi-sensory stimulation (auditory, gustatory, olfactory)</x:v>
      </x:c>
    </x:row>
    <x:row r="68" ht="52" customHeight="1">
      <x:c r="A68" s="19" t="str">
        <x:v>Resting State EEG (eyes closed</x:v>
      </x:c>
      <x:c r="B68" s="19"/>
      <x:c r="C68" s="19" t="str">
        <x:v>EXCLUDE_NO_ACTIONABLE_SOURCE</x:v>
      </x:c>
      <x:c r="D68" s="19" t="str">
        <x:v>DOI:10.18738/T8/HAYF5H</x:v>
      </x:c>
      <x:c r="E68" s="19" t="str">
        <x:v>未找到可执行的官方仓库、稳定编号或公开下载入口；不纳入最终下载清单</x:v>
      </x:c>
      <x:c r="F68" s="19"/>
      <x:c r="G68" s="19" t="str">
        <x:v>Pre-training (resting-state EEG)</x:v>
      </x:c>
    </x:row>
    <x:row r="69" ht="52" customHeight="1">
      <x:c r="A69" s="19" t="str">
        <x:v>ROAMM (Reading Observed At Mindless Moments)</x:v>
      </x:c>
      <x:c r="B69" s="19"/>
      <x:c r="C69" s="19" t="str">
        <x:v>EXCLUDE_NO_ACTIONABLE_SOURCE</x:v>
      </x:c>
      <x:c r="D69" s="19"/>
      <x:c r="E69" s="19" t="str">
        <x:v>未找到可执行的官方仓库、稳定编号或公开下载入口；不纳入最终下载清单</x:v>
      </x:c>
      <x:c r="F69" s="19"/>
      <x:c r="G69" s="19" t="str">
        <x:v>Mind-wandering/attention decoding + EEG-to-text during naturalistic reading</x:v>
      </x:c>
    </x:row>
    <x:row r="70" ht="52" customHeight="1">
      <x:c r="A70" s="19" t="str">
        <x:v>RSVP-based BCI Benchmark Dataset (Zhang et al. 2020, Tsinghua)</x:v>
      </x:c>
      <x:c r="B70" s="19"/>
      <x:c r="C70" s="19" t="str">
        <x:v>EXCLUDE_NO_ACTIONABLE_SOURCE</x:v>
      </x:c>
      <x:c r="D70" s="19"/>
      <x:c r="E70" s="19" t="str">
        <x:v>未找到可执行的官方仓库、稳定编号或公开下载入口；不纳入最终下载清单</x:v>
      </x:c>
      <x:c r="F70" s="19"/>
      <x:c r="G70" s="19" t="str">
        <x:v>RSVP target image detection (binary target/non-target ERP classification of street-view images with vs. without humans); used here to simulate an RSVP typing/spelling task</x:v>
      </x:c>
    </x:row>
    <x:row r="71" ht="52" customHeight="1">
      <x:c r="A71" s="19" t="str">
        <x:v>Self-Calibrating BCI EEG-Face Mental-Target Dataset (CURSOR</x:v>
      </x:c>
      <x:c r="B71" s="19"/>
      <x:c r="C71" s="19" t="str">
        <x:v>EXCLUDE_NO_ACTIONABLE_SOURCE</x:v>
      </x:c>
      <x:c r="D71" s="19"/>
      <x:c r="E71" s="19" t="str">
        <x:v>未找到可执行的官方仓库、稳定编号或公开下载入口；不纳入最终下载清单</x:v>
      </x:c>
      <x:c r="F71" s="19"/>
      <x:c r="G71" s="19" t="str">
        <x:v>Self-calibrating BCI mental-target recovery: recovering/ranking an unknown mental target (a face image held in mind) from EEG responses to face stimuli in an RSVP oddball paradigm evoking a P3-like response; participants mentally counted target-matching faces</x:v>
      </x:c>
    </x:row>
    <x:row r="72" ht="52" customHeight="1">
      <x:c r="A72" s="19" t="str">
        <x:v>Shah (2018)</x:v>
      </x:c>
      <x:c r="B72" s="19"/>
      <x:c r="C72" s="19" t="str">
        <x:v>EXCLUDE_NO_ACTIONABLE_SOURCE</x:v>
      </x:c>
      <x:c r="D72" s="19"/>
      <x:c r="E72" s="19" t="str">
        <x:v>未找到可执行的官方仓库、稳定编号或公开下载入口；不纳入最终下载清单</x:v>
      </x:c>
      <x:c r="F72" s="19" t="str">
        <x:v>isip.piconepress.com/projects/nedc/html/tuh_eeg/ (rsync path: data/tuh_eeg/tuh_eeg_seizure/)</x:v>
      </x:c>
      <x:c r="G72" s="19" t="str">
        <x:v>Seizure</x:v>
      </x:c>
    </x:row>
    <x:row r="73" ht="52" customHeight="1">
      <x:c r="A73" s="19" t="str">
        <x:v>SVUH-UCD (St. Vincent's University Hospital</x:v>
      </x:c>
      <x:c r="B73" s="19"/>
      <x:c r="C73" s="19" t="str">
        <x:v>EXCLUDE_NO_ACTIONABLE_SOURCE</x:v>
      </x:c>
      <x:c r="D73" s="19" t="str">
        <x:v>DOI:10.13026/C26C7D</x:v>
      </x:c>
      <x:c r="E73" s="19" t="str">
        <x:v>未找到可执行的官方仓库、稳定编号或公开下载入口；不纳入最终下载清单</x:v>
      </x:c>
      <x:c r="F73" s="19"/>
      <x:c r="G73" s="19" t="str">
        <x:v>Automated sleep staging (5-class) in subjects with sleep disorders (sleep apnea)</x:v>
      </x:c>
    </x:row>
    <x:row r="74" ht="52" customHeight="1">
      <x:c r="A74" s="19" t="str">
        <x:v>Target Versus Non-Target (Brain Invaders bi2015a)</x:v>
      </x:c>
      <x:c r="B74" s="19"/>
      <x:c r="C74" s="19" t="str">
        <x:v>EXCLUDE_NO_ACTIONABLE_SOURCE</x:v>
      </x:c>
      <x:c r="D74" s="19"/>
      <x:c r="E74" s="19" t="str">
        <x:v>未找到可执行的官方仓库、稳定编号或公开下载入口；不纳入最终下载清单</x:v>
      </x:c>
      <x:c r="F74" s="19"/>
      <x:c r="G74" s="19" t="str">
        <x:v>Visual P300 BCI (oddball paradigm, target vs non-target)</x:v>
      </x:c>
    </x:row>
    <x:row r="75" ht="52" customHeight="1">
      <x:c r="A75" s="19" t="str">
        <x:v>THU-EEG</x:v>
      </x:c>
      <x:c r="B75" s="19"/>
      <x:c r="C75" s="19" t="str">
        <x:v>EXCLUDE_NO_ACTIONABLE_SOURCE</x:v>
      </x:c>
      <x:c r="D75" s="19" t="str">
        <x:v>DOI:10.3389/fnins.2016.00196</x:v>
      </x:c>
      <x:c r="E75" s="19" t="str">
        <x:v>未找到可执行的官方仓库、稳定编号或公开下载入口；不纳入最终下载清单</x:v>
      </x:c>
      <x:c r="F75" s="19" t="str">
        <x:v>www.nedcdata.org</x:v>
      </x:c>
      <x:c r="G75" s="19" t="str">
        <x:v>Clinical EEG</x:v>
      </x:c>
    </x:row>
    <x:row r="76" ht="52" customHeight="1">
      <x:c r="A76" s="19" t="str">
        <x:v>Upper-Limb Motor Execution</x:v>
      </x:c>
      <x:c r="B76" s="19"/>
      <x:c r="C76" s="19" t="str">
        <x:v>EXCLUDE_NO_ACTIONABLE_SOURCE</x:v>
      </x:c>
      <x:c r="D76" s="19"/>
      <x:c r="E76" s="19" t="str">
        <x:v>未找到可执行的官方仓库、稳定编号或公开下载入口；不纳入最终下载清单</x:v>
      </x:c>
      <x:c r="F76" s="19"/>
      <x:c r="G76" s="19" t="str">
        <x:v>7-class upper-limb motor execution and motor imagery (6 arm movements + rest)</x:v>
      </x:c>
    </x:row>
    <x:row r="77" ht="52" customHeight="1">
      <x:c r="A77" s="19" t="str">
        <x:v>Veloso2017</x:v>
      </x:c>
      <x:c r="B77" s="19" t="str">
        <x:v>Veloso (2017)</x:v>
      </x:c>
      <x:c r="C77" s="19" t="str">
        <x:v>EXCLUDE_NO_ACTIONABLE_SOURCE</x:v>
      </x:c>
      <x:c r="D77" s="19"/>
      <x:c r="E77" s="19" t="str">
        <x:v>未找到可执行的官方仓库、稳定编号或公开下载入口；不纳入最终下载清单</x:v>
      </x:c>
      <x:c r="F77" s="19" t="str">
        <x:v>未给出</x:v>
      </x:c>
      <x:c r="G77" s="19" t="str">
        <x:v>clinical EEG; SingLEM pretraining source</x:v>
      </x:c>
    </x:row>
    <x:row r="78" ht="52" customHeight="1">
      <x:c r="A78" s="19" t="str">
        <x:v>von Weltin (2017)</x:v>
      </x:c>
      <x:c r="B78" s="19"/>
      <x:c r="C78" s="19" t="str">
        <x:v>EXCLUDE_NO_ACTIONABLE_SOURCE</x:v>
      </x:c>
      <x:c r="D78" s="19"/>
      <x:c r="E78" s="19" t="str">
        <x:v>未找到可执行的官方仓库、稳定编号或公开下载入口；不纳入最终下载清单</x:v>
      </x:c>
      <x:c r="F78" s="19" t="str">
        <x:v>isip.piconepress.com/projects/nedc/html/tuh_eeg/ (rsync path: data/tuh_eeg/tuh_eeg_slowing/, i.e. TUH EEG Slowing Corpus, TUSL)</x:v>
      </x:c>
      <x:c r="G78" s="19" t="str">
        <x:v>Slowing</x:v>
      </x:c>
    </x:row>
    <x:row r="79" ht="52" customHeight="1">
      <x:c r="A79" s="19" t="str">
        <x:v>zenodo10260082 (Imperial College ear-EEG dataset for AAD)</x:v>
      </x:c>
      <x:c r="B79" s="19"/>
      <x:c r="C79" s="19" t="str">
        <x:v>EXCLUDE_NO_ACTIONABLE_SOURCE</x:v>
      </x:c>
      <x:c r="D79" s="19"/>
      <x:c r="E79" s="19" t="str">
        <x:v>未找到可执行的官方仓库、稳定编号或公开下载入口；不纳入最终下载清单</x:v>
      </x:c>
      <x:c r="F79" s="19"/>
      <x:c r="G79" s="19" t="str">
        <x:v>Auditory attention decoding (speech AAD) (Stage 2 multimodal alignment)</x:v>
      </x:c>
    </x:row>
    <x:row r="80" ht="52" customHeight="1">
      <x:c r="A80" s="19" t="str">
        <x:v>zenodo4518754 (Ultra high-density 255-channel EEG-AAD dataset)</x:v>
      </x:c>
      <x:c r="B80" s="19"/>
      <x:c r="C80" s="19" t="str">
        <x:v>EXCLUDE_NO_ACTIONABLE_SOURCE</x:v>
      </x:c>
      <x:c r="D80" s="19"/>
      <x:c r="E80" s="19" t="str">
        <x:v>未找到可执行的官方仓库、稳定编号或公开下载入口；不纳入最终下载清单</x:v>
      </x:c>
      <x:c r="F80" s="19"/>
      <x:c r="G80" s="19" t="str">
        <x:v>Auditory attention decoding (speech AAD) (Stage 2 multimodal alignment)</x:v>
      </x:c>
    </x:row>
    <x:row r="81" ht="52" customHeight="1">
      <x:c r="A81" s="19" t="str">
        <x:v>Simultaneous EEG-fMRI Multi-Source Interference Task Summary Dataset</x:v>
      </x:c>
      <x:c r="B81" s="19" t="str">
        <x:v>Dryad c1m3b; MSIT EEG-fMRI</x:v>
      </x:c>
      <x:c r="C81" s="19" t="str">
        <x:v>EXCLUDE_NO_RAW_EEG_FMRI</x:v>
      </x:c>
      <x:c r="D81" s="19" t="str">
        <x:v>Dryad:c1m3b | DOI:10.5061/dryad.c1m3b</x:v>
      </x:c>
      <x:c r="E81" s="19" t="str">
        <x:v>官方 Dryad 记录当前只提供一个 46.59 KB Excel 汇总文件，不含原始 EEG 或 fMRI；不作为 foundation model 预训练下载单元。</x:v>
      </x:c>
      <x:c r="F81" s="19" t="str">
        <x:v>https://datadryad.org/dataset/doi:10.5061/dryad.c1m3b</x:v>
      </x:c>
      <x:c r="G81" s="19" t="str">
        <x:v>Multi-Source Interference Task，control versus interference；论文实验为 simultaneous EEG-fMRI</x:v>
      </x:c>
    </x:row>
    <x:row r="82" ht="52" customHeight="1">
      <x:c r="A82" s="19" t="str">
        <x:v>Gesture-Speech Integration EEG-informed fMRI Derived Dataset</x:v>
      </x:c>
      <x:c r="B82" s="19" t="str">
        <x:v>Zenodo 5031815; gesture-speech integration</x:v>
      </x:c>
      <x:c r="C82" s="19" t="str">
        <x:v>EXCLUDE_DERIVED_ONLY</x:v>
      </x:c>
      <x:c r="D82" s="19" t="str">
        <x:v>Zenodo:5031815 | DOI:10.5281/zenodo.5031815</x:v>
      </x:c>
      <x:c r="E82" s="19" t="str">
        <x:v>官方 Zenodo 记录仅含约 64.4 MB 的派生 alpha 分析结果，不是原始 simultaneous EEG-fMRI；不作为原始预训练下载单元。</x:v>
      </x:c>
      <x:c r="F82" s="19" t="str">
        <x:v>https://zenodo.org/records/5031815</x:v>
      </x:c>
      <x:c r="G82" s="19" t="str">
        <x:v>Gesture-speech integration（GG/GR/SG 视频）；论文实验为 simultaneous EEG-fMRI</x:v>
      </x:c>
    </x:row>
    <x:row r="83" ht="52" customHeight="1">
      <x:c r="A83" s="19" t="str">
        <x:v>EEG-0029 Neonatal EEG Seizure Dataset</x:v>
      </x:c>
      <x:c r="B83" s="19" t="str">
        <x:v>EEG-0005 A dataset of neonatal EEG recordings with seizure annotations</x:v>
      </x:c>
      <x:c r="C83" s="19" t="str">
        <x:v>EXCLUDE_DUPLICATE</x:v>
      </x:c>
      <x:c r="D83" s="19" t="str">
        <x:v>User-confirmed release relationship: EEG-0005 is the newer version of EEG-0029</x:v>
      </x:c>
      <x:c r="E83" s="19" t="str">
        <x:v>Confirmed same download unit; merged into EEG-0005 on 2026-08-04</x:v>
      </x:c>
      <x:c r="F83" s="19" t="str">
        <x:v>https://zenodo.org/records/2547147</x:v>
      </x:c>
      <x:c r="G83" s="19" t="str">
        <x:v>neonatal seizure annotation / seizure detection</x:v>
      </x:c>
    </x:row>
    <x:row r="84" ht="52" customHeight="1">
      <x:c r="A84" s="19" t="str">
        <x:v>EEG-0037 University of Bonn EEG Database (Andrzejak et al. 2001)</x:v>
      </x:c>
      <x:c r="B84" s="19" t="str">
        <x:v>EEG-0008 Bonn EEG Seizure Dataset</x:v>
      </x:c>
      <x:c r="C84" s="19" t="str">
        <x:v>EXCLUDE_DUPLICATE</x:v>
      </x:c>
      <x:c r="D84" s="19" t="str">
        <x:v>Official University of Bonn landing page and Andrzejak 2001 corpus identity</x:v>
      </x:c>
      <x:c r="E84" s="19" t="str">
        <x:v>Confirmed same download unit; merged into EEG-0008 on 2026-08-04</x:v>
      </x:c>
      <x:c r="F84" s="19" t="str">
        <x:v>https://www.ukbonn.de/epileptologie/arbeitsgruppen/ag-lehnertz-neurophysik/downloads/</x:v>
      </x:c>
      <x:c r="G84" s="19" t="str">
        <x:v>Epileptic seizure classification</x:v>
      </x:c>
    </x:row>
    <x:row r="85" ht="52" customHeight="1">
      <x:c r="A85" s="19" t="str">
        <x:v>EEG-0019 Lin (2025)</x:v>
      </x:c>
      <x:c r="B85" s="19" t="str">
        <x:v>EEG-0016 vEpiSet (Interictal Epileptiform Discharge EEG Dataset)</x:v>
      </x:c>
      <x:c r="C85" s="19" t="str">
        <x:v>EXCLUDE_DUPLICATE</x:v>
      </x:c>
      <x:c r="D85" s="19" t="str">
        <x:v>Figshare article 28069568</x:v>
      </x:c>
      <x:c r="E85" s="19" t="str">
        <x:v>Confirmed same download unit; merged into EEG-0016 on 2026-08-04</x:v>
      </x:c>
      <x:c r="F85" s="19" t="str">
        <x:v>https://doi.org/10.6084/m9.figshare.28069568</x:v>
      </x:c>
      <x:c r="G85" s="19" t="str">
        <x:v>Epilepsy (IED)</x:v>
      </x:c>
    </x:row>
    <x:row r="86" ht="52" customHeight="1">
      <x:c r="A86" s="19" t="str">
        <x:v>EEG-0038 vEpiSet (IED)</x:v>
      </x:c>
      <x:c r="B86" s="19" t="str">
        <x:v>EEG-0016 vEpiSet (Interictal Epileptiform Discharge EEG Dataset)</x:v>
      </x:c>
      <x:c r="C86" s="19" t="str">
        <x:v>EXCLUDE_DUPLICATE</x:v>
      </x:c>
      <x:c r="D86" s="19" t="str">
        <x:v>Figshare article 28069568</x:v>
      </x:c>
      <x:c r="E86" s="19" t="str">
        <x:v>Confirmed same download unit; merged into EEG-0016 on 2026-08-04</x:v>
      </x:c>
      <x:c r="F86" s="19" t="str">
        <x:v>https://springernature.figshare.com/articles/dataset/An_EEG_dataset_for_interictal_epileptiform_discharge.../28069568</x:v>
      </x:c>
      <x:c r="G86" s="19" t="str">
        <x:v>Interictal epileptiform discharge (IED) detection</x:v>
      </x:c>
    </x:row>
    <x:row r="87" ht="52" customHeight="1">
      <x:c r="A87" s="19" t="str">
        <x:v>EEG-0046 P-ADIC</x:v>
      </x:c>
      <x:c r="B87" s="19" t="str">
        <x:v>EEG-0045 EEG p-adic quantum potential accurately identifies depression, schizophrenia and cognitive decline</x:v>
      </x:c>
      <x:c r="C87" s="19" t="str">
        <x:v>EXCLUDE_DUPLICATE</x:v>
      </x:c>
      <x:c r="D87" s="19" t="str">
        <x:v>Project download-content audit: P-ADIC source duplication</x:v>
      </x:c>
      <x:c r="E87" s="19" t="str">
        <x:v>Confirmed same download unit; merged into EEG-0045 on 2026-08-04</x:v>
      </x:c>
      <x:c r="F87" s="19" t="str">
        <x:v>[Dryad P-ADIC dataset](https://datadryad.org/dataset/doi:10.5061/dryad.8gtht76pw)</x:v>
      </x:c>
      <x:c r="G87" s="19" t="str">
        <x:v>AD / MCI / healthy control / schizophrenia / depression classification；可构造 neurodegeneration vs psychiatric differential diagnosis</x:v>
      </x:c>
    </x:row>
    <x:row r="88" ht="52" customHeight="1">
      <x:c r="A88" s="19" t="str">
        <x:v>EEG-0049 Adult ADHD Resting</x:v>
      </x:c>
      <x:c r="B88" s="19" t="str">
        <x:v>EEG-0048 Adult ADHD EEG</x:v>
      </x:c>
      <x:c r="C88" s="19" t="str">
        <x:v>EXCLUDE_DUPLICATE</x:v>
      </x:c>
      <x:c r="D88" s="19" t="str">
        <x:v>Mendeley dataset 6k4g25fhzg</x:v>
      </x:c>
      <x:c r="E88" s="19" t="str">
        <x:v>Confirmed same download unit; merged into EEG-0048 on 2026-08-04</x:v>
      </x:c>
      <x:c r="F88" s="19" t="str">
        <x:v>[Mendeley Data 6k4g25fhzg](https://data.mendeley.com/datasets/6k4g25fhzg/1)</x:v>
      </x:c>
      <x:c r="G88" s="19" t="str">
        <x:v>ADHD vs healthy control；eyes-open/eyes-closed；cognitive challenge；sound listening</x:v>
      </x:c>
    </x:row>
    <x:row r="89" ht="52" customHeight="1">
      <x:c r="A89" s="19" t="str">
        <x:v>EEG-0072 BNCI2014_008</x:v>
      </x:c>
      <x:c r="B89" s="19" t="str">
        <x:v>EEG-0071 BNCI 008-2014 (P300 speller, ALS)</x:v>
      </x:c>
      <x:c r="C89" s="19" t="str">
        <x:v>EXCLUDE_DUPLICATE</x:v>
      </x:c>
      <x:c r="D89" s="19" t="str">
        <x:v>BNCI 008-2014 / MOABB BNCI2014_008</x:v>
      </x:c>
      <x:c r="E89" s="19" t="str">
        <x:v>Confirmed same download unit; merged into EEG-0071 on 2026-08-04</x:v>
      </x:c>
      <x:c r="F89" s="19" t="str">
        <x:v>https://bnci-horizon-2020.eu/database/data-sets</x:v>
      </x:c>
      <x:c r="G89" s="19" t="str">
        <x:v>P300 / ERP target vs non-target; ALS P300 speller</x:v>
      </x:c>
    </x:row>
    <x:row r="90" ht="52" customHeight="1">
      <x:c r="A90" s="19" t="str">
        <x:v>EEG-0088 Monitoring ErrP</x:v>
      </x:c>
      <x:c r="B90" s="19" t="str">
        <x:v>EEG-0073 BNCI2015_013 (Error-Related Potentials)</x:v>
      </x:c>
      <x:c r="C90" s="19" t="str">
        <x:v>EXCLUDE_DUPLICATE</x:v>
      </x:c>
      <x:c r="D90" s="19" t="str">
        <x:v>BNCI 013-2015 / MOABB BNCI2015_013</x:v>
      </x:c>
      <x:c r="E90" s="19" t="str">
        <x:v>Confirmed same download unit; merged into EEG-0073 on 2026-08-04</x:v>
      </x:c>
      <x:c r="F90" s="19" t="str">
        <x:v>https://bnci-horizon-2020.eu/database/data-sets (013-2015)</x:v>
      </x:c>
      <x:c r="G90" s="19" t="str">
        <x:v>Error-related potential detection (cursor feedback)</x:v>
      </x:c>
    </x:row>
    <x:row r="91" ht="52" customHeight="1">
      <x:c r="A91" s="19" t="str">
        <x:v>EEG-0099 Tinnitus-EEG</x:v>
      </x:c>
      <x:c r="B91" s="19" t="str">
        <x:v>EEG-0098 Tinnitus Acoustic Therapy EEG Database</x:v>
      </x:c>
      <x:c r="C91" s="19" t="str">
        <x:v>EXCLUDE_DUPLICATE</x:v>
      </x:c>
      <x:c r="D91" s="19" t="str">
        <x:v>Mendeley dataset kj443jc4yc</x:v>
      </x:c>
      <x:c r="E91" s="19" t="str">
        <x:v>Confirmed same download unit; merged into EEG-0098 on 2026-08-04</x:v>
      </x:c>
      <x:c r="F91" s="19" t="str">
        <x:v>https://data.mendeley.com/datasets/kj443jc4yc/2</x:v>
      </x:c>
      <x:c r="G91" s="19" t="str">
        <x:v>Acoustic therapy for tinnitus (longitudinal)</x:v>
      </x:c>
    </x:row>
    <x:row r="92" ht="52" customHeight="1">
      <x:c r="A92" s="19" t="str">
        <x:v>EEG-0315 Cuevas-Romero (2022)</x:v>
      </x:c>
      <x:c r="B92" s="19" t="str">
        <x:v>EEG-0098 Tinnitus Acoustic Therapy EEG Database</x:v>
      </x:c>
      <x:c r="C92" s="19" t="str">
        <x:v>EXCLUDE_DUPLICATE</x:v>
      </x:c>
      <x:c r="D92" s="19" t="str">
        <x:v>Mendeley dataset kj443jc4yc</x:v>
      </x:c>
      <x:c r="E92" s="19" t="str">
        <x:v>Confirmed same download unit; merged into EEG-0098 on 2026-08-04</x:v>
      </x:c>
      <x:c r="F92" s="19" t="str">
        <x:v>https://data.mendeley.com/datasets/kj443jc4yc/1</x:v>
      </x:c>
      <x:c r="G92" s="19" t="str">
        <x:v>Resting-state (eyes-open/closed) + passive music + acoustic therapy listening + 3 soundscape conditions</x:v>
      </x:c>
    </x:row>
    <x:row r="93" ht="52" customHeight="1">
      <x:c r="A93" s="19" t="str">
        <x:v>EEG-0184 MAHNOB-HCI: A Multimodal Database for Affect Recognition and Implicit Tagging</x:v>
      </x:c>
      <x:c r="B93" s="19" t="str">
        <x:v>EEG-0129 MAHNOB-HCI</x:v>
      </x:c>
      <x:c r="C93" s="19" t="str">
        <x:v>EXCLUDE_DUPLICATE</x:v>
      </x:c>
      <x:c r="D93" s="19" t="str">
        <x:v>MAHNOB-HCI official database identity</x:v>
      </x:c>
      <x:c r="E93" s="19" t="str">
        <x:v>Confirmed same download unit; merged into EEG-0129 on 2026-08-04</x:v>
      </x:c>
      <x:c r="F93" s="19" t="str">
        <x:v>https://mahnob-db.eu/</x:v>
      </x:c>
      <x:c r="G93" s="19" t="str">
        <x:v>Emotion recognition / affect recognition</x:v>
      </x:c>
    </x:row>
    <x:row r="94" ht="52" customHeight="1">
      <x:c r="A94" s="19" t="str">
        <x:v>EEG-0168 Tao (2024)</x:v>
      </x:c>
      <x:c r="B94" s="19" t="str">
        <x:v>EEG-0162 MPDB (driving)</x:v>
      </x:c>
      <x:c r="C94" s="19" t="str">
        <x:v>EXCLUDE_DUPLICATE</x:v>
      </x:c>
      <x:c r="D94" s="19" t="str">
        <x:v>MPDB paper DOI 10.1038/s41597-024-03222-2 and Figshare 22193119</x:v>
      </x:c>
      <x:c r="E94" s="19" t="str">
        <x:v>Confirmed same download unit; merged into EEG-0162 on 2026-08-04</x:v>
      </x:c>
      <x:c r="F94" s="19" t="str">
        <x:v>https://doi.org/10.6084/m9.figshare.22193119.v3</x:v>
      </x:c>
      <x:c r="G94" s="19" t="str">
        <x:v>Driving Task</x:v>
      </x:c>
    </x:row>
    <x:row r="95" ht="52" customHeight="1">
      <x:c r="A95" s="19" t="str">
        <x:v>EEG-0546 He (2025)</x:v>
      </x:c>
      <x:c r="B95" s="19" t="str">
        <x:v>EEG-0330 EEGET-RSOD</x:v>
      </x:c>
      <x:c r="C95" s="19" t="str">
        <x:v>EXCLUDE_DUPLICATE</x:v>
      </x:c>
      <x:c r="D95" s="19" t="str">
        <x:v>Figshare article 26943565</x:v>
      </x:c>
      <x:c r="E95" s="19" t="str">
        <x:v>Confirmed same download unit; merged into EEG-0330 on 2026-08-04</x:v>
      </x:c>
      <x:c r="F95" s="19" t="str">
        <x:v>https://doi.org/10.6084/m9.figshare.26943565</x:v>
      </x:c>
      <x:c r="G95" s="19" t="str">
        <x:v>Visual: Object ID</x:v>
      </x:c>
    </x:row>
    <x:row r="96" ht="52" customHeight="1">
      <x:c r="A96" s="19" t="str">
        <x:v>EEG-0347 Telesford (2023)</x:v>
      </x:c>
      <x:c r="B96" s="19" t="str">
        <x:v>EEG-0346 NATVIEW (EEG-fMRI)</x:v>
      </x:c>
      <x:c r="C96" s="19" t="str">
        <x:v>EXCLUDE_DUPLICATE</x:v>
      </x:c>
      <x:c r="D96" s="19" t="str">
        <x:v>NATVIEW/NITRC official project identity</x:v>
      </x:c>
      <x:c r="E96" s="19" t="str">
        <x:v>Confirmed same download unit; merged into EEG-0346 on 2026-08-04</x:v>
      </x:c>
      <x:c r="F96" s="19" t="str">
        <x:v>https://fcon_1000.projects.nitrc.org/indi/retro/nat_view.html</x:v>
      </x:c>
      <x:c r="G96" s="19" t="str">
        <x:v>Visual: Movie, rest, Inscapes, checkerboard</x:v>
      </x:c>
    </x:row>
    <x:row r="97" ht="52" customHeight="1">
      <x:c r="A97" s="19" t="str">
        <x:v>EEG-0417 Yi (2025)</x:v>
      </x:c>
      <x:c r="B97" s="19" t="str">
        <x:v>EEG-0399 MI-Joints (EEG-fNIRS)</x:v>
      </x:c>
      <x:c r="C97" s="19" t="str">
        <x:v>EXCLUDE_DUPLICATE</x:v>
      </x:c>
      <x:c r="D97" s="19" t="str">
        <x:v>Figshare article 24123303</x:v>
      </x:c>
      <x:c r="E97" s="19" t="str">
        <x:v>Confirmed same download unit; merged into EEG-0399 on 2026-08-04</x:v>
      </x:c>
      <x:c r="F97" s="19" t="str">
        <x:v>https://figshare.com/articles/dataset/Data/24123303</x:v>
      </x:c>
      <x:c r="G97" s="19" t="str">
        <x:v>MI</x:v>
      </x:c>
    </x:row>
    <x:row r="98" ht="52" customHeight="1">
      <x:c r="A98" s="19" t="str">
        <x:v>EEG-0367 BNCI2014002</x:v>
      </x:c>
      <x:c r="B98" s="19" t="str">
        <x:v>EEG-0363 BNCI 002-2014 (Two-class MI)</x:v>
      </x:c>
      <x:c r="C98" s="19" t="str">
        <x:v>EXCLUDE_DUPLICATE</x:v>
      </x:c>
      <x:c r="D98" s="19" t="str">
        <x:v>BNCI 002-2014 / BNCI2014002</x:v>
      </x:c>
      <x:c r="E98" s="19" t="str">
        <x:v>Confirmed same download unit; merged into EEG-0363 on 2026-08-04</x:v>
      </x:c>
      <x:c r="F98" s="19" t="str">
        <x:v>[BNCI Horizon Data sets](https://bnci-horizon-2020.eu/database/data-sets)</x:v>
      </x:c>
      <x:c r="G98" s="19" t="str">
        <x:v>Motor imagery decoding (2-class: right hand / both feet) - test-time adaptation</x:v>
      </x:c>
    </x:row>
    <x:row r="99" ht="52" customHeight="1">
      <x:c r="A99" s="19" t="str">
        <x:v>EEG-0476 BNCI2014_009</x:v>
      </x:c>
      <x:c r="B99" s="19" t="str">
        <x:v>EEG-0471 BNCI 009-2014 (Covert and overt ERP)</x:v>
      </x:c>
      <x:c r="C99" s="19" t="str">
        <x:v>EXCLUDE_DUPLICATE</x:v>
      </x:c>
      <x:c r="D99" s="19" t="str">
        <x:v>BNCI 009-2014 / BNCI2014_009</x:v>
      </x:c>
      <x:c r="E99" s="19" t="str">
        <x:v>Confirmed same download unit; merged into EEG-0471 on 2026-08-04</x:v>
      </x:c>
      <x:c r="F99" s="19" t="str">
        <x:v>[MOABB BNCI2014_009](https://moabb.neurotechx.com/docs/generated/moabb.datasets.BNCI2014_009.html)</x:v>
      </x:c>
      <x:c r="G99" s="19" t="str">
        <x:v>P300 / ERP target vs non-target; P300 speller / GeoSpell</x:v>
      </x:c>
    </x:row>
    <x:row r="100" ht="52" customHeight="1">
      <x:c r="A100" s="19" t="str">
        <x:v>EEG-0368 BNCI2015001</x:v>
      </x:c>
      <x:c r="B100" s="19" t="str">
        <x:v>EEG-0360 BNCI 001-2015 (Autocalibration</x:v>
      </x:c>
      <x:c r="C100" s="19" t="str">
        <x:v>EXCLUDE_DUPLICATE</x:v>
      </x:c>
      <x:c r="D100" s="19" t="str">
        <x:v>BNCI 001-2015 / BNCI2015001</x:v>
      </x:c>
      <x:c r="E100" s="19" t="str">
        <x:v>Confirmed same download unit; merged into EEG-0360 on 2026-08-04</x:v>
      </x:c>
      <x:c r="F100" s="19" t="str">
        <x:v>[BNCI Horizon Data sets](https://bnci-horizon-2020.eu/database/data-sets)</x:v>
      </x:c>
      <x:c r="G100" s="19" t="str">
        <x:v>Motor imagery (2-class); cross-session and cross-subject SFUDA classification with artificial label shifts</x:v>
      </x:c>
    </x:row>
    <x:row r="101" ht="52" customHeight="1">
      <x:c r="A101" s="19" t="str">
        <x:v>EEG-0477 BNCI2015_003</x:v>
      </x:c>
      <x:c r="B101" s="19" t="str">
        <x:v>EEG-0468 BNCI 003-2015 (Visual P300 speller)</x:v>
      </x:c>
      <x:c r="C101" s="19" t="str">
        <x:v>EXCLUDE_DUPLICATE</x:v>
      </x:c>
      <x:c r="D101" s="19" t="str">
        <x:v>BNCI 003-2015 / BNCI2015_003</x:v>
      </x:c>
      <x:c r="E101" s="19" t="str">
        <x:v>Confirmed same download unit; merged into EEG-0468 on 2026-08-04</x:v>
      </x:c>
      <x:c r="F101" s="19" t="str">
        <x:v>[MOABB BNCI2015_003](https://moabb.neurotechx.com/docs/generated/moabb.datasets.BNCI2015_003.html)</x:v>
      </x:c>
      <x:c r="G101" s="19" t="str">
        <x:v>auditory BCI speller / AMUSE P300; Target vs NonTarget</x:v>
      </x:c>
    </x:row>
    <x:row r="102" ht="52" customHeight="1">
      <x:c r="A102" s="19" t="str">
        <x:v>EEG-0365 BNCI 004-2015 (Individual imagery)</x:v>
      </x:c>
      <x:c r="B102" s="19" t="str">
        <x:v>EEG-0208 BNCI 004-2015 (Individual imagery)</x:v>
      </x:c>
      <x:c r="C102" s="19" t="str">
        <x:v>EXCLUDE_DUPLICATE</x:v>
      </x:c>
      <x:c r="D102" s="19" t="str">
        <x:v>BNCI 004-2015 / BNCI2015_004</x:v>
      </x:c>
      <x:c r="E102" s="19" t="str">
        <x:v>Confirmed same download unit; merged into EEG-0208 on 2026-08-04</x:v>
      </x:c>
      <x:c r="F102" s="19" t="str">
        <x:v>http://bnci-horizon-2020.eu/database/data-sets</x:v>
      </x:c>
      <x:c r="G102" s="19" t="str">
        <x:v>Mental multiplication vs word association vs hand motor imagery</x:v>
      </x:c>
    </x:row>
    <x:row r="103" ht="52" customHeight="1">
      <x:c r="A103" s="19" t="str">
        <x:v>EEG-0155 BNCI2016_002 (Emergency Braking driving)</x:v>
      </x:c>
      <x:c r="B103" s="19" t="str">
        <x:v>EEG-0154 BNCI 002-2016 (Emergency braking during simulated driving)</x:v>
      </x:c>
      <x:c r="C103" s="19" t="str">
        <x:v>EXCLUDE_DUPLICATE</x:v>
      </x:c>
      <x:c r="D103" s="19" t="str">
        <x:v>BNCI 002-2016 / BNCI2016_002</x:v>
      </x:c>
      <x:c r="E103" s="19" t="str">
        <x:v>Confirmed same download unit; merged into EEG-0154 on 2026-08-04</x:v>
      </x:c>
      <x:c r="F103" s="19" t="str">
        <x:v>https://moabb.neurotechx.com/docs/generated/moabb.datasets.BNCI2016_002.html</x:v>
      </x:c>
      <x:c r="G103" s="19" t="str">
        <x:v>ERP / Driving Cognitive State</x:v>
      </x:c>
    </x:row>
    <x:row r="104" ht="52" customHeight="1">
      <x:c r="A104" s="19" t="str">
        <x:v>EEG-0496 BNCI 001-2019 (Attempted arm</x:v>
      </x:c>
      <x:c r="B104" s="19" t="str">
        <x:v>EEG-0369 BNCI 001-2019 (Attempted arm movement)</x:v>
      </x:c>
      <x:c r="C104" s="19" t="str">
        <x:v>EXCLUDE_DUPLICATE</x:v>
      </x:c>
      <x:c r="D104" s="19" t="str">
        <x:v>BNCI 001-2019 / BNCI2019_001</x:v>
      </x:c>
      <x:c r="E104" s="19" t="str">
        <x:v>Confirmed same download unit; merged into EEG-0369 on 2026-08-04</x:v>
      </x:c>
      <x:c r="F104" s="19" t="str">
        <x:v>http://bnci-horizon-2020.eu/database/data-sets</x:v>
      </x:c>
      <x:c r="G104" s="19" t="str">
        <x:v>Decoding 5 attempted hand movements vs rest in SCI</x:v>
      </x:c>
    </x:row>
    <x:row r="105" ht="52" customHeight="1">
      <x:c r="A105" s="19" t="str">
        <x:v>EEG-0370 BNCI2020_001</x:v>
      </x:c>
      <x:c r="B105" s="19" t="str">
        <x:v>EEG-0362 BNCI 001-2020 (Reach &amp; grasp, gel</x:v>
      </x:c>
      <x:c r="C105" s="19" t="str">
        <x:v>EXCLUDE_DUPLICATE</x:v>
      </x:c>
      <x:c r="D105" s="19" t="str">
        <x:v>BNCI 001-2020 / BNCI2020_001</x:v>
      </x:c>
      <x:c r="E105" s="19" t="str">
        <x:v>Confirmed same download unit; merged into EEG-0362 on 2026-08-04</x:v>
      </x:c>
      <x:c r="F105" s="19" t="str">
        <x:v>[BNCI Horizon Data sets](https://bnci-horizon-2020.eu/database/data-sets)</x:v>
      </x:c>
      <x:c r="G105" s="19" t="str">
        <x:v>3-class upper-limb motor imagery</x:v>
      </x:c>
    </x:row>
    <x:row r="106" ht="52" customHeight="1">
      <x:c r="A106" s="19" t="str">
        <x:v>EEG-0526 BNCI 001-2022 (EEG correlates of difficulty level)</x:v>
      </x:c>
      <x:c r="B106" s="19" t="str">
        <x:v>EEG-0371 BNCI2022_001 (Difficulty level)</x:v>
      </x:c>
      <x:c r="C106" s="19" t="str">
        <x:v>EXCLUDE_DUPLICATE</x:v>
      </x:c>
      <x:c r="D106" s="19" t="str">
        <x:v>BNCI 001-2022 / BNCI2022_001</x:v>
      </x:c>
      <x:c r="E106" s="19" t="str">
        <x:v>Confirmed same download unit; merged into EEG-0371 on 2026-08-04</x:v>
      </x:c>
      <x:c r="F106" s="19" t="str">
        <x:v>http://bnci-horizon-2020.eu/database/data-sets</x:v>
      </x:c>
      <x:c r="G106" s="19" t="str">
        <x:v>Drone joystick piloting in simulation under varying difficulty levels</x:v>
      </x:c>
    </x:row>
    <x:row r="107" ht="52" customHeight="1">
      <x:c r="A107" s="19" t="str">
        <x:v>EEG-0527 BNCI 001-2024 (Handwritten character classification through continuous kinematic decoding)</x:v>
      </x:c>
      <x:c r="B107" s="19" t="str">
        <x:v>EEG-0372 BNCI2024_001 (Handwritten characters)</x:v>
      </x:c>
      <x:c r="C107" s="19" t="str">
        <x:v>EXCLUDE_DUPLICATE</x:v>
      </x:c>
      <x:c r="D107" s="19" t="str">
        <x:v>BNCI 001-2024 / BNCI2024_001</x:v>
      </x:c>
      <x:c r="E107" s="19" t="str">
        <x:v>Confirmed same download unit; merged into EEG-0372 on 2026-08-04</x:v>
      </x:c>
      <x:c r="F107" s="19" t="str">
        <x:v>http://bnci-horizon-2020.eu/database/data-sets</x:v>
      </x:c>
      <x:c r="G107" s="19" t="str">
        <x:v>Writing 10 handwritten letters with right index finger</x:v>
      </x:c>
    </x:row>
    <x:row r="108" ht="52" customHeight="1">
      <x:c r="A108" s="19" t="str">
        <x:v>EEG-0528 BNCI 001-2025 (Simultaneous encoding of speed, distance, and direction in discrete reaching)</x:v>
      </x:c>
      <x:c r="B108" s="19" t="str">
        <x:v>EEG-0373 BNCI2025_001 (Motor Kinematics Reaching)</x:v>
      </x:c>
      <x:c r="C108" s="19" t="str">
        <x:v>EXCLUDE_DUPLICATE</x:v>
      </x:c>
      <x:c r="D108" s="19" t="str">
        <x:v>BNCI 001-2025 / BNCI2025_001</x:v>
      </x:c>
      <x:c r="E108" s="19" t="str">
        <x:v>Confirmed same download unit; merged into EEG-0373 on 2026-08-04</x:v>
      </x:c>
      <x:c r="F108" s="19" t="str">
        <x:v>http://bnci-horizon-2020.eu/database/data-sets</x:v>
      </x:c>
      <x:c r="G108" s="19" t="str">
        <x:v>Discrete hand reaching in 4 directions with varying speed and distance</x:v>
      </x:c>
    </x:row>
    <x:row r="109" ht="52" customHeight="1">
      <x:c r="A109" s="19" t="str">
        <x:v>EEG-0529 BNCI 002-2025 (Continuous 2D trajectory decoding from attempted movement)</x:v>
      </x:c>
      <x:c r="B109" s="19" t="str">
        <x:v>EEG-0374 BNCI2025_002 (Continuous 2D Trajectory)</x:v>
      </x:c>
      <x:c r="C109" s="19" t="str">
        <x:v>EXCLUDE_DUPLICATE</x:v>
      </x:c>
      <x:c r="D109" s="19" t="str">
        <x:v>BNCI 002-2025 / BNCI2025_002</x:v>
      </x:c>
      <x:c r="E109" s="19" t="str">
        <x:v>Confirmed same download unit; merged into EEG-0374 on 2026-08-04</x:v>
      </x:c>
      <x:c r="F109" s="19" t="str">
        <x:v>http://bnci-horizon-2020.eu/database/data-sets</x:v>
      </x:c>
      <x:c r="G109" s="19" t="str">
        <x:v>Continuous 2D trajectory tracking of attempted hand movements</x:v>
      </x:c>
    </x:row>
    <x:row r="110" ht="52" customHeight="1">
      <x:c r="A110" s="19" t="str">
        <x:v>EEG-0233 Ghosh (2019)</x:v>
      </x:c>
      <x:c r="B110" s="19" t="str">
        <x:v>EEG-0189 SAM 40</x:v>
      </x:c>
      <x:c r="C110" s="19" t="str">
        <x:v>EXCLUDE_DUPLICATE</x:v>
      </x:c>
      <x:c r="D110" s="19" t="str">
        <x:v>Figshare article 14562090</x:v>
      </x:c>
      <x:c r="E110" s="19" t="str">
        <x:v>Confirmed same download unit; merged into EEG-0189 on 2026-08-04</x:v>
      </x:c>
      <x:c r="F110" s="19" t="str">
        <x:v>Figshare, DOI:10.6084/m9.figshare.14562090</x:v>
      </x:c>
      <x:c r="G110" s="19" t="str">
        <x:v>Cognitive: Stroop</x:v>
      </x:c>
    </x:row>
    <x:row r="111" ht="52" customHeight="1">
      <x:c r="A111" s="19" t="str">
        <x:v>EEG-0218 Deception-Game</x:v>
      </x:c>
      <x:c r="B111" s="19" t="str">
        <x:v>EEG-0212 Chen (2024)</x:v>
      </x:c>
      <x:c r="C111" s="19" t="str">
        <x:v>EXCLUDE_DUPLICATE</x:v>
      </x:c>
      <x:c r="D111" s="19" t="str">
        <x:v>Figshare article 24760827</x:v>
      </x:c>
      <x:c r="E111" s="19" t="str">
        <x:v>Confirmed same download unit; merged into EEG-0212 on 2026-08-04</x:v>
      </x:c>
      <x:c r="F111" s="19" t="str">
        <x:v>https://figshare.com/articles/dataset/An_EEG_Dataset_of_Neural_Signatures.../24760827</x:v>
      </x:c>
      <x:c r="G111" s="19" t="str">
        <x:v>Two-player game encouraging deception</x:v>
      </x:c>
    </x:row>
    <x:row r="112" ht="52" customHeight="1">
      <x:c r="A112" s="19" t="str">
        <x:v>EEG-0396 Liu (2019)</x:v>
      </x:c>
      <x:c r="B112" s="19" t="str">
        <x:v>EEG-0085 Lower-Limb-MI (stroke)</x:v>
      </x:c>
      <x:c r="C112" s="19" t="str">
        <x:v>EXCLUDE_DUPLICATE</x:v>
      </x:c>
      <x:c r="D112" s="19" t="str">
        <x:v>Figshare article 27130299</x:v>
      </x:c>
      <x:c r="E112" s="19" t="str">
        <x:v>Confirmed same download unit; merged into EEG-0085 on 2026-08-04</x:v>
      </x:c>
      <x:c r="F112" s="19" t="str">
        <x:v>Figshare (Springer Nature), DOI:10.6084/m9.figshare.27130299</x:v>
      </x:c>
      <x:c r="G112" s="19" t="str">
        <x:v>MI</x:v>
      </x:c>
    </x:row>
    <x:row r="113" ht="52" customHeight="1">
      <x:c r="A113" s="19" t="str">
        <x:v>EEG-0250 SPIS Resting State Dataset</x:v>
      </x:c>
      <x:c r="B113" s="19" t="str">
        <x:v>EEG-0167 SPIS</x:v>
      </x:c>
      <x:c r="C113" s="19" t="str">
        <x:v>EXCLUDE_DUPLICATE</x:v>
      </x:c>
      <x:c r="D113" s="19" t="str">
        <x:v>GitHub repository mastaneht/SPIS-Resting-State-Dataset</x:v>
      </x:c>
      <x:c r="E113" s="19" t="str">
        <x:v>Confirmed same download unit; merged into EEG-0167 on 2026-08-04</x:v>
      </x:c>
      <x:c r="F113" s="19" t="str">
        <x:v>https://github.com/mastaneht/SPIS-Resting-State-Dataset</x:v>
      </x:c>
      <x:c r="G113" s="19" t="str">
        <x:v>Resting state (eyes-closed / eyes-open) prior to Sustained Attention to Response Task</x:v>
      </x:c>
    </x:row>
    <x:row r="114" ht="52" customHeight="1">
      <x:c r="A114" s="19" t="str">
        <x:v>EEG-0177 Emobrain</x:v>
      </x:c>
      <x:c r="B114" s="19" t="str">
        <x:v>EEG-0180 eNTERFACE 2006 (Emobrain) Dataset</x:v>
      </x:c>
      <x:c r="C114" s="19" t="str">
        <x:v>EXCLUDE_DUPLICATE</x:v>
      </x:c>
      <x:c r="D114" s="19" t="str">
        <x:v>User-confirmed catalog identity; retain the five-subject eNTERFACE 2006 release as canonical</x:v>
      </x:c>
      <x:c r="E114" s="19" t="str">
        <x:v>Confirmed same download unit; merged into EEG-0180 on 2026-08-04</x:v>
      </x:c>
      <x:c r="F114" s="19" t="str">
        <x:v>[eNTERFACE'06 results](http://www.enterface.net/results/)</x:v>
      </x:c>
      <x:c r="G114" s="19" t="str">
        <x:v>multimodal emotion recognition; IAPS emotion elicitation</x:v>
      </x:c>
    </x:row>
    <x:row r="115" ht="52" customHeight="1">
      <x:c r="A115" s="19" t="str">
        <x:v>EEG-0147 Valdes-Sosa (2021)</x:v>
      </x:c>
      <x:c r="B115" s="19" t="str">
        <x:v>EEG-0519 Cuban Human Brain Mapping Project (CHBMP)</x:v>
      </x:c>
      <x:c r="C115" s="19" t="str">
        <x:v>EXCLUDE_DUPLICATE</x:v>
      </x:c>
      <x:c r="D115" s="19" t="str">
        <x:v>CHBMP / Synapse syn22324937 / LORIS; DOI 10.1038/s41597-021-00829-7</x:v>
      </x:c>
      <x:c r="E115" s="19" t="str">
        <x:v>Confirmed same download unit; merged into EEG-0519 on 2026-08-04</x:v>
      </x:c>
      <x:c r="F115" s="19" t="str">
        <x:v>https://www.synapse.org/Synapse:syn22324937</x:v>
      </x:c>
      <x:c r="G115" s="19" t="str">
        <x:v>Resting-state, ognitive assessment (MMSE, WAIS-III), reaction time task (Go/No-Go subset), MRI / DWI structural imaging (partial cohort)</x:v>
      </x:c>
    </x:row>
    <x:row r="116" ht="52" customHeight="1">
      <x:c r="A116" s="19" t="str">
        <x:v>EEG-0498 CHBMP</x:v>
      </x:c>
      <x:c r="B116" s="19" t="str">
        <x:v>EEG-0519 Cuban Human Brain Mapping Project (CHBMP)</x:v>
      </x:c>
      <x:c r="C116" s="19" t="str">
        <x:v>EXCLUDE_DUPLICATE</x:v>
      </x:c>
      <x:c r="D116" s="19" t="str">
        <x:v>CHBMP / Synapse syn22324937 / LORIS; DOI 10.1038/s41597-021-00829-7</x:v>
      </x:c>
      <x:c r="E116" s="19" t="str">
        <x:v>Confirmed same download unit; merged into EEG-0519 on 2026-08-04</x:v>
      </x:c>
      <x:c r="F116" s="19" t="str">
        <x:v>https://chbmp-open.loris.ca/</x:v>
      </x:c>
      <x:c r="G116" s="19" t="str">
        <x:v>Clinical activation protocol (EO/EC/hyperventilation)</x:v>
      </x:c>
    </x:row>
    <x:row r="117" ht="52" customHeight="1">
      <x:c r="A117" s="19" t="str">
        <x:v>EEG-0406 Munich Motor Imagery Dataset (Grosse-Wentrup 2009)</x:v>
      </x:c>
      <x:c r="B117" s="19" t="str">
        <x:v>EEG-0357 Beamforming in Noninvasive Brain–Computer Interfaces Dataset</x:v>
      </x:c>
      <x:c r="C117" s="19" t="str">
        <x:v>EXCLUDE_DUPLICATE</x:v>
      </x:c>
      <x:c r="D117" s="19" t="str">
        <x:v>Zenodo record 1217449</x:v>
      </x:c>
      <x:c r="E117" s="19" t="str">
        <x:v>Confirmed same download unit; merged into EEG-0357 on 2026-08-04</x:v>
      </x:c>
      <x:c r="F117" s="19" t="str">
        <x:v>https://doi.org/10.5281/zenodo.1217449</x:v>
      </x:c>
      <x:c r="G117" s="19" t="str">
        <x:v>Motor imagery</x:v>
      </x:c>
    </x:row>
    <x:row r="118" ht="52" customHeight="1">
      <x:c r="A118" s="19" t="str">
        <x:v>EEG-0491 VR.EEG.2018-GIPSA (Brain Invaders VR 2018)</x:v>
      </x:c>
      <x:c r="B118" s="19" t="str">
        <x:v>EEG-0262 Cattan2019 VR P300 (Zenodo)</x:v>
      </x:c>
      <x:c r="C118" s="19" t="str">
        <x:v>EXCLUDE_DUPLICATE</x:v>
      </x:c>
      <x:c r="D118" s="19" t="str">
        <x:v>Zenodo record 2605204</x:v>
      </x:c>
      <x:c r="E118" s="19" t="str">
        <x:v>Confirmed same download unit; merged into EEG-0262 on 2026-08-04</x:v>
      </x:c>
      <x:c r="F118" s="19" t="str">
        <x:v>https://doi.org/10.5281/zenodo.2605204</x:v>
      </x:c>
      <x:c r="G118" s="19" t="str">
        <x:v>Visual P300 BCI (Brain Invaders; PC vs Virtual Reality comparison)</x:v>
      </x:c>
    </x:row>
    <x:row r="119" ht="52" customHeight="1">
      <x:c r="A119" s="19" t="str">
        <x:v>EEG-0109 AMIGOS</x:v>
      </x:c>
      <x:c r="B119" s="19" t="str">
        <x:v>EEG-0066 AMIGOS</x:v>
      </x:c>
      <x:c r="C119" s="19" t="str">
        <x:v>EXCLUDE_DUPLICATE</x:v>
      </x:c>
      <x:c r="D119" s="19" t="str">
        <x:v>AMIGOS official dataset and paper identity</x:v>
      </x:c>
      <x:c r="E119" s="19" t="str">
        <x:v>Confirmed same download unit; merged into EEG-0066 on 2026-08-04</x:v>
      </x:c>
      <x:c r="F119" s="19" t="str">
        <x:v>https://www.eecs.qmul.ac.uk/mmv/datasets/amigos/</x:v>
      </x:c>
      <x:c r="G119" s="19" t="str">
        <x:v>EEG-based emotion recognition; binary valence and arousal classification. Used as an augmentation benchmark and as the dataset for adversarial-attack robustness experiments (FGSM, PGD, DeepFool) on emotional arousal</x:v>
      </x:c>
    </x:row>
    <x:row r="120" ht="52" customHeight="1">
      <x:c r="A120" s="19" t="str">
        <x:v>EEG-0118 DEAP</x:v>
      </x:c>
      <x:c r="B120" s="19" t="str">
        <x:v>EEG-0076 DEAP</x:v>
      </x:c>
      <x:c r="C120" s="19" t="str">
        <x:v>EXCLUDE_DUPLICATE</x:v>
      </x:c>
      <x:c r="D120" s="19" t="str">
        <x:v>DEAP official QMUL dataset; arousal is a task/label view, not a separate download unit</x:v>
      </x:c>
      <x:c r="E120" s="19" t="str">
        <x:v>Confirmed same download unit; merged into EEG-0076 on 2026-08-04</x:v>
      </x:c>
      <x:c r="F120" s="19" t="str">
        <x:v>https://www.eecs.qmul.ac.uk/mmv/datasets/deap/</x:v>
      </x:c>
      <x:c r="G120" s="19" t="str">
        <x:v>Emotion: valence / arousal / dominance / liking</x:v>
      </x:c>
    </x:row>
    <x:row r="121" ht="52" customHeight="1">
      <x:c r="A121" s="19" t="str">
        <x:v>EEG-0119 DEAP-arousal</x:v>
      </x:c>
      <x:c r="B121" s="19" t="str">
        <x:v>EEG-0076 DEAP</x:v>
      </x:c>
      <x:c r="C121" s="19" t="str">
        <x:v>EXCLUDE_DUPLICATE</x:v>
      </x:c>
      <x:c r="D121" s="19" t="str">
        <x:v>DEAP official QMUL dataset; arousal is a task/label view, not a separate download unit</x:v>
      </x:c>
      <x:c r="E121" s="19" t="str">
        <x:v>Confirmed same download unit; merged into EEG-0076 on 2026-08-04</x:v>
      </x:c>
      <x:c r="F121" s="19" t="str">
        <x:v>https://www.eecs.qmul.ac.uk/mmv/datasets/deap/</x:v>
      </x:c>
      <x:c r="G121" s="19" t="str">
        <x:v>High/low arousal classification (2 classes)</x:v>
      </x:c>
    </x:row>
    <x:row r="122" ht="52" customHeight="1">
      <x:c r="A122" s="19" t="str">
        <x:v>EEG-0445 SSVEP Benchmark (Wang 2016)</x:v>
      </x:c>
      <x:c r="B122" s="19" t="str">
        <x:v>EEG-0069 Tsinghua SSVEP Benchmark (Wang 2016)</x:v>
      </x:c>
      <x:c r="C122" s="19" t="str">
        <x:v>EXCLUDE_DUPLICATE</x:v>
      </x:c>
      <x:c r="D122" s="19" t="str">
        <x:v>Tsinghua SSVEP Benchmark / Wang 2016</x:v>
      </x:c>
      <x:c r="E122" s="19" t="str">
        <x:v>Confirmed same download unit; merged into EEG-0069 on 2026-08-04</x:v>
      </x:c>
      <x:c r="F122" s="19" t="str">
        <x:v>http://bci.med.tsinghua.edu.cn/download.html</x:v>
      </x:c>
      <x:c r="G122" s="19" t="str">
        <x:v>SSVEP 40-class target recognition (40 frequencies: 8-15.8 Hz, 0.2 Hz step)</x:v>
      </x:c>
    </x:row>
    <x:row r="123" ht="52" customHeight="1">
      <x:c r="A123" s="19" t="str">
        <x:v>EEG-0450 Tsinghua BETA SSVEP</x:v>
      </x:c>
      <x:c r="B123" s="19" t="str">
        <x:v>EEG-0420 BETA SSVEP Dataset</x:v>
      </x:c>
      <x:c r="C123" s="19" t="str">
        <x:v>EXCLUDE_DUPLICATE</x:v>
      </x:c>
      <x:c r="D123" s="19" t="str">
        <x:v>BETA SSVEP official dataset / Figshare 12264401</x:v>
      </x:c>
      <x:c r="E123" s="19" t="str">
        <x:v>Confirmed same download unit; merged into EEG-0420 on 2026-08-04</x:v>
      </x:c>
      <x:c r="F123" s="19" t="str">
        <x:v>http://bci.med.tsinghua.edu.cn/download.html</x:v>
      </x:c>
      <x:c r="G123" s="19" t="str">
        <x:v>SSVEP (40-target spelling)</x:v>
      </x:c>
    </x:row>
    <x:row r="124" ht="52" customHeight="1">
      <x:c r="A124" s="19" t="str">
        <x:v>EEG-0430 Dong2023 - SSVEP EEG Dataset</x:v>
      </x:c>
      <x:c r="B124" s="19" t="str">
        <x:v>EEG-0429 Dong2023</x:v>
      </x:c>
      <x:c r="C124" s="19" t="str">
        <x:v>EXCLUDE_DUPLICATE</x:v>
      </x:c>
      <x:c r="D124" s="19" t="str">
        <x:v>Dong2023 MOABB wrapper and Zenodo 18847318</x:v>
      </x:c>
      <x:c r="E124" s="19" t="str">
        <x:v>Confirmed same download unit; merged into EEG-0429 on 2026-08-04</x:v>
      </x:c>
      <x:c r="F124" s="19" t="str">
        <x:v>https://zenodo.org/records/18847318</x:v>
      </x:c>
      <x:c r="G124" s="19" t="str">
        <x:v>40-target SSVEP BCI speller / steady-state visual evoked potential brain-computer interface task</x:v>
      </x:c>
    </x:row>
    <x:row r="125" ht="52" customHeight="1">
      <x:c r="A125" s="19" t="str">
        <x:v>EEG-0437 Human SSVEPs 1–60 Hz Dataset</x:v>
      </x:c>
      <x:c r="B125" s="19" t="str">
        <x:v>EEG-0446 Human SSVEPs 1-60 Hz - Complete Collection</x:v>
      </x:c>
      <x:c r="C125" s="19" t="str">
        <x:v>EXCLUDE_DUPLICATE</x:v>
      </x:c>
      <x:c r="D125" s="19" t="str">
        <x:v>Figshare 23641017 is the early 15-subject partial release; collection 6752910 is the formal 30-subject complete release</x:v>
      </x:c>
      <x:c r="E125" s="19" t="str">
        <x:v>Confirmed same download unit; merged into EEG-0446 on 2026-08-04</x:v>
      </x:c>
      <x:c r="F125" s="19" t="str">
        <x:v>[Figshare 1–60 Hz SSVEP dataset](https://figshare.com/articles/dataset/An_open_dataset_for_human_SSVEPs_in_the_frequency_range_of_1-60_Hz/23641017)</x:v>
      </x:c>
      <x:c r="G125" s="19" t="str">
        <x:v>SSVEP frequency decoding；1–60 Hz wide-frequency response；frequency generalization</x:v>
      </x:c>
    </x:row>
    <x:row r="126" ht="52" customHeight="1">
      <x:c r="A126" s="19" t="str">
        <x:v>EEG-0198 Voice-User Interaction Emotion EEG Dataset</x:v>
      </x:c>
      <x:c r="B126" s="19" t="str">
        <x:v>EEG-0179 Emotion (Voice-UI)</x:v>
      </x:c>
      <x:c r="C126" s="19" t="str">
        <x:v>EXCLUDE_DUPLICATE</x:v>
      </x:c>
      <x:c r="D126" s="19" t="str">
        <x:v>Figshare collection 7207839; Voice-User Interaction Emotion EEG</x:v>
      </x:c>
      <x:c r="E126" s="19" t="str">
        <x:v>Confirmed same download unit; merged into EEG-0179 on 2026-08-04</x:v>
      </x:c>
      <x:c r="F126" s="19" t="str">
        <x:v>[Springer Nature Figshare VUI Emotion EEG](https://springernature.figshare.com/collections/EEG_Dataset_for_the_Recognition_of_Different_Emotions_Naturally_Induced_in_Voice-User_Interaction/7207839)</x:v>
      </x:c>
      <x:c r="G126" s="19" t="str">
        <x:v>emotion recognition during natural voice-user interaction</x:v>
      </x:c>
    </x:row>
    <x:row r="127" ht="52" customHeight="1">
      <x:c r="A127" s="19" t="str">
        <x:v>EEG-0294 Broderick (Reverse/Natural speech)</x:v>
      </x:c>
      <x:c r="B127" s="19" t="str">
        <x:v>EEG-0209 Broderick (Cocktail party)</x:v>
      </x:c>
      <x:c r="C127" s="19" t="str">
        <x:v>EXCLUDE_DUPLICATE</x:v>
      </x:c>
      <x:c r="D127" s="19" t="str">
        <x:v>Dryad DOI 10.5061/dryad.070jc</x:v>
      </x:c>
      <x:c r="E127" s="19" t="str">
        <x:v>Confirmed same download unit; merged into EEG-0209 on 2026-08-04</x:v>
      </x:c>
      <x:c r="F127" s="19" t="str">
        <x:v>https://doi.org/10.5061/dryad.070jc</x:v>
      </x:c>
      <x:c r="G127" s="19" t="str">
        <x:v>Natural vs time-reversed speech discrimination</x:v>
      </x:c>
    </x:row>
  </x:sheetData>
  <x:pageMargins left="0.7" right="0.7" top="0.75" bottom="0.75" header="0.3" footer="0.3"/>
  <x:tableParts count="1">
    <x:tablePart xmlns:r="http://schemas.openxmlformats.org/officeDocument/2006/relationships" r:id="Rbb35d29b64f74a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14" hidden="0" customWidth="1"/>
    <x:col min="4" max="4" width="38" hidden="0" customWidth="1"/>
    <x:col min="5" max="5" width="48" hidden="0" customWidth="1"/>
    <x:col min="6" max="6" width="34" hidden="0" customWidth="1"/>
    <x:col min="7" max="7" width="32" hidden="0" customWidth="1"/>
    <x:col min="8" max="8" width="55" hidden="0" customWidth="1"/>
  </x:cols>
  <x:sheetData>
    <x:row r="1" ht="36" customHeight="1">
      <x:c r="A1" s="23" t="str">
        <x:v>Canonical ID</x:v>
      </x:c>
      <x:c r="B1" s="23" t="str">
        <x:v>Canonical dataset</x:v>
      </x:c>
      <x:c r="C1" s="23" t="str">
        <x:v>Removed ID</x:v>
      </x:c>
      <x:c r="D1" s="23" t="str">
        <x:v>Removed dataset</x:v>
      </x:c>
      <x:c r="E1" s="23" t="str">
        <x:v>Evidence key</x:v>
      </x:c>
      <x:c r="F1" s="23" t="str">
        <x:v>Evidence level</x:v>
      </x:c>
      <x:c r="G1" s="23" t="str">
        <x:v>Decision</x:v>
      </x:c>
      <x:c r="H1" s="23" t="str">
        <x:v>Notes</x:v>
      </x:c>
    </x:row>
    <x:row r="2" ht="48" customHeight="1">
      <x:c r="A2" s="19" t="str">
        <x:v>EEG-0005</x:v>
      </x:c>
      <x:c r="B2" s="19" t="str">
        <x:v>A dataset of neonatal EEG recordings with seizure annotations</x:v>
      </x:c>
      <x:c r="C2" s="19" t="str">
        <x:v>EEG-0029</x:v>
      </x:c>
      <x:c r="D2" s="19" t="str">
        <x:v>Neonatal EEG Seizure Dataset</x:v>
      </x:c>
      <x:c r="E2" s="19" t="str">
        <x:v>User-confirmed release relationship: EEG-0005 is the newer version of EEG-0029</x:v>
      </x:c>
      <x:c r="F2" s="19" t="str">
        <x:v>CONFIRMED_VERSION_SUCCESSOR</x:v>
      </x:c>
      <x:c r="G2" s="19" t="str">
        <x:v>MERGED_AS_SAME_DOWNLOAD_UNIT</x:v>
      </x:c>
      <x:c r="H2" s="19" t="str">
        <x:v>Original ID retained in this audit; aliases/tasks/sources merged into EEG-0005. No server files or completion markers were changed.</x:v>
      </x:c>
    </x:row>
    <x:row r="3" ht="48" customHeight="1">
      <x:c r="A3" s="19" t="str">
        <x:v>EEG-0008</x:v>
      </x:c>
      <x:c r="B3" s="19" t="str">
        <x:v>Bonn EEG Seizure Dataset</x:v>
      </x:c>
      <x:c r="C3" s="19" t="str">
        <x:v>EEG-0037</x:v>
      </x:c>
      <x:c r="D3" s="19" t="str">
        <x:v>University of Bonn EEG Database (Andrzejak et al. 2001)</x:v>
      </x:c>
      <x:c r="E3" s="19" t="str">
        <x:v>Official University of Bonn landing page and Andrzejak 2001 corpus identity</x:v>
      </x:c>
      <x:c r="F3" s="19" t="str">
        <x:v>CONFIRMED_OFFICIAL_ALIAS</x:v>
      </x:c>
      <x:c r="G3" s="19" t="str">
        <x:v>MERGED_AS_SAME_DOWNLOAD_UNIT</x:v>
      </x:c>
      <x:c r="H3" s="19" t="str">
        <x:v>Original ID retained in this audit; aliases/tasks/sources merged into EEG-0008. No server files or completion markers were changed.</x:v>
      </x:c>
    </x:row>
    <x:row r="4" ht="48" customHeight="1">
      <x:c r="A4" s="19" t="str">
        <x:v>EEG-0016</x:v>
      </x:c>
      <x:c r="B4" s="19" t="str">
        <x:v>vEpiSet (Interictal Epileptiform Discharge EEG Dataset)</x:v>
      </x:c>
      <x:c r="C4" s="19" t="str">
        <x:v>EEG-0019</x:v>
      </x:c>
      <x:c r="D4" s="19" t="str">
        <x:v>Lin (2025)</x:v>
      </x:c>
      <x:c r="E4" s="19" t="str">
        <x:v>Figshare article 28069568</x:v>
      </x:c>
      <x:c r="F4" s="19" t="str">
        <x:v>CONFIRMED_SAME_REPOSITORY_ID</x:v>
      </x:c>
      <x:c r="G4" s="19" t="str">
        <x:v>MERGED_AS_SAME_DOWNLOAD_UNIT</x:v>
      </x:c>
      <x:c r="H4" s="19" t="str">
        <x:v>Original ID retained in this audit; aliases/tasks/sources merged into EEG-0016. No server files or completion markers were changed.</x:v>
      </x:c>
    </x:row>
    <x:row r="5" ht="48" customHeight="1">
      <x:c r="A5" s="19" t="str">
        <x:v>EEG-0016</x:v>
      </x:c>
      <x:c r="B5" s="19" t="str">
        <x:v>vEpiSet (Interictal Epileptiform Discharge EEG Dataset)</x:v>
      </x:c>
      <x:c r="C5" s="19" t="str">
        <x:v>EEG-0038</x:v>
      </x:c>
      <x:c r="D5" s="19" t="str">
        <x:v>vEpiSet (IED)</x:v>
      </x:c>
      <x:c r="E5" s="19" t="str">
        <x:v>Figshare article 28069568</x:v>
      </x:c>
      <x:c r="F5" s="19" t="str">
        <x:v>CONFIRMED_SAME_REPOSITORY_ID</x:v>
      </x:c>
      <x:c r="G5" s="19" t="str">
        <x:v>MERGED_AS_SAME_DOWNLOAD_UNIT</x:v>
      </x:c>
      <x:c r="H5" s="19" t="str">
        <x:v>Original ID retained in this audit; aliases/tasks/sources merged into EEG-0016. No server files or completion markers were changed.</x:v>
      </x:c>
    </x:row>
    <x:row r="6" ht="48" customHeight="1">
      <x:c r="A6" s="19" t="str">
        <x:v>EEG-0045</x:v>
      </x:c>
      <x:c r="B6" s="19" t="str">
        <x:v>EEG p-adic quantum potential accurately identifies depression, schizophrenia and cognitive decline</x:v>
      </x:c>
      <x:c r="C6" s="19" t="str">
        <x:v>EEG-0046</x:v>
      </x:c>
      <x:c r="D6" s="19" t="str">
        <x:v>P-ADIC</x:v>
      </x:c>
      <x:c r="E6" s="19" t="str">
        <x:v>Project download-content audit: P-ADIC source duplication</x:v>
      </x:c>
      <x:c r="F6" s="19" t="str">
        <x:v>CONFIRMED_PROJECT_AUDIT</x:v>
      </x:c>
      <x:c r="G6" s="19" t="str">
        <x:v>MERGED_AS_SAME_DOWNLOAD_UNIT</x:v>
      </x:c>
      <x:c r="H6" s="19" t="str">
        <x:v>Original ID retained in this audit; aliases/tasks/sources merged into EEG-0045. No server files or completion markers were changed.</x:v>
      </x:c>
    </x:row>
    <x:row r="7" ht="48" customHeight="1">
      <x:c r="A7" s="19" t="str">
        <x:v>EEG-0048</x:v>
      </x:c>
      <x:c r="B7" s="19" t="str">
        <x:v>Adult ADHD EEG</x:v>
      </x:c>
      <x:c r="C7" s="19" t="str">
        <x:v>EEG-0049</x:v>
      </x:c>
      <x:c r="D7" s="19" t="str">
        <x:v>Adult ADHD Resting</x:v>
      </x:c>
      <x:c r="E7" s="19" t="str">
        <x:v>Mendeley dataset 6k4g25fhzg</x:v>
      </x:c>
      <x:c r="F7" s="19" t="str">
        <x:v>CONFIRMED_SAME_REPOSITORY_ID</x:v>
      </x:c>
      <x:c r="G7" s="19" t="str">
        <x:v>MERGED_AS_SAME_DOWNLOAD_UNIT</x:v>
      </x:c>
      <x:c r="H7" s="19" t="str">
        <x:v>Original ID retained in this audit; aliases/tasks/sources merged into EEG-0048. No server files or completion markers were changed.</x:v>
      </x:c>
    </x:row>
    <x:row r="8" ht="48" customHeight="1">
      <x:c r="A8" s="19" t="str">
        <x:v>EEG-0071</x:v>
      </x:c>
      <x:c r="B8" s="19" t="str">
        <x:v>BNCI 008-2014 (P300 speller, ALS)</x:v>
      </x:c>
      <x:c r="C8" s="19" t="str">
        <x:v>EEG-0072</x:v>
      </x:c>
      <x:c r="D8" s="19" t="str">
        <x:v>BNCI2014_008</x:v>
      </x:c>
      <x:c r="E8" s="19" t="str">
        <x:v>BNCI 008-2014 / MOABB BNCI2014_008</x:v>
      </x:c>
      <x:c r="F8" s="19" t="str">
        <x:v>CONFIRMED_OFFICIAL_ALIAS</x:v>
      </x:c>
      <x:c r="G8" s="19" t="str">
        <x:v>MERGED_AS_SAME_DOWNLOAD_UNIT</x:v>
      </x:c>
      <x:c r="H8" s="19" t="str">
        <x:v>Original ID retained in this audit; aliases/tasks/sources merged into EEG-0071. No server files or completion markers were changed.</x:v>
      </x:c>
    </x:row>
    <x:row r="9" ht="48" customHeight="1">
      <x:c r="A9" s="19" t="str">
        <x:v>EEG-0073</x:v>
      </x:c>
      <x:c r="B9" s="19" t="str">
        <x:v>BNCI2015_013 (Error-Related Potentials)</x:v>
      </x:c>
      <x:c r="C9" s="19" t="str">
        <x:v>EEG-0088</x:v>
      </x:c>
      <x:c r="D9" s="19" t="str">
        <x:v>Monitoring ErrP</x:v>
      </x:c>
      <x:c r="E9" s="19" t="str">
        <x:v>BNCI 013-2015 / MOABB BNCI2015_013</x:v>
      </x:c>
      <x:c r="F9" s="19" t="str">
        <x:v>CONFIRMED_OFFICIAL_ALIAS</x:v>
      </x:c>
      <x:c r="G9" s="19" t="str">
        <x:v>MERGED_AS_SAME_DOWNLOAD_UNIT</x:v>
      </x:c>
      <x:c r="H9" s="19" t="str">
        <x:v>Original ID retained in this audit; aliases/tasks/sources merged into EEG-0073. No server files or completion markers were changed.</x:v>
      </x:c>
    </x:row>
    <x:row r="10" ht="48" customHeight="1">
      <x:c r="A10" s="19" t="str">
        <x:v>EEG-0098</x:v>
      </x:c>
      <x:c r="B10" s="19" t="str">
        <x:v>Tinnitus Acoustic Therapy EEG Database</x:v>
      </x:c>
      <x:c r="C10" s="19" t="str">
        <x:v>EEG-0099</x:v>
      </x:c>
      <x:c r="D10" s="19" t="str">
        <x:v>Tinnitus-EEG</x:v>
      </x:c>
      <x:c r="E10" s="19" t="str">
        <x:v>Mendeley dataset kj443jc4yc</x:v>
      </x:c>
      <x:c r="F10" s="19" t="str">
        <x:v>CONFIRMED_SAME_REPOSITORY_ID</x:v>
      </x:c>
      <x:c r="G10" s="19" t="str">
        <x:v>MERGED_AS_SAME_DOWNLOAD_UNIT</x:v>
      </x:c>
      <x:c r="H10" s="19" t="str">
        <x:v>Original ID retained in this audit; aliases/tasks/sources merged into EEG-0098. No server files or completion markers were changed.</x:v>
      </x:c>
    </x:row>
    <x:row r="11" ht="48" customHeight="1">
      <x:c r="A11" s="19" t="str">
        <x:v>EEG-0098</x:v>
      </x:c>
      <x:c r="B11" s="19" t="str">
        <x:v>Tinnitus Acoustic Therapy EEG Database</x:v>
      </x:c>
      <x:c r="C11" s="19" t="str">
        <x:v>EEG-0315</x:v>
      </x:c>
      <x:c r="D11" s="19" t="str">
        <x:v>Cuevas-Romero (2022)</x:v>
      </x:c>
      <x:c r="E11" s="19" t="str">
        <x:v>Mendeley dataset kj443jc4yc</x:v>
      </x:c>
      <x:c r="F11" s="19" t="str">
        <x:v>CONFIRMED_SAME_REPOSITORY_ID</x:v>
      </x:c>
      <x:c r="G11" s="19" t="str">
        <x:v>MERGED_AS_SAME_DOWNLOAD_UNIT</x:v>
      </x:c>
      <x:c r="H11" s="19" t="str">
        <x:v>Original ID retained in this audit; aliases/tasks/sources merged into EEG-0098. No server files or completion markers were changed.</x:v>
      </x:c>
    </x:row>
    <x:row r="12" ht="48" customHeight="1">
      <x:c r="A12" s="19" t="str">
        <x:v>EEG-0129</x:v>
      </x:c>
      <x:c r="B12" s="19" t="str">
        <x:v>MAHNOB-HCI</x:v>
      </x:c>
      <x:c r="C12" s="19" t="str">
        <x:v>EEG-0184</x:v>
      </x:c>
      <x:c r="D12" s="19" t="str">
        <x:v>MAHNOB-HCI: A Multimodal Database for Affect Recognition and Implicit Tagging</x:v>
      </x:c>
      <x:c r="E12" s="19" t="str">
        <x:v>MAHNOB-HCI official database identity</x:v>
      </x:c>
      <x:c r="F12" s="19" t="str">
        <x:v>CONFIRMED_OFFICIAL_ALIAS</x:v>
      </x:c>
      <x:c r="G12" s="19" t="str">
        <x:v>MERGED_AS_SAME_DOWNLOAD_UNIT</x:v>
      </x:c>
      <x:c r="H12" s="19" t="str">
        <x:v>Original ID retained in this audit; aliases/tasks/sources merged into EEG-0129. No server files or completion markers were changed.</x:v>
      </x:c>
    </x:row>
    <x:row r="13" ht="48" customHeight="1">
      <x:c r="A13" s="19" t="str">
        <x:v>EEG-0162</x:v>
      </x:c>
      <x:c r="B13" s="19" t="str">
        <x:v>MPDB (driving)</x:v>
      </x:c>
      <x:c r="C13" s="19" t="str">
        <x:v>EEG-0168</x:v>
      </x:c>
      <x:c r="D13" s="19" t="str">
        <x:v>Tao (2024)</x:v>
      </x:c>
      <x:c r="E13" s="19" t="str">
        <x:v>MPDB paper DOI 10.1038/s41597-024-03222-2 and Figshare 22193119</x:v>
      </x:c>
      <x:c r="F13" s="19" t="str">
        <x:v>CONFIRMED_PAPER_REPOSITORY_CROSSWALK</x:v>
      </x:c>
      <x:c r="G13" s="19" t="str">
        <x:v>MERGED_AS_SAME_DOWNLOAD_UNIT</x:v>
      </x:c>
      <x:c r="H13" s="19" t="str">
        <x:v>Original ID retained in this audit; aliases/tasks/sources merged into EEG-0162. No server files or completion markers were changed.</x:v>
      </x:c>
    </x:row>
    <x:row r="14" ht="48" customHeight="1">
      <x:c r="A14" s="19" t="str">
        <x:v>EEG-0330</x:v>
      </x:c>
      <x:c r="B14" s="19" t="str">
        <x:v>EEGET-RSOD</x:v>
      </x:c>
      <x:c r="C14" s="19" t="str">
        <x:v>EEG-0546</x:v>
      </x:c>
      <x:c r="D14" s="19" t="str">
        <x:v>He (2025)</x:v>
      </x:c>
      <x:c r="E14" s="19" t="str">
        <x:v>Figshare article 26943565</x:v>
      </x:c>
      <x:c r="F14" s="19" t="str">
        <x:v>CONFIRMED_SAME_REPOSITORY_ID</x:v>
      </x:c>
      <x:c r="G14" s="19" t="str">
        <x:v>MERGED_AS_SAME_DOWNLOAD_UNIT</x:v>
      </x:c>
      <x:c r="H14" s="19" t="str">
        <x:v>Original ID retained in this audit; aliases/tasks/sources merged into EEG-0330. No server files or completion markers were changed.</x:v>
      </x:c>
    </x:row>
    <x:row r="15" ht="48" customHeight="1">
      <x:c r="A15" s="19" t="str">
        <x:v>EEG-0346</x:v>
      </x:c>
      <x:c r="B15" s="19" t="str">
        <x:v>NATVIEW (EEG-fMRI)</x:v>
      </x:c>
      <x:c r="C15" s="19" t="str">
        <x:v>EEG-0347</x:v>
      </x:c>
      <x:c r="D15" s="19" t="str">
        <x:v>Telesford (2023)</x:v>
      </x:c>
      <x:c r="E15" s="19" t="str">
        <x:v>NATVIEW/NITRC official project identity</x:v>
      </x:c>
      <x:c r="F15" s="19" t="str">
        <x:v>CONFIRMED_OFFICIAL_ALIAS</x:v>
      </x:c>
      <x:c r="G15" s="19" t="str">
        <x:v>MERGED_AS_SAME_DOWNLOAD_UNIT</x:v>
      </x:c>
      <x:c r="H15" s="19" t="str">
        <x:v>Original ID retained in this audit; aliases/tasks/sources merged into EEG-0346. No server files or completion markers were changed.</x:v>
      </x:c>
    </x:row>
    <x:row r="16" ht="48" customHeight="1">
      <x:c r="A16" s="19" t="str">
        <x:v>EEG-0399</x:v>
      </x:c>
      <x:c r="B16" s="19" t="str">
        <x:v>MI-Joints (EEG-fNIRS)</x:v>
      </x:c>
      <x:c r="C16" s="19" t="str">
        <x:v>EEG-0417</x:v>
      </x:c>
      <x:c r="D16" s="19" t="str">
        <x:v>Yi (2025)</x:v>
      </x:c>
      <x:c r="E16" s="19" t="str">
        <x:v>Figshare article 24123303</x:v>
      </x:c>
      <x:c r="F16" s="19" t="str">
        <x:v>CONFIRMED_SAME_REPOSITORY_ID</x:v>
      </x:c>
      <x:c r="G16" s="19" t="str">
        <x:v>MERGED_AS_SAME_DOWNLOAD_UNIT</x:v>
      </x:c>
      <x:c r="H16" s="19" t="str">
        <x:v>Original ID retained in this audit; aliases/tasks/sources merged into EEG-0399. No server files or completion markers were changed.</x:v>
      </x:c>
    </x:row>
    <x:row r="17" ht="48" customHeight="1">
      <x:c r="A17" s="19" t="str">
        <x:v>EEG-0363</x:v>
      </x:c>
      <x:c r="B17" s="19" t="str">
        <x:v>BNCI 002-2014 (Two-class MI)</x:v>
      </x:c>
      <x:c r="C17" s="19" t="str">
        <x:v>EEG-0367</x:v>
      </x:c>
      <x:c r="D17" s="19" t="str">
        <x:v>BNCI2014002</x:v>
      </x:c>
      <x:c r="E17" s="19" t="str">
        <x:v>BNCI 002-2014 / BNCI2014002</x:v>
      </x:c>
      <x:c r="F17" s="19" t="str">
        <x:v>CONFIRMED_OFFICIAL_ALIAS</x:v>
      </x:c>
      <x:c r="G17" s="19" t="str">
        <x:v>MERGED_AS_SAME_DOWNLOAD_UNIT</x:v>
      </x:c>
      <x:c r="H17" s="19" t="str">
        <x:v>Original ID retained in this audit; aliases/tasks/sources merged into EEG-0363. No server files or completion markers were changed.</x:v>
      </x:c>
    </x:row>
    <x:row r="18" ht="48" customHeight="1">
      <x:c r="A18" s="19" t="str">
        <x:v>EEG-0471</x:v>
      </x:c>
      <x:c r="B18" s="19" t="str">
        <x:v>BNCI 009-2014 (Covert and overt ERP)</x:v>
      </x:c>
      <x:c r="C18" s="19" t="str">
        <x:v>EEG-0476</x:v>
      </x:c>
      <x:c r="D18" s="19" t="str">
        <x:v>BNCI2014_009</x:v>
      </x:c>
      <x:c r="E18" s="19" t="str">
        <x:v>BNCI 009-2014 / BNCI2014_009</x:v>
      </x:c>
      <x:c r="F18" s="19" t="str">
        <x:v>CONFIRMED_OFFICIAL_ALIAS</x:v>
      </x:c>
      <x:c r="G18" s="19" t="str">
        <x:v>MERGED_AS_SAME_DOWNLOAD_UNIT</x:v>
      </x:c>
      <x:c r="H18" s="19" t="str">
        <x:v>Original ID retained in this audit; aliases/tasks/sources merged into EEG-0471. No server files or completion markers were changed.</x:v>
      </x:c>
    </x:row>
    <x:row r="19" ht="48" customHeight="1">
      <x:c r="A19" s="19" t="str">
        <x:v>EEG-0360</x:v>
      </x:c>
      <x:c r="B19" s="19" t="str">
        <x:v>BNCI 001-2015 (Autocalibration</x:v>
      </x:c>
      <x:c r="C19" s="19" t="str">
        <x:v>EEG-0368</x:v>
      </x:c>
      <x:c r="D19" s="19" t="str">
        <x:v>BNCI2015001</x:v>
      </x:c>
      <x:c r="E19" s="19" t="str">
        <x:v>BNCI 001-2015 / BNCI2015001</x:v>
      </x:c>
      <x:c r="F19" s="19" t="str">
        <x:v>CONFIRMED_OFFICIAL_ALIAS</x:v>
      </x:c>
      <x:c r="G19" s="19" t="str">
        <x:v>MERGED_AS_SAME_DOWNLOAD_UNIT</x:v>
      </x:c>
      <x:c r="H19" s="19" t="str">
        <x:v>Original ID retained in this audit; aliases/tasks/sources merged into EEG-0360. No server files or completion markers were changed.</x:v>
      </x:c>
    </x:row>
    <x:row r="20" ht="48" customHeight="1">
      <x:c r="A20" s="19" t="str">
        <x:v>EEG-0468</x:v>
      </x:c>
      <x:c r="B20" s="19" t="str">
        <x:v>BNCI 003-2015 (Visual P300 speller)</x:v>
      </x:c>
      <x:c r="C20" s="19" t="str">
        <x:v>EEG-0477</x:v>
      </x:c>
      <x:c r="D20" s="19" t="str">
        <x:v>BNCI2015_003</x:v>
      </x:c>
      <x:c r="E20" s="19" t="str">
        <x:v>BNCI 003-2015 / BNCI2015_003</x:v>
      </x:c>
      <x:c r="F20" s="19" t="str">
        <x:v>CONFIRMED_OFFICIAL_ALIAS</x:v>
      </x:c>
      <x:c r="G20" s="19" t="str">
        <x:v>MERGED_AS_SAME_DOWNLOAD_UNIT</x:v>
      </x:c>
      <x:c r="H20" s="19" t="str">
        <x:v>Original ID retained in this audit; aliases/tasks/sources merged into EEG-0468. No server files or completion markers were changed.</x:v>
      </x:c>
    </x:row>
    <x:row r="21" ht="48" customHeight="1">
      <x:c r="A21" s="19" t="str">
        <x:v>EEG-0208</x:v>
      </x:c>
      <x:c r="B21" s="19" t="str">
        <x:v>BNCI 004-2015 (Individual imagery)</x:v>
      </x:c>
      <x:c r="C21" s="19" t="str">
        <x:v>EEG-0365</x:v>
      </x:c>
      <x:c r="D21" s="19" t="str">
        <x:v>BNCI 004-2015 (Individual imagery)</x:v>
      </x:c>
      <x:c r="E21" s="19" t="str">
        <x:v>BNCI 004-2015 / BNCI2015_004</x:v>
      </x:c>
      <x:c r="F21" s="19" t="str">
        <x:v>CONFIRMED_OFFICIAL_ALIAS</x:v>
      </x:c>
      <x:c r="G21" s="19" t="str">
        <x:v>MERGED_AS_SAME_DOWNLOAD_UNIT</x:v>
      </x:c>
      <x:c r="H21" s="19" t="str">
        <x:v>Original ID retained in this audit; aliases/tasks/sources merged into EEG-0208. No server files or completion markers were changed.</x:v>
      </x:c>
    </x:row>
    <x:row r="22" ht="48" customHeight="1">
      <x:c r="A22" s="19" t="str">
        <x:v>EEG-0154</x:v>
      </x:c>
      <x:c r="B22" s="19" t="str">
        <x:v>BNCI 002-2016 (Emergency braking during simulated driving)</x:v>
      </x:c>
      <x:c r="C22" s="19" t="str">
        <x:v>EEG-0155</x:v>
      </x:c>
      <x:c r="D22" s="19" t="str">
        <x:v>BNCI2016_002 (Emergency Braking driving)</x:v>
      </x:c>
      <x:c r="E22" s="19" t="str">
        <x:v>BNCI 002-2016 / BNCI2016_002</x:v>
      </x:c>
      <x:c r="F22" s="19" t="str">
        <x:v>CONFIRMED_OFFICIAL_ALIAS</x:v>
      </x:c>
      <x:c r="G22" s="19" t="str">
        <x:v>MERGED_AS_SAME_DOWNLOAD_UNIT</x:v>
      </x:c>
      <x:c r="H22" s="19" t="str">
        <x:v>Original ID retained in this audit; aliases/tasks/sources merged into EEG-0154. No server files or completion markers were changed.</x:v>
      </x:c>
    </x:row>
    <x:row r="23" ht="48" customHeight="1">
      <x:c r="A23" s="19" t="str">
        <x:v>EEG-0369</x:v>
      </x:c>
      <x:c r="B23" s="19" t="str">
        <x:v>BNCI 001-2019 (Attempted arm movement)</x:v>
      </x:c>
      <x:c r="C23" s="19" t="str">
        <x:v>EEG-0496</x:v>
      </x:c>
      <x:c r="D23" s="19" t="str">
        <x:v>BNCI 001-2019 (Attempted arm</x:v>
      </x:c>
      <x:c r="E23" s="19" t="str">
        <x:v>BNCI 001-2019 / BNCI2019_001</x:v>
      </x:c>
      <x:c r="F23" s="19" t="str">
        <x:v>CONFIRMED_OFFICIAL_ALIAS</x:v>
      </x:c>
      <x:c r="G23" s="19" t="str">
        <x:v>MERGED_AS_SAME_DOWNLOAD_UNIT</x:v>
      </x:c>
      <x:c r="H23" s="19" t="str">
        <x:v>Original ID retained in this audit; aliases/tasks/sources merged into EEG-0369. No server files or completion markers were changed.</x:v>
      </x:c>
    </x:row>
    <x:row r="24" ht="48" customHeight="1">
      <x:c r="A24" s="19" t="str">
        <x:v>EEG-0362</x:v>
      </x:c>
      <x:c r="B24" s="19" t="str">
        <x:v>BNCI 001-2020 (Reach &amp; grasp, gel</x:v>
      </x:c>
      <x:c r="C24" s="19" t="str">
        <x:v>EEG-0370</x:v>
      </x:c>
      <x:c r="D24" s="19" t="str">
        <x:v>BNCI2020_001</x:v>
      </x:c>
      <x:c r="E24" s="19" t="str">
        <x:v>BNCI 001-2020 / BNCI2020_001</x:v>
      </x:c>
      <x:c r="F24" s="19" t="str">
        <x:v>CONFIRMED_OFFICIAL_ALIAS</x:v>
      </x:c>
      <x:c r="G24" s="19" t="str">
        <x:v>MERGED_AS_SAME_DOWNLOAD_UNIT</x:v>
      </x:c>
      <x:c r="H24" s="19" t="str">
        <x:v>Original ID retained in this audit; aliases/tasks/sources merged into EEG-0362. No server files or completion markers were changed.</x:v>
      </x:c>
    </x:row>
    <x:row r="25" ht="48" customHeight="1">
      <x:c r="A25" s="19" t="str">
        <x:v>EEG-0371</x:v>
      </x:c>
      <x:c r="B25" s="19" t="str">
        <x:v>BNCI2022_001 (Difficulty level)</x:v>
      </x:c>
      <x:c r="C25" s="19" t="str">
        <x:v>EEG-0526</x:v>
      </x:c>
      <x:c r="D25" s="19" t="str">
        <x:v>BNCI 001-2022 (EEG correlates of difficulty level)</x:v>
      </x:c>
      <x:c r="E25" s="19" t="str">
        <x:v>BNCI 001-2022 / BNCI2022_001</x:v>
      </x:c>
      <x:c r="F25" s="19" t="str">
        <x:v>CONFIRMED_OFFICIAL_ALIAS</x:v>
      </x:c>
      <x:c r="G25" s="19" t="str">
        <x:v>MERGED_AS_SAME_DOWNLOAD_UNIT</x:v>
      </x:c>
      <x:c r="H25" s="19" t="str">
        <x:v>Original ID retained in this audit; aliases/tasks/sources merged into EEG-0371. No server files or completion markers were changed.</x:v>
      </x:c>
    </x:row>
    <x:row r="26" ht="48" customHeight="1">
      <x:c r="A26" s="19" t="str">
        <x:v>EEG-0372</x:v>
      </x:c>
      <x:c r="B26" s="19" t="str">
        <x:v>BNCI2024_001 (Handwritten characters)</x:v>
      </x:c>
      <x:c r="C26" s="19" t="str">
        <x:v>EEG-0527</x:v>
      </x:c>
      <x:c r="D26" s="19" t="str">
        <x:v>BNCI 001-2024 (Handwritten character classification through continuous kinematic decoding)</x:v>
      </x:c>
      <x:c r="E26" s="19" t="str">
        <x:v>BNCI 001-2024 / BNCI2024_001</x:v>
      </x:c>
      <x:c r="F26" s="19" t="str">
        <x:v>CONFIRMED_OFFICIAL_ALIAS</x:v>
      </x:c>
      <x:c r="G26" s="19" t="str">
        <x:v>MERGED_AS_SAME_DOWNLOAD_UNIT</x:v>
      </x:c>
      <x:c r="H26" s="19" t="str">
        <x:v>Original ID retained in this audit; aliases/tasks/sources merged into EEG-0372. No server files or completion markers were changed.</x:v>
      </x:c>
    </x:row>
    <x:row r="27" ht="48" customHeight="1">
      <x:c r="A27" s="19" t="str">
        <x:v>EEG-0373</x:v>
      </x:c>
      <x:c r="B27" s="19" t="str">
        <x:v>BNCI2025_001 (Motor Kinematics Reaching)</x:v>
      </x:c>
      <x:c r="C27" s="19" t="str">
        <x:v>EEG-0528</x:v>
      </x:c>
      <x:c r="D27" s="19" t="str">
        <x:v>BNCI 001-2025 (Simultaneous encoding of speed, distance, and direction in discrete reaching)</x:v>
      </x:c>
      <x:c r="E27" s="19" t="str">
        <x:v>BNCI 001-2025 / BNCI2025_001</x:v>
      </x:c>
      <x:c r="F27" s="19" t="str">
        <x:v>CONFIRMED_OFFICIAL_ALIAS</x:v>
      </x:c>
      <x:c r="G27" s="19" t="str">
        <x:v>MERGED_AS_SAME_DOWNLOAD_UNIT</x:v>
      </x:c>
      <x:c r="H27" s="19" t="str">
        <x:v>Original ID retained in this audit; aliases/tasks/sources merged into EEG-0373. No server files or completion markers were changed.</x:v>
      </x:c>
    </x:row>
    <x:row r="28" ht="48" customHeight="1">
      <x:c r="A28" s="19" t="str">
        <x:v>EEG-0374</x:v>
      </x:c>
      <x:c r="B28" s="19" t="str">
        <x:v>BNCI2025_002 (Continuous 2D Trajectory)</x:v>
      </x:c>
      <x:c r="C28" s="19" t="str">
        <x:v>EEG-0529</x:v>
      </x:c>
      <x:c r="D28" s="19" t="str">
        <x:v>BNCI 002-2025 (Continuous 2D trajectory decoding from attempted movement)</x:v>
      </x:c>
      <x:c r="E28" s="19" t="str">
        <x:v>BNCI 002-2025 / BNCI2025_002</x:v>
      </x:c>
      <x:c r="F28" s="19" t="str">
        <x:v>CONFIRMED_OFFICIAL_ALIAS</x:v>
      </x:c>
      <x:c r="G28" s="19" t="str">
        <x:v>MERGED_AS_SAME_DOWNLOAD_UNIT</x:v>
      </x:c>
      <x:c r="H28" s="19" t="str">
        <x:v>Original ID retained in this audit; aliases/tasks/sources merged into EEG-0374. No server files or completion markers were changed.</x:v>
      </x:c>
    </x:row>
    <x:row r="29" ht="48" customHeight="1">
      <x:c r="A29" s="19" t="str">
        <x:v>EEG-0189</x:v>
      </x:c>
      <x:c r="B29" s="19" t="str">
        <x:v>SAM 40</x:v>
      </x:c>
      <x:c r="C29" s="19" t="str">
        <x:v>EEG-0233</x:v>
      </x:c>
      <x:c r="D29" s="19" t="str">
        <x:v>Ghosh (2019)</x:v>
      </x:c>
      <x:c r="E29" s="19" t="str">
        <x:v>Figshare article 14562090</x:v>
      </x:c>
      <x:c r="F29" s="19" t="str">
        <x:v>CONFIRMED_SAME_REPOSITORY_ID</x:v>
      </x:c>
      <x:c r="G29" s="19" t="str">
        <x:v>MERGED_AS_SAME_DOWNLOAD_UNIT</x:v>
      </x:c>
      <x:c r="H29" s="19" t="str">
        <x:v>Original ID retained in this audit; aliases/tasks/sources merged into EEG-0189. No server files or completion markers were changed.</x:v>
      </x:c>
    </x:row>
    <x:row r="30" ht="48" customHeight="1">
      <x:c r="A30" s="19" t="str">
        <x:v>EEG-0212</x:v>
      </x:c>
      <x:c r="B30" s="19" t="str">
        <x:v>Chen (2024)</x:v>
      </x:c>
      <x:c r="C30" s="19" t="str">
        <x:v>EEG-0218</x:v>
      </x:c>
      <x:c r="D30" s="19" t="str">
        <x:v>Deception-Game</x:v>
      </x:c>
      <x:c r="E30" s="19" t="str">
        <x:v>Figshare article 24760827</x:v>
      </x:c>
      <x:c r="F30" s="19" t="str">
        <x:v>CONFIRMED_SAME_REPOSITORY_ID</x:v>
      </x:c>
      <x:c r="G30" s="19" t="str">
        <x:v>MERGED_AS_SAME_DOWNLOAD_UNIT</x:v>
      </x:c>
      <x:c r="H30" s="19" t="str">
        <x:v>Original ID retained in this audit; aliases/tasks/sources merged into EEG-0212. No server files or completion markers were changed.</x:v>
      </x:c>
    </x:row>
    <x:row r="31" ht="48" customHeight="1">
      <x:c r="A31" s="19" t="str">
        <x:v>EEG-0085</x:v>
      </x:c>
      <x:c r="B31" s="19" t="str">
        <x:v>Lower-Limb-MI (stroke)</x:v>
      </x:c>
      <x:c r="C31" s="19" t="str">
        <x:v>EEG-0396</x:v>
      </x:c>
      <x:c r="D31" s="19" t="str">
        <x:v>Liu (2019)</x:v>
      </x:c>
      <x:c r="E31" s="19" t="str">
        <x:v>Figshare article 27130299</x:v>
      </x:c>
      <x:c r="F31" s="19" t="str">
        <x:v>CONFIRMED_SAME_REPOSITORY_ID</x:v>
      </x:c>
      <x:c r="G31" s="19" t="str">
        <x:v>MERGED_AS_SAME_DOWNLOAD_UNIT</x:v>
      </x:c>
      <x:c r="H31" s="19" t="str">
        <x:v>Original ID retained in this audit; aliases/tasks/sources merged into EEG-0085. No server files or completion markers were changed.</x:v>
      </x:c>
    </x:row>
    <x:row r="32" ht="48" customHeight="1">
      <x:c r="A32" s="19" t="str">
        <x:v>EEG-0167</x:v>
      </x:c>
      <x:c r="B32" s="19" t="str">
        <x:v>SPIS</x:v>
      </x:c>
      <x:c r="C32" s="19" t="str">
        <x:v>EEG-0250</x:v>
      </x:c>
      <x:c r="D32" s="19" t="str">
        <x:v>SPIS Resting State Dataset</x:v>
      </x:c>
      <x:c r="E32" s="19" t="str">
        <x:v>GitHub repository mastaneht/SPIS-Resting-State-Dataset</x:v>
      </x:c>
      <x:c r="F32" s="19" t="str">
        <x:v>CONFIRMED_SAME_REPOSITORY_ID</x:v>
      </x:c>
      <x:c r="G32" s="19" t="str">
        <x:v>MERGED_AS_SAME_DOWNLOAD_UNIT</x:v>
      </x:c>
      <x:c r="H32" s="19" t="str">
        <x:v>Original ID retained in this audit; aliases/tasks/sources merged into EEG-0167. No server files or completion markers were changed.</x:v>
      </x:c>
    </x:row>
    <x:row r="33" ht="48" customHeight="1">
      <x:c r="A33" s="19" t="str">
        <x:v>EEG-0180</x:v>
      </x:c>
      <x:c r="B33" s="19" t="str">
        <x:v>eNTERFACE 2006 (Emobrain) Dataset</x:v>
      </x:c>
      <x:c r="C33" s="19" t="str">
        <x:v>EEG-0177</x:v>
      </x:c>
      <x:c r="D33" s="19" t="str">
        <x:v>Emobrain</x:v>
      </x:c>
      <x:c r="E33" s="19" t="str">
        <x:v>User-confirmed catalog identity; retain the five-subject eNTERFACE 2006 release as canonical</x:v>
      </x:c>
      <x:c r="F33" s="19" t="str">
        <x:v>CONFIRMED_USER_REVIEW</x:v>
      </x:c>
      <x:c r="G33" s="19" t="str">
        <x:v>MERGED_AS_SAME_DOWNLOAD_UNIT</x:v>
      </x:c>
      <x:c r="H33" s="19" t="str">
        <x:v>Original ID retained in this audit; aliases/tasks/sources merged into EEG-0180. No server files or completion markers were changed.</x:v>
      </x:c>
    </x:row>
    <x:row r="34" ht="48" customHeight="1">
      <x:c r="A34" s="19" t="str">
        <x:v>EEG-0519</x:v>
      </x:c>
      <x:c r="B34" s="19" t="str">
        <x:v>Cuban Human Brain Mapping Project (CHBMP)</x:v>
      </x:c>
      <x:c r="C34" s="19" t="str">
        <x:v>EEG-0147</x:v>
      </x:c>
      <x:c r="D34" s="19" t="str">
        <x:v>Valdes-Sosa (2021)</x:v>
      </x:c>
      <x:c r="E34" s="19" t="str">
        <x:v>CHBMP / Synapse syn22324937 / LORIS; DOI 10.1038/s41597-021-00829-7</x:v>
      </x:c>
      <x:c r="F34" s="19" t="str">
        <x:v>CONFIRMED_OFFICIAL_ALIAS</x:v>
      </x:c>
      <x:c r="G34" s="19" t="str">
        <x:v>MERGED_AS_SAME_DOWNLOAD_UNIT</x:v>
      </x:c>
      <x:c r="H34" s="19" t="str">
        <x:v>Original ID retained in this audit; aliases/tasks/sources merged into EEG-0519. No server files or completion markers were changed.</x:v>
      </x:c>
    </x:row>
    <x:row r="35" ht="48" customHeight="1">
      <x:c r="A35" s="19" t="str">
        <x:v>EEG-0519</x:v>
      </x:c>
      <x:c r="B35" s="19" t="str">
        <x:v>Cuban Human Brain Mapping Project (CHBMP)</x:v>
      </x:c>
      <x:c r="C35" s="19" t="str">
        <x:v>EEG-0498</x:v>
      </x:c>
      <x:c r="D35" s="19" t="str">
        <x:v>CHBMP</x:v>
      </x:c>
      <x:c r="E35" s="19" t="str">
        <x:v>CHBMP / Synapse syn22324937 / LORIS; DOI 10.1038/s41597-021-00829-7</x:v>
      </x:c>
      <x:c r="F35" s="19" t="str">
        <x:v>CONFIRMED_OFFICIAL_ALIAS</x:v>
      </x:c>
      <x:c r="G35" s="19" t="str">
        <x:v>MERGED_AS_SAME_DOWNLOAD_UNIT</x:v>
      </x:c>
      <x:c r="H35" s="19" t="str">
        <x:v>Original ID retained in this audit; aliases/tasks/sources merged into EEG-0519. No server files or completion markers were changed.</x:v>
      </x:c>
    </x:row>
    <x:row r="36" ht="48" customHeight="1">
      <x:c r="A36" s="19" t="str">
        <x:v>EEG-0357</x:v>
      </x:c>
      <x:c r="B36" s="19" t="str">
        <x:v>Beamforming in Noninvasive Brain–Computer Interfaces Dataset</x:v>
      </x:c>
      <x:c r="C36" s="19" t="str">
        <x:v>EEG-0406</x:v>
      </x:c>
      <x:c r="D36" s="19" t="str">
        <x:v>Munich Motor Imagery Dataset (Grosse-Wentrup 2009)</x:v>
      </x:c>
      <x:c r="E36" s="19" t="str">
        <x:v>Zenodo record 1217449</x:v>
      </x:c>
      <x:c r="F36" s="19" t="str">
        <x:v>CONFIRMED_SAME_REPOSITORY_ID</x:v>
      </x:c>
      <x:c r="G36" s="19" t="str">
        <x:v>MERGED_AS_SAME_DOWNLOAD_UNIT</x:v>
      </x:c>
      <x:c r="H36" s="19" t="str">
        <x:v>Original ID retained in this audit; aliases/tasks/sources merged into EEG-0357. No server files or completion markers were changed.</x:v>
      </x:c>
    </x:row>
    <x:row r="37" ht="48" customHeight="1">
      <x:c r="A37" s="19" t="str">
        <x:v>EEG-0262</x:v>
      </x:c>
      <x:c r="B37" s="19" t="str">
        <x:v>Cattan2019 VR P300 (Zenodo)</x:v>
      </x:c>
      <x:c r="C37" s="19" t="str">
        <x:v>EEG-0491</x:v>
      </x:c>
      <x:c r="D37" s="19" t="str">
        <x:v>VR.EEG.2018-GIPSA (Brain Invaders VR 2018)</x:v>
      </x:c>
      <x:c r="E37" s="19" t="str">
        <x:v>Zenodo record 2605204</x:v>
      </x:c>
      <x:c r="F37" s="19" t="str">
        <x:v>CONFIRMED_SAME_REPOSITORY_ID</x:v>
      </x:c>
      <x:c r="G37" s="19" t="str">
        <x:v>MERGED_AS_SAME_DOWNLOAD_UNIT</x:v>
      </x:c>
      <x:c r="H37" s="19" t="str">
        <x:v>Original ID retained in this audit; aliases/tasks/sources merged into EEG-0262. No server files or completion markers were changed.</x:v>
      </x:c>
    </x:row>
    <x:row r="38" ht="48" customHeight="1">
      <x:c r="A38" s="19" t="str">
        <x:v>EEG-0066</x:v>
      </x:c>
      <x:c r="B38" s="19" t="str">
        <x:v>AMIGOS</x:v>
      </x:c>
      <x:c r="C38" s="19" t="str">
        <x:v>EEG-0109</x:v>
      </x:c>
      <x:c r="D38" s="19" t="str">
        <x:v>AMIGOS</x:v>
      </x:c>
      <x:c r="E38" s="19" t="str">
        <x:v>AMIGOS official dataset and paper identity</x:v>
      </x:c>
      <x:c r="F38" s="19" t="str">
        <x:v>CONFIRMED_OFFICIAL_ALIAS</x:v>
      </x:c>
      <x:c r="G38" s="19" t="str">
        <x:v>MERGED_AS_SAME_DOWNLOAD_UNIT</x:v>
      </x:c>
      <x:c r="H38" s="19" t="str">
        <x:v>Original ID retained in this audit; aliases/tasks/sources merged into EEG-0066. No server files or completion markers were changed.</x:v>
      </x:c>
    </x:row>
    <x:row r="39" ht="48" customHeight="1">
      <x:c r="A39" s="19" t="str">
        <x:v>EEG-0076</x:v>
      </x:c>
      <x:c r="B39" s="19" t="str">
        <x:v>DEAP</x:v>
      </x:c>
      <x:c r="C39" s="19" t="str">
        <x:v>EEG-0118</x:v>
      </x:c>
      <x:c r="D39" s="19" t="str">
        <x:v>DEAP</x:v>
      </x:c>
      <x:c r="E39" s="19" t="str">
        <x:v>DEAP official QMUL dataset; arousal is a task/label view, not a separate download unit</x:v>
      </x:c>
      <x:c r="F39" s="19" t="str">
        <x:v>CONFIRMED_OFFICIAL_ALIAS</x:v>
      </x:c>
      <x:c r="G39" s="19" t="str">
        <x:v>MERGED_AS_SAME_DOWNLOAD_UNIT</x:v>
      </x:c>
      <x:c r="H39" s="19" t="str">
        <x:v>Original ID retained in this audit; aliases/tasks/sources merged into EEG-0076. No server files or completion markers were changed.</x:v>
      </x:c>
    </x:row>
    <x:row r="40" ht="48" customHeight="1">
      <x:c r="A40" s="19" t="str">
        <x:v>EEG-0076</x:v>
      </x:c>
      <x:c r="B40" s="19" t="str">
        <x:v>DEAP</x:v>
      </x:c>
      <x:c r="C40" s="19" t="str">
        <x:v>EEG-0119</x:v>
      </x:c>
      <x:c r="D40" s="19" t="str">
        <x:v>DEAP-arousal</x:v>
      </x:c>
      <x:c r="E40" s="19" t="str">
        <x:v>DEAP official QMUL dataset; arousal is a task/label view, not a separate download unit</x:v>
      </x:c>
      <x:c r="F40" s="19" t="str">
        <x:v>CONFIRMED_OFFICIAL_ALIAS</x:v>
      </x:c>
      <x:c r="G40" s="19" t="str">
        <x:v>MERGED_AS_SAME_DOWNLOAD_UNIT</x:v>
      </x:c>
      <x:c r="H40" s="19" t="str">
        <x:v>Original ID retained in this audit; aliases/tasks/sources merged into EEG-0076. No server files or completion markers were changed.</x:v>
      </x:c>
    </x:row>
    <x:row r="41" ht="48" customHeight="1">
      <x:c r="A41" s="19" t="str">
        <x:v>EEG-0069</x:v>
      </x:c>
      <x:c r="B41" s="19" t="str">
        <x:v>Tsinghua SSVEP Benchmark (Wang 2016)</x:v>
      </x:c>
      <x:c r="C41" s="19" t="str">
        <x:v>EEG-0445</x:v>
      </x:c>
      <x:c r="D41" s="19" t="str">
        <x:v>SSVEP Benchmark (Wang 2016)</x:v>
      </x:c>
      <x:c r="E41" s="19" t="str">
        <x:v>Tsinghua SSVEP Benchmark / Wang 2016</x:v>
      </x:c>
      <x:c r="F41" s="19" t="str">
        <x:v>CONFIRMED_OFFICIAL_ALIAS</x:v>
      </x:c>
      <x:c r="G41" s="19" t="str">
        <x:v>MERGED_AS_SAME_DOWNLOAD_UNIT</x:v>
      </x:c>
      <x:c r="H41" s="19" t="str">
        <x:v>Original ID retained in this audit; aliases/tasks/sources merged into EEG-0069. No server files or completion markers were changed.</x:v>
      </x:c>
    </x:row>
    <x:row r="42" ht="48" customHeight="1">
      <x:c r="A42" s="19" t="str">
        <x:v>EEG-0420</x:v>
      </x:c>
      <x:c r="B42" s="19" t="str">
        <x:v>BETA SSVEP Dataset</x:v>
      </x:c>
      <x:c r="C42" s="19" t="str">
        <x:v>EEG-0450</x:v>
      </x:c>
      <x:c r="D42" s="19" t="str">
        <x:v>Tsinghua BETA SSVEP</x:v>
      </x:c>
      <x:c r="E42" s="19" t="str">
        <x:v>BETA SSVEP official dataset / Figshare 12264401</x:v>
      </x:c>
      <x:c r="F42" s="19" t="str">
        <x:v>CONFIRMED_OFFICIAL_ALIAS</x:v>
      </x:c>
      <x:c r="G42" s="19" t="str">
        <x:v>MERGED_AS_SAME_DOWNLOAD_UNIT</x:v>
      </x:c>
      <x:c r="H42" s="19" t="str">
        <x:v>Original ID retained in this audit; aliases/tasks/sources merged into EEG-0420. No server files or completion markers were changed.</x:v>
      </x:c>
    </x:row>
    <x:row r="43" ht="48" customHeight="1">
      <x:c r="A43" s="19" t="str">
        <x:v>EEG-0429</x:v>
      </x:c>
      <x:c r="B43" s="19" t="str">
        <x:v>Dong2023</x:v>
      </x:c>
      <x:c r="C43" s="19" t="str">
        <x:v>EEG-0430</x:v>
      </x:c>
      <x:c r="D43" s="19" t="str">
        <x:v>Dong2023 - SSVEP EEG Dataset</x:v>
      </x:c>
      <x:c r="E43" s="19" t="str">
        <x:v>Dong2023 MOABB wrapper and Zenodo 18847318</x:v>
      </x:c>
      <x:c r="F43" s="19" t="str">
        <x:v>CONFIRMED_PAPER_REPOSITORY_CROSSWALK</x:v>
      </x:c>
      <x:c r="G43" s="19" t="str">
        <x:v>MERGED_AS_SAME_DOWNLOAD_UNIT</x:v>
      </x:c>
      <x:c r="H43" s="19" t="str">
        <x:v>Original ID retained in this audit; aliases/tasks/sources merged into EEG-0429. No server files or completion markers were changed.</x:v>
      </x:c>
    </x:row>
    <x:row r="44" ht="48" customHeight="1">
      <x:c r="A44" s="19" t="str">
        <x:v>EEG-0446</x:v>
      </x:c>
      <x:c r="B44" s="19" t="str">
        <x:v>Human SSVEPs 1-60 Hz - Complete Collection</x:v>
      </x:c>
      <x:c r="C44" s="19" t="str">
        <x:v>EEG-0437</x:v>
      </x:c>
      <x:c r="D44" s="19" t="str">
        <x:v>Human SSVEPs 1–60 Hz Dataset</x:v>
      </x:c>
      <x:c r="E44" s="19" t="str">
        <x:v>Figshare 23641017 is the early 15-subject partial release; collection 6752910 is the formal 30-subject complete release</x:v>
      </x:c>
      <x:c r="F44" s="19" t="str">
        <x:v>CONFIRMED_VERSION_SUCCESSOR</x:v>
      </x:c>
      <x:c r="G44" s="19" t="str">
        <x:v>MERGED_AS_SAME_DOWNLOAD_UNIT</x:v>
      </x:c>
      <x:c r="H44" s="19" t="str">
        <x:v>Original ID retained in this audit; aliases/tasks/sources merged into EEG-0446. No server files or completion markers were changed.</x:v>
      </x:c>
    </x:row>
    <x:row r="45" ht="48" customHeight="1">
      <x:c r="A45" s="19" t="str">
        <x:v>EEG-0179</x:v>
      </x:c>
      <x:c r="B45" s="19" t="str">
        <x:v>Emotion (Voice-UI)</x:v>
      </x:c>
      <x:c r="C45" s="19" t="str">
        <x:v>EEG-0198</x:v>
      </x:c>
      <x:c r="D45" s="19" t="str">
        <x:v>Voice-User Interaction Emotion EEG Dataset</x:v>
      </x:c>
      <x:c r="E45" s="19" t="str">
        <x:v>Figshare collection 7207839; Voice-User Interaction Emotion EEG</x:v>
      </x:c>
      <x:c r="F45" s="19" t="str">
        <x:v>CONFIRMED_SAME_REPOSITORY_ID</x:v>
      </x:c>
      <x:c r="G45" s="19" t="str">
        <x:v>MERGED_AS_SAME_DOWNLOAD_UNIT</x:v>
      </x:c>
      <x:c r="H45" s="19" t="str">
        <x:v>Original ID retained in this audit; aliases/tasks/sources merged into EEG-0179. No server files or completion markers were changed.</x:v>
      </x:c>
    </x:row>
    <x:row r="46" ht="48" customHeight="1">
      <x:c r="A46" s="19" t="str">
        <x:v>EEG-0209</x:v>
      </x:c>
      <x:c r="B46" s="19" t="str">
        <x:v>Broderick (Cocktail party)</x:v>
      </x:c>
      <x:c r="C46" s="19" t="str">
        <x:v>EEG-0294</x:v>
      </x:c>
      <x:c r="D46" s="19" t="str">
        <x:v>Broderick (Reverse/Natural speech)</x:v>
      </x:c>
      <x:c r="E46" s="19" t="str">
        <x:v>Dryad DOI 10.5061/dryad.070jc</x:v>
      </x:c>
      <x:c r="F46" s="19" t="str">
        <x:v>CONFIRMED_SAME_REPOSITORY_ID</x:v>
      </x:c>
      <x:c r="G46" s="19" t="str">
        <x:v>MERGED_AS_SAME_DOWNLOAD_UNIT</x:v>
      </x:c>
      <x:c r="H46" s="19" t="str">
        <x:v>Original ID retained in this audit; aliases/tasks/sources merged into EEG-0209. No server files or completion markers were changed.</x:v>
      </x:c>
    </x:row>
  </x:sheetData>
  <x:pageMargins left="0.7" right="0.7" top="0.75" bottom="0.75" header="0.3" footer="0.3"/>
  <x:tableParts count="1">
    <x:tablePart xmlns:r="http://schemas.openxmlformats.org/officeDocument/2006/relationships" r:id="Rd0911a4ef8d04a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42" hidden="0" customWidth="1"/>
    <x:col min="4" max="4" width="52" hidden="0" customWidth="1"/>
    <x:col min="5" max="5" width="48" hidden="0" customWidth="1"/>
    <x:col min="6" max="6" width="46" hidden="0" customWidth="1"/>
  </x:cols>
  <x:sheetData>
    <x:row r="1" ht="36" customHeight="1">
      <x:c r="A1" s="23" t="str">
        <x:v>Review group</x:v>
      </x:c>
      <x:c r="B1" s="23" t="str">
        <x:v>List IDs</x:v>
      </x:c>
      <x:c r="C1" s="23" t="str">
        <x:v>Decision</x:v>
      </x:c>
      <x:c r="D1" s="23" t="str">
        <x:v>Canonical/result</x:v>
      </x:c>
      <x:c r="E1" s="23" t="str">
        <x:v>Evidence</x:v>
      </x:c>
      <x:c r="F1" s="23" t="str">
        <x:v>Notes</x:v>
      </x:c>
    </x:row>
    <x:row r="2" ht="58" customHeight="1">
      <x:c r="A2" s="24" t="str">
        <x:v>CAND-01</x:v>
      </x:c>
      <x:c r="B2" s="24" t="str">
        <x:v>EEG-0005 / EEG-0029</x:v>
      </x:c>
      <x:c r="C2" s="24" t="str">
        <x:v>MERGED</x:v>
      </x:c>
      <x:c r="D2" s="24" t="str">
        <x:v>Keep EEG-0005; remove EEG-0029</x:v>
      </x:c>
      <x:c r="E2" s="24" t="str">
        <x:v>EEG-0005 is the newer release</x:v>
      </x:c>
      <x:c r="F2" s="24" t="str">
        <x:v>Old ID retained in duplicate evidence</x:v>
      </x:c>
    </x:row>
    <x:row r="3" ht="58" customHeight="1">
      <x:c r="A3" s="24" t="str">
        <x:v>CAND-02</x:v>
      </x:c>
      <x:c r="B3" s="24" t="str">
        <x:v>EEG-0177 / EEG-0180</x:v>
      </x:c>
      <x:c r="C3" s="24" t="str">
        <x:v>MERGED</x:v>
      </x:c>
      <x:c r="D3" s="24" t="str">
        <x:v>Keep EEG-0180; remove EEG-0177</x:v>
      </x:c>
      <x:c r="E3" s="24" t="str">
        <x:v>User-confirmed catalog identity</x:v>
      </x:c>
      <x:c r="F3" s="24" t="str">
        <x:v>EEG-0180 metadata corrected to 5 subjects, 54 EEG channels and the documented sampling-rate exception</x:v>
      </x:c>
    </x:row>
    <x:row r="4" ht="58" customHeight="1">
      <x:c r="A4" s="24" t="str">
        <x:v>CAND-03</x:v>
      </x:c>
      <x:c r="B4" s="24" t="str">
        <x:v>EEG-0165 / EEG-0166</x:v>
      </x:c>
      <x:c r="C4" s="24" t="str">
        <x:v>DISTINCT</x:v>
      </x:c>
      <x:c r="D4" s="24" t="str">
        <x:v>Keep both</x:v>
      </x:c>
      <x:c r="E4" s="24" t="str">
        <x:v>Shared paper DOI but different named tasks and landing pages</x:v>
      </x:c>
      <x:c r="F4" s="24" t="str">
        <x:v>Not duplicates</x:v>
      </x:c>
    </x:row>
    <x:row r="5" ht="58" customHeight="1">
      <x:c r="A5" s="24" t="str">
        <x:v>CAND-04</x:v>
      </x:c>
      <x:c r="B5" s="24" t="str">
        <x:v>EEG-0169 / EEG-0170 / EEG-0171</x:v>
      </x:c>
      <x:c r="C5" s="24" t="str">
        <x:v>DISTINCT</x:v>
      </x:c>
      <x:c r="D5" s="24" t="str">
        <x:v>Keep all three</x:v>
      </x:c>
      <x:c r="E5" s="24" t="str">
        <x:v>Distinct OpenNeuro accessions ds002722/ds002723/ds002724</x:v>
      </x:c>
      <x:c r="F5" s="24" t="str">
        <x:v>Not duplicates</x:v>
      </x:c>
    </x:row>
    <x:row r="6" ht="58" customHeight="1">
      <x:c r="A6" s="24" t="str">
        <x:v>CAND-05</x:v>
      </x:c>
      <x:c r="B6" s="24" t="str">
        <x:v>EEG-0224 / EEG-0225</x:v>
      </x:c>
      <x:c r="C6" s="24" t="str">
        <x:v>DISTINCT</x:v>
      </x:c>
      <x:c r="D6" s="24" t="str">
        <x:v>Keep both</x:v>
      </x:c>
      <x:c r="E6" s="24" t="str">
        <x:v>Distinct OpenNeuro accessions ds004816/ds004817</x:v>
      </x:c>
      <x:c r="F6" s="24" t="str">
        <x:v>Not duplicates</x:v>
      </x:c>
    </x:row>
    <x:row r="7" ht="58" customHeight="1">
      <x:c r="A7" s="24" t="str">
        <x:v>CAND-06</x:v>
      </x:c>
      <x:c r="B7" s="24" t="str">
        <x:v>EEG-0245 / EEG-0246</x:v>
      </x:c>
      <x:c r="C7" s="24" t="str">
        <x:v>DISTINCT</x:v>
      </x:c>
      <x:c r="D7" s="24" t="str">
        <x:v>Keep both</x:v>
      </x:c>
      <x:c r="E7" s="24" t="str">
        <x:v>Different sample sizes and study components</x:v>
      </x:c>
      <x:c r="F7" s="24" t="str">
        <x:v>Not duplicates</x:v>
      </x:c>
    </x:row>
    <x:row r="8" ht="58" customHeight="1">
      <x:c r="A8" s="24" t="str">
        <x:v>CAND-07</x:v>
      </x:c>
      <x:c r="B8" s="24" t="str">
        <x:v>EEG-0437 / EEG-0446</x:v>
      </x:c>
      <x:c r="C8" s="24" t="str">
        <x:v>MERGED</x:v>
      </x:c>
      <x:c r="D8" s="24" t="str">
        <x:v>Keep EEG-0446; remove EEG-0437</x:v>
      </x:c>
      <x:c r="E8" s="24" t="str">
        <x:v>EEG-0437 is the early 15-subject partial release; EEG-0446 is the formal 30-subject complete collection</x:v>
      </x:c>
      <x:c r="F8" s="24" t="str">
        <x:v>Old ID retained in duplicate evidence</x:v>
      </x:c>
    </x:row>
  </x:sheetData>
  <x:pageMargins left="0.7" right="0.7" top="0.75" bottom="0.75" header="0.3" footer="0.3"/>
  <x:tableParts count="1">
    <x:tablePart xmlns:r="http://schemas.openxmlformats.org/officeDocument/2006/relationships" r:id="R63ea3a0efe2949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42" hidden="0" customWidth="1"/>
    <x:col min="5" max="5" width="22" hidden="0" customWidth="1"/>
    <x:col min="6" max="6" width="42" hidden="0" customWidth="1"/>
    <x:col min="7" max="7" width="34" hidden="0" customWidth="1"/>
    <x:col min="8" max="8" width="42" hidden="0" customWidth="1"/>
    <x:col min="9" max="9" width="24" hidden="0" customWidth="1"/>
    <x:col min="10" max="10" width="42" hidden="0" customWidth="1"/>
    <x:col min="11" max="11" width="48" hidden="0" customWidth="1"/>
  </x:cols>
  <x:sheetData>
    <x:row r="1" ht="36" customHeight="1">
      <x:c r="A1" s="23" t="str">
        <x:v>List ID</x:v>
      </x:c>
      <x:c r="B1" s="23" t="str">
        <x:v>Corpus</x:v>
      </x:c>
      <x:c r="C1" s="23" t="str">
        <x:v>Current official version</x:v>
      </x:c>
      <x:c r="D1" s="23" t="str">
        <x:v>Official rsync path</x:v>
      </x:c>
      <x:c r="E1" s="23" t="str">
        <x:v>Relationship to TUEG</x:v>
      </x:c>
      <x:c r="F1" s="23" t="str">
        <x:v>Subjects/records</x:v>
      </x:c>
      <x:c r="G1" s="23" t="str">
        <x:v>Duration/size</x:v>
      </x:c>
      <x:c r="H1" s="23" t="str">
        <x:v>Task/annotation</x:v>
      </x:c>
      <x:c r="I1" s="23" t="str">
        <x:v>Download status</x:v>
      </x:c>
      <x:c r="J1" s="23" t="str">
        <x:v>Counting rule</x:v>
      </x:c>
      <x:c r="K1" s="23" t="str">
        <x:v>Official landing page</x:v>
      </x:c>
    </x:row>
    <x:row r="2" ht="62" customHeight="1">
      <x:c r="A2" s="24" t="str">
        <x:v>EEG-0582</x:v>
      </x:c>
      <x:c r="B2" s="24" t="str">
        <x:v>TUEG</x:v>
      </x:c>
      <x:c r="C2" s="24" t="str">
        <x:v>v2.0.2</x:v>
      </x:c>
      <x:c r="D2" s="24" t="str">
        <x:v>data/tuh_eeg/tuh_eeg/v2.0.2</x:v>
      </x:c>
      <x:c r="E2" s="24" t="str">
        <x:v>Parent corpus</x:v>
      </x:c>
      <x:c r="F2" s="24" t="str">
        <x:v>14,987 patients; 26,846 recordings; 69,672 EDF (v2.0.1 audit)</x:v>
      </x:c>
      <x:c r="G2" s="24" t="str">
        <x:v>27,077.3 h; about 1,643 GB (v2.0.1 audit)</x:v>
      </x:c>
      <x:c r="H2" s="24" t="str">
        <x:v>Broad clinical EEG archive</x:v>
      </x:c>
      <x:c r="I2" s="24" t="str">
        <x:v>APPLICATION_REQUIRED</x:v>
      </x:c>
      <x:c r="J2" s="24" t="str">
        <x:v>Use as the union; do not add subset totals</x:v>
      </x:c>
      <x:c r="K2" s="24" t="str">
        <x:v>https://isip.piconepress.com/projects/nedc/html/tuh_eeg/</x:v>
      </x:c>
    </x:row>
    <x:row r="3" ht="62" customHeight="1">
      <x:c r="A3" s="19" t="str">
        <x:v>EEG-0107</x:v>
      </x:c>
      <x:c r="B3" s="19" t="str">
        <x:v>TUAB</x:v>
      </x:c>
      <x:c r="C3" s="19" t="str">
        <x:v>v3.0.1</x:v>
      </x:c>
      <x:c r="D3" s="19" t="str">
        <x:v>data/tuh_eeg/tuh_eeg_abnormal/v3.0.1</x:v>
      </x:c>
      <x:c r="E3" s="19" t="str">
        <x:v>Subset of TUEG</x:v>
      </x:c>
      <x:c r="F3" s="19" t="str">
        <x:v>2,383 subjects; 2,993 sessions (catalog scope)</x:v>
      </x:c>
      <x:c r="G3" s="19" t="str">
        <x:v>See downloaded-content audit</x:v>
      </x:c>
      <x:c r="H3" s="19" t="str">
        <x:v>Normal vs abnormal</x:v>
      </x:c>
      <x:c r="I3" s="19" t="str">
        <x:v>APPLICATION_REQUIRED</x:v>
      </x:c>
      <x:c r="J3" s="19" t="str">
        <x:v>Report separately; overlaps TUEG</x:v>
      </x:c>
      <x:c r="K3" s="19" t="str">
        <x:v>https://isip.piconepress.com/projects/nedc/html/tuh_eeg/</x:v>
      </x:c>
    </x:row>
    <x:row r="4" ht="62" customHeight="1">
      <x:c r="A4" s="19" t="str">
        <x:v>EEG-0004</x:v>
      </x:c>
      <x:c r="B4" s="19" t="str">
        <x:v>TUAR</x:v>
      </x:c>
      <x:c r="C4" s="19" t="str">
        <x:v>v3.0.1</x:v>
      </x:c>
      <x:c r="D4" s="19" t="str">
        <x:v>data/tuh_eeg/tuh_eeg_artifact/v3.0.1</x:v>
      </x:c>
      <x:c r="E4" s="19" t="str">
        <x:v>Subset of TUEG</x:v>
      </x:c>
      <x:c r="F4" s="19" t="str">
        <x:v>213 subjects; about 310 sessions</x:v>
      </x:c>
      <x:c r="G4" s="19" t="str">
        <x:v>See downloaded-content audit</x:v>
      </x:c>
      <x:c r="H4" s="19" t="str">
        <x:v>Five artifact classes</x:v>
      </x:c>
      <x:c r="I4" s="19" t="str">
        <x:v>APPLICATION_REQUIRED</x:v>
      </x:c>
      <x:c r="J4" s="19" t="str">
        <x:v>Report separately; overlaps TUEG</x:v>
      </x:c>
      <x:c r="K4" s="19" t="str">
        <x:v>https://isip.piconepress.com/projects/nedc/html/tuh_eeg/</x:v>
      </x:c>
    </x:row>
    <x:row r="5" ht="62" customHeight="1">
      <x:c r="A5" s="19" t="str">
        <x:v>EEG-0033</x:v>
      </x:c>
      <x:c r="B5" s="19" t="str">
        <x:v>TUEP</x:v>
      </x:c>
      <x:c r="C5" s="19" t="str">
        <x:v>v3.1.0</x:v>
      </x:c>
      <x:c r="D5" s="19" t="str">
        <x:v>data/tuh_eeg/tuh_eeg_epilepsy/v3.1.0</x:v>
      </x:c>
      <x:c r="E5" s="19" t="str">
        <x:v>Subset of TUEG</x:v>
      </x:c>
      <x:c r="F5" s="19" t="str">
        <x:v>200 subjects</x:v>
      </x:c>
      <x:c r="G5" s="19" t="str">
        <x:v>See downloaded-content audit</x:v>
      </x:c>
      <x:c r="H5" s="19" t="str">
        <x:v>Epilepsy vs non-epilepsy; seizure/clinical metadata</x:v>
      </x:c>
      <x:c r="I5" s="19" t="str">
        <x:v>APPLICATION_REQUIRED</x:v>
      </x:c>
      <x:c r="J5" s="19" t="str">
        <x:v>Report separately; overlaps TUEG</x:v>
      </x:c>
      <x:c r="K5" s="19" t="str">
        <x:v>https://isip.piconepress.com/projects/nedc/html/tuh_eeg/</x:v>
      </x:c>
    </x:row>
    <x:row r="6" ht="62" customHeight="1">
      <x:c r="A6" s="19" t="str">
        <x:v>EEG-0034</x:v>
      </x:c>
      <x:c r="B6" s="19" t="str">
        <x:v>TUEV</x:v>
      </x:c>
      <x:c r="C6" s="19" t="str">
        <x:v>v2.0.1</x:v>
      </x:c>
      <x:c r="D6" s="19" t="str">
        <x:v>data/tuh_eeg/tuh_eeg_events/v2.0.1</x:v>
      </x:c>
      <x:c r="E6" s="19" t="str">
        <x:v>Subset of TUEG</x:v>
      </x:c>
      <x:c r="F6" s="19" t="str">
        <x:v>370 subjects; 518 recordings</x:v>
      </x:c>
      <x:c r="G6" s="19" t="str">
        <x:v>See downloaded-content audit</x:v>
      </x:c>
      <x:c r="H6" s="19" t="str">
        <x:v>Six EEG event classes</x:v>
      </x:c>
      <x:c r="I6" s="19" t="str">
        <x:v>APPLICATION_REQUIRED</x:v>
      </x:c>
      <x:c r="J6" s="19" t="str">
        <x:v>Report separately; overlaps TUEG</x:v>
      </x:c>
      <x:c r="K6" s="19" t="str">
        <x:v>https://isip.piconepress.com/projects/nedc/html/tuh_eeg/</x:v>
      </x:c>
    </x:row>
    <x:row r="7" ht="62" customHeight="1">
      <x:c r="A7" s="19" t="str">
        <x:v>EEG-0036</x:v>
      </x:c>
      <x:c r="B7" s="19" t="str">
        <x:v>TUSZ</x:v>
      </x:c>
      <x:c r="C7" s="19" t="str">
        <x:v>v2.0.6</x:v>
      </x:c>
      <x:c r="D7" s="19" t="str">
        <x:v>data/tuh_eeg/tuh_eeg_seizure/v2.0.6</x:v>
      </x:c>
      <x:c r="E7" s="19" t="str">
        <x:v>Subset of TUEG</x:v>
      </x:c>
      <x:c r="F7" s="19" t="str">
        <x:v>675 subjects; 822 sessions (catalog scope)</x:v>
      </x:c>
      <x:c r="G7" s="19" t="str">
        <x:v>See downloaded-content audit</x:v>
      </x:c>
      <x:c r="H7" s="19" t="str">
        <x:v>Seizure start/stop/channel/type annotations</x:v>
      </x:c>
      <x:c r="I7" s="19" t="str">
        <x:v>APPLICATION_REQUIRED</x:v>
      </x:c>
      <x:c r="J7" s="19" t="str">
        <x:v>Report separately; overlaps TUEG</x:v>
      </x:c>
      <x:c r="K7" s="19" t="str">
        <x:v>https://isip.piconepress.com/projects/nedc/html/tuh_eeg/</x:v>
      </x:c>
    </x:row>
    <x:row r="8" ht="62" customHeight="1">
      <x:c r="A8" s="19" t="str">
        <x:v>EEG-0035</x:v>
      </x:c>
      <x:c r="B8" s="19" t="str">
        <x:v>TUSL</x:v>
      </x:c>
      <x:c r="C8" s="19" t="str">
        <x:v>v2.0.1</x:v>
      </x:c>
      <x:c r="D8" s="19" t="str">
        <x:v>data/tuh_eeg/tuh_eeg_slowing/v2.0.1</x:v>
      </x:c>
      <x:c r="E8" s="19" t="str">
        <x:v>Subset of TUEG</x:v>
      </x:c>
      <x:c r="F8" s="19" t="str">
        <x:v>38 subjects; 112 files</x:v>
      </x:c>
      <x:c r="G8" s="19" t="str">
        <x:v>See downloaded-content audit</x:v>
      </x:c>
      <x:c r="H8" s="19" t="str">
        <x:v>Slowing event annotations</x:v>
      </x:c>
      <x:c r="I8" s="19" t="str">
        <x:v>APPLICATION_REQUIRED</x:v>
      </x:c>
      <x:c r="J8" s="19" t="str">
        <x:v>Report separately; overlaps TUEG</x:v>
      </x:c>
      <x:c r="K8" s="19" t="str">
        <x:v>https://isip.piconepress.com/projects/nedc/html/tuh_eeg/</x:v>
      </x:c>
    </x:row>
  </x:sheetData>
  <x:pageMargins left="0.7" right="0.7" top="0.75" bottom="0.75" header="0.3" footer="0.3"/>
  <x:tableParts count="1">
    <x:tablePart xmlns:r="http://schemas.openxmlformats.org/officeDocument/2006/relationships" r:id="R96b6ef7fc3d648a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38" hidden="0" customWidth="1"/>
    <x:col min="4" max="4" width="48" hidden="0" customWidth="1"/>
    <x:col min="5" max="5" width="24" hidden="0" customWidth="1"/>
    <x:col min="6" max="6" width="58" hidden="0" customWidth="1"/>
  </x:cols>
  <x:sheetData>
    <x:row r="1" ht="36" customHeight="1">
      <x:c r="A1" s="23" t="str">
        <x:v>Level</x:v>
      </x:c>
      <x:c r="B1" s="23" t="str">
        <x:v>Directory name</x:v>
      </x:c>
      <x:c r="C1" s="23" t="str">
        <x:v>Paper name</x:v>
      </x:c>
      <x:c r="D1" s="23" t="str">
        <x:v>Parent directory</x:v>
      </x:c>
      <x:c r="E1" s="23" t="str">
        <x:v>Unique download units</x:v>
      </x:c>
      <x:c r="F1" s="23" t="str">
        <x:v>Purpose</x:v>
      </x:c>
    </x:row>
    <x:row r="2" ht="34" customHeight="1">
      <x:c r="A2" s="19" t="n">
        <x:v>1</x:v>
      </x:c>
      <x:c r="B2" s="19" t="str">
        <x:v>01_Signal_Reliability</x:v>
      </x:c>
      <x:c r="C2" s="19" t="str">
        <x:v>Signal Reliability</x:v>
      </x:c>
      <x:c r="D2" s="19" t="str">
        <x:v>datasets/</x:v>
      </x:c>
      <x:c r="E2" s="25" t="n">
        <x:f>COUNTIF('最终唯一下载清单'!$B$2:$B$538,B2)</x:f>
        <x:v>4</x:v>
      </x:c>
      <x:c r="F2" s="19" t="str">
        <x:v>伪迹敏感性、信号恢复与跨会话一致性</x:v>
      </x:c>
    </x:row>
    <x:row r="3" ht="34" customHeight="1">
      <x:c r="A3" s="19" t="n">
        <x:v>2</x:v>
      </x:c>
      <x:c r="B3" s="19" t="str">
        <x:v>Artifact_Identification</x:v>
      </x:c>
      <x:c r="C3" s="19" t="str">
        <x:v>Artifact Identification</x:v>
      </x:c>
      <x:c r="D3" s="19" t="str">
        <x:v>datasets/01_Signal_Reliability/</x:v>
      </x:c>
      <x:c r="E3" s="25" t="n">
        <x:f>COUNTIFS('最终唯一下载清单'!$B$2:$B$538,"01_Signal_Reliability",'最终唯一下载清单'!$C$2:$C$538,B3)</x:f>
        <x:v>4</x:v>
      </x:c>
      <x:c r="F3" s="19" t="str">
        <x:v>按主要任务归档</x:v>
      </x:c>
    </x:row>
    <x:row r="4" ht="34" customHeight="1">
      <x:c r="A4" s="19" t="n">
        <x:v>1</x:v>
      </x:c>
      <x:c r="B4" s="19" t="str">
        <x:v>02_Biometrics_and_Disease</x:v>
      </x:c>
      <x:c r="C4" s="19" t="str">
        <x:v>Biometrics and Disease</x:v>
      </x:c>
      <x:c r="D4" s="19" t="str">
        <x:v>datasets/</x:v>
      </x:c>
      <x:c r="E4" s="25" t="n">
        <x:f>COUNTIF('最终唯一下载清单'!$B$2:$B$538,B4)</x:f>
        <x:v>0</x:v>
      </x:c>
      <x:c r="F4" s="19" t="str">
        <x:v>个体稳定特征、生物识别与疾病表型</x:v>
      </x:c>
    </x:row>
    <x:row r="5" ht="34" customHeight="1">
      <x:c r="A5" s="19" t="n">
        <x:v>2</x:v>
      </x:c>
      <x:c r="B5" s="19" t="str">
        <x:v>Biometrics_and_Traits</x:v>
      </x:c>
      <x:c r="C5" s="19" t="str">
        <x:v>Biometrics and Traits</x:v>
      </x:c>
      <x:c r="D5" s="19" t="str">
        <x:v>datasets/02_Biometrics_and_Disease/</x:v>
      </x:c>
      <x:c r="E5" s="25" t="n">
        <x:f>COUNTIFS('最终唯一下载清单'!$B$2:$B$538,"02_Biometrics_and_Disease",'最终唯一下载清单'!$C$2:$C$538,B5)</x:f>
        <x:v>0</x:v>
      </x:c>
      <x:c r="F5" s="19" t="str">
        <x:v>按主要任务归档</x:v>
      </x:c>
    </x:row>
    <x:row r="6" ht="34" customHeight="1">
      <x:c r="A6" s="19" t="n">
        <x:v>2</x:v>
      </x:c>
      <x:c r="B6" s="19" t="str">
        <x:v>Clinical_Abnormalities</x:v>
      </x:c>
      <x:c r="C6" s="19" t="str">
        <x:v>Clinical Abnormalities</x:v>
      </x:c>
      <x:c r="D6" s="19" t="str">
        <x:v>datasets/02_Biometrics_and_Disease/</x:v>
      </x:c>
      <x:c r="E6" s="25" t="n">
        <x:f>COUNTIFS('最终唯一下载清单'!$B$2:$B$538,"02_Biometrics_and_Disease",'最终唯一下载清单'!$C$2:$C$538,B6)</x:f>
        <x:v>0</x:v>
      </x:c>
      <x:c r="F6" s="19" t="str">
        <x:v>按主要任务归档</x:v>
      </x:c>
    </x:row>
    <x:row r="7" ht="34" customHeight="1">
      <x:c r="A7" s="19" t="n">
        <x:v>2</x:v>
      </x:c>
      <x:c r="B7" s="19" t="str">
        <x:v>Development_and_Lifespan</x:v>
      </x:c>
      <x:c r="C7" s="19" t="str">
        <x:v>Development and Lifespan</x:v>
      </x:c>
      <x:c r="D7" s="19" t="str">
        <x:v>datasets/02_Biometrics_and_Disease/</x:v>
      </x:c>
      <x:c r="E7" s="25" t="n">
        <x:f>COUNTIFS('最终唯一下载清单'!$B$2:$B$538,"02_Biometrics_and_Disease",'最终唯一下载清单'!$C$2:$C$538,B7)</x:f>
        <x:v>0</x:v>
      </x:c>
      <x:c r="F7" s="19" t="str">
        <x:v>按主要任务归档</x:v>
      </x:c>
    </x:row>
    <x:row r="8" ht="34" customHeight="1">
      <x:c r="A8" s="19" t="n">
        <x:v>2</x:v>
      </x:c>
      <x:c r="B8" s="19" t="str">
        <x:v>Epilepsy_and_Abnormalities</x:v>
      </x:c>
      <x:c r="C8" s="19" t="str">
        <x:v>Epilepsy and Abnormalities</x:v>
      </x:c>
      <x:c r="D8" s="19" t="str">
        <x:v>datasets/02_Biometrics_and_Disease/</x:v>
      </x:c>
      <x:c r="E8" s="25" t="n">
        <x:f>COUNTIFS('最终唯一下载清单'!$B$2:$B$538,"02_Biometrics_and_Disease",'最终唯一下载清单'!$C$2:$C$538,B8)</x:f>
        <x:v>0</x:v>
      </x:c>
      <x:c r="F8" s="19" t="str">
        <x:v>按主要任务归档</x:v>
      </x:c>
    </x:row>
    <x:row r="9" ht="34" customHeight="1">
      <x:c r="A9" s="19" t="n">
        <x:v>2</x:v>
      </x:c>
      <x:c r="B9" s="19" t="str">
        <x:v>Mental_and_Developmental_Disorders</x:v>
      </x:c>
      <x:c r="C9" s="19" t="str">
        <x:v>Mental and Developmental Disorders</x:v>
      </x:c>
      <x:c r="D9" s="19" t="str">
        <x:v>datasets/02_Biometrics_and_Disease/</x:v>
      </x:c>
      <x:c r="E9" s="25" t="n">
        <x:f>COUNTIFS('最终唯一下载清单'!$B$2:$B$538,"02_Biometrics_and_Disease",'最终唯一下载清单'!$C$2:$C$538,B9)</x:f>
        <x:v>0</x:v>
      </x:c>
      <x:c r="F9" s="19" t="str">
        <x:v>按主要任务归档</x:v>
      </x:c>
    </x:row>
    <x:row r="10" ht="34" customHeight="1">
      <x:c r="A10" s="19" t="n">
        <x:v>2</x:v>
      </x:c>
      <x:c r="B10" s="19" t="str">
        <x:v>Neurodegenerative_Disorders</x:v>
      </x:c>
      <x:c r="C10" s="19" t="str">
        <x:v>Neurodegenerative Disorders</x:v>
      </x:c>
      <x:c r="D10" s="19" t="str">
        <x:v>datasets/02_Biometrics_and_Disease/</x:v>
      </x:c>
      <x:c r="E10" s="25" t="n">
        <x:f>COUNTIFS('最终唯一下载清单'!$B$2:$B$538,"02_Biometrics_and_Disease",'最终唯一下载清单'!$C$2:$C$538,B10)</x:f>
        <x:v>0</x:v>
      </x:c>
      <x:c r="F10" s="19" t="str">
        <x:v>按主要任务归档</x:v>
      </x:c>
    </x:row>
    <x:row r="11" ht="34" customHeight="1">
      <x:c r="A11" s="19" t="n">
        <x:v>2</x:v>
      </x:c>
      <x:c r="B11" s="19" t="str">
        <x:v>Neurological_Disorders</x:v>
      </x:c>
      <x:c r="C11" s="19" t="str">
        <x:v>Neurological Disorders</x:v>
      </x:c>
      <x:c r="D11" s="19" t="str">
        <x:v>datasets/02_Biometrics_and_Disease/</x:v>
      </x:c>
      <x:c r="E11" s="25" t="n">
        <x:f>COUNTIFS('最终唯一下载清单'!$B$2:$B$538,"02_Biometrics_and_Disease",'最终唯一下载清单'!$C$2:$C$538,B11)</x:f>
        <x:v>0</x:v>
      </x:c>
      <x:c r="F11" s="19" t="str">
        <x:v>按主要任务归档</x:v>
      </x:c>
    </x:row>
    <x:row r="12" ht="34" customHeight="1">
      <x:c r="A12" s="19" t="n">
        <x:v>1</x:v>
      </x:c>
      <x:c r="B12" s="19" t="str">
        <x:v>03_Consciousness_and_State</x:v>
      </x:c>
      <x:c r="C12" s="19" t="str">
        <x:v>Consciousness and State</x:v>
      </x:c>
      <x:c r="D12" s="19" t="str">
        <x:v>datasets/</x:v>
      </x:c>
      <x:c r="E12" s="25" t="n">
        <x:f>COUNTIF('最终唯一下载清单'!$B$2:$B$538,B12)</x:f>
        <x:v>65</x:v>
      </x:c>
      <x:c r="F12" s="19" t="str">
        <x:v>意识水平、睡眠与全局脑状态</x:v>
      </x:c>
    </x:row>
    <x:row r="13" ht="34" customHeight="1">
      <x:c r="A13" s="19" t="n">
        <x:v>2</x:v>
      </x:c>
      <x:c r="B13" s="19" t="str">
        <x:v>Consciousness_Level</x:v>
      </x:c>
      <x:c r="C13" s="19" t="str">
        <x:v>Consciousness Level</x:v>
      </x:c>
      <x:c r="D13" s="19" t="str">
        <x:v>datasets/03_Consciousness_and_State/</x:v>
      </x:c>
      <x:c r="E13" s="25" t="n">
        <x:f>COUNTIFS('最终唯一下载清单'!$B$2:$B$538,"03_Consciousness_and_State",'最终唯一下载清单'!$C$2:$C$538,B13)</x:f>
        <x:v>2</x:v>
      </x:c>
      <x:c r="F13" s="19" t="str">
        <x:v>按主要任务归档</x:v>
      </x:c>
    </x:row>
    <x:row r="14" ht="34" customHeight="1">
      <x:c r="A14" s="19" t="n">
        <x:v>2</x:v>
      </x:c>
      <x:c r="B14" s="19" t="str">
        <x:v>Resting_State</x:v>
      </x:c>
      <x:c r="C14" s="19" t="str">
        <x:v>Resting State</x:v>
      </x:c>
      <x:c r="D14" s="19" t="str">
        <x:v>datasets/03_Consciousness_and_State/</x:v>
      </x:c>
      <x:c r="E14" s="25" t="n">
        <x:f>COUNTIFS('最终唯一下载清单'!$B$2:$B$538,"03_Consciousness_and_State",'最终唯一下载清单'!$C$2:$C$538,B14)</x:f>
        <x:v>28</x:v>
      </x:c>
      <x:c r="F14" s="19" t="str">
        <x:v>按主要任务归档</x:v>
      </x:c>
    </x:row>
    <x:row r="15" ht="34" customHeight="1">
      <x:c r="A15" s="19" t="n">
        <x:v>2</x:v>
      </x:c>
      <x:c r="B15" s="19" t="str">
        <x:v>Sleep_Staging</x:v>
      </x:c>
      <x:c r="C15" s="19" t="str">
        <x:v>Sleep Staging</x:v>
      </x:c>
      <x:c r="D15" s="19" t="str">
        <x:v>datasets/03_Consciousness_and_State/</x:v>
      </x:c>
      <x:c r="E15" s="25" t="n">
        <x:f>COUNTIFS('最终唯一下载清单'!$B$2:$B$538,"03_Consciousness_and_State",'最终唯一下载清单'!$C$2:$C$538,B15)</x:f>
        <x:v>35</x:v>
      </x:c>
      <x:c r="F15" s="19" t="str">
        <x:v>按主要任务归档</x:v>
      </x:c>
    </x:row>
    <x:row r="16" ht="34" customHeight="1">
      <x:c r="A16" s="19" t="n">
        <x:v>1</x:v>
      </x:c>
      <x:c r="B16" s="19" t="str">
        <x:v>04_Cognition_and_Emotion</x:v>
      </x:c>
      <x:c r="C16" s="19" t="str">
        <x:v>Cognition and Emotion</x:v>
      </x:c>
      <x:c r="D16" s="19" t="str">
        <x:v>datasets/</x:v>
      </x:c>
      <x:c r="E16" s="25" t="n">
        <x:f>COUNTIF('最终唯一下载清单'!$B$2:$B$538,B16)</x:f>
        <x:v>135</x:v>
      </x:c>
      <x:c r="F16" s="19" t="str">
        <x:v>认知负荷、任务状态、ERP与情绪</x:v>
      </x:c>
    </x:row>
    <x:row r="17" ht="34" customHeight="1">
      <x:c r="A17" s="19" t="n">
        <x:v>2</x:v>
      </x:c>
      <x:c r="B17" s="19" t="str">
        <x:v>Cognitive_Task_Recognition</x:v>
      </x:c>
      <x:c r="C17" s="19" t="str">
        <x:v>Cognitive Task Recognition</x:v>
      </x:c>
      <x:c r="D17" s="19" t="str">
        <x:v>datasets/04_Cognition_and_Emotion/</x:v>
      </x:c>
      <x:c r="E17" s="25" t="n">
        <x:f>COUNTIFS('最终唯一下载清单'!$B$2:$B$538,"04_Cognition_and_Emotion",'最终唯一下载清单'!$C$2:$C$538,B17)</x:f>
        <x:v>41</x:v>
      </x:c>
      <x:c r="F17" s="19" t="str">
        <x:v>按主要任务归档</x:v>
      </x:c>
    </x:row>
    <x:row r="18" ht="34" customHeight="1">
      <x:c r="A18" s="19" t="n">
        <x:v>2</x:v>
      </x:c>
      <x:c r="B18" s="19" t="str">
        <x:v>ERP_and_Event_Detection</x:v>
      </x:c>
      <x:c r="C18" s="19" t="str">
        <x:v>ERP and Event Detection</x:v>
      </x:c>
      <x:c r="D18" s="19" t="str">
        <x:v>datasets/04_Cognition_and_Emotion/</x:v>
      </x:c>
      <x:c r="E18" s="25" t="n">
        <x:f>COUNTIFS('最终唯一下载清单'!$B$2:$B$538,"04_Cognition_and_Emotion",'最终唯一下载清单'!$C$2:$C$538,B18)</x:f>
        <x:v>32</x:v>
      </x:c>
      <x:c r="F18" s="19" t="str">
        <x:v>按主要任务归档</x:v>
      </x:c>
    </x:row>
    <x:row r="19" ht="34" customHeight="1">
      <x:c r="A19" s="19" t="n">
        <x:v>2</x:v>
      </x:c>
      <x:c r="B19" s="19" t="str">
        <x:v>Emotion_Recognition</x:v>
      </x:c>
      <x:c r="C19" s="19" t="str">
        <x:v>Emotion Recognition</x:v>
      </x:c>
      <x:c r="D19" s="19" t="str">
        <x:v>datasets/04_Cognition_and_Emotion/</x:v>
      </x:c>
      <x:c r="E19" s="25" t="n">
        <x:f>COUNTIFS('最终唯一下载清单'!$B$2:$B$538,"04_Cognition_and_Emotion",'最终唯一下载清单'!$C$2:$C$538,B19)</x:f>
        <x:v>29</x:v>
      </x:c>
      <x:c r="F19" s="19" t="str">
        <x:v>按主要任务归档</x:v>
      </x:c>
    </x:row>
    <x:row r="20" ht="34" customHeight="1">
      <x:c r="A20" s="19" t="n">
        <x:v>2</x:v>
      </x:c>
      <x:c r="B20" s="19" t="str">
        <x:v>Mental_State_Recognition</x:v>
      </x:c>
      <x:c r="C20" s="19" t="str">
        <x:v>Mental State Recognition</x:v>
      </x:c>
      <x:c r="D20" s="19" t="str">
        <x:v>datasets/04_Cognition_and_Emotion/</x:v>
      </x:c>
      <x:c r="E20" s="25" t="n">
        <x:f>COUNTIFS('最终唯一下载清单'!$B$2:$B$538,"04_Cognition_and_Emotion",'最终唯一下载清单'!$C$2:$C$538,B20)</x:f>
        <x:v>3</x:v>
      </x:c>
      <x:c r="F20" s="19" t="str">
        <x:v>按主要任务归档</x:v>
      </x:c>
    </x:row>
    <x:row r="21" ht="34" customHeight="1">
      <x:c r="A21" s="19" t="n">
        <x:v>2</x:v>
      </x:c>
      <x:c r="B21" s="19" t="str">
        <x:v>Vigilance_Detection</x:v>
      </x:c>
      <x:c r="C21" s="19" t="str">
        <x:v>Vigilance Detection</x:v>
      </x:c>
      <x:c r="D21" s="19" t="str">
        <x:v>datasets/04_Cognition_and_Emotion/</x:v>
      </x:c>
      <x:c r="E21" s="25" t="n">
        <x:f>COUNTIFS('最终唯一下载清单'!$B$2:$B$538,"04_Cognition_and_Emotion",'最终唯一下载清单'!$C$2:$C$538,B21)</x:f>
        <x:v>16</x:v>
      </x:c>
      <x:c r="F21" s="19" t="str">
        <x:v>按主要任务归档</x:v>
      </x:c>
    </x:row>
    <x:row r="22" ht="34" customHeight="1">
      <x:c r="A22" s="19" t="n">
        <x:v>2</x:v>
      </x:c>
      <x:c r="B22" s="19" t="str">
        <x:v>Workload_Detection</x:v>
      </x:c>
      <x:c r="C22" s="19" t="str">
        <x:v>Workload Detection</x:v>
      </x:c>
      <x:c r="D22" s="19" t="str">
        <x:v>datasets/04_Cognition_and_Emotion/</x:v>
      </x:c>
      <x:c r="E22" s="25" t="n">
        <x:f>COUNTIFS('最终唯一下载清单'!$B$2:$B$538,"04_Cognition_and_Emotion",'最终唯一下载清单'!$C$2:$C$538,B22)</x:f>
        <x:v>8</x:v>
      </x:c>
      <x:c r="F22" s="19" t="str">
        <x:v>按主要任务归档</x:v>
      </x:c>
    </x:row>
    <x:row r="23" ht="34" customHeight="1">
      <x:c r="A23" s="19" t="n">
        <x:v>1</x:v>
      </x:c>
      <x:c r="B23" s="19" t="str">
        <x:v>05_Naturalistic_Stimulus_Decoding</x:v>
      </x:c>
      <x:c r="C23" s="19" t="str">
        <x:v>Naturalistic Stimulus Decoding</x:v>
      </x:c>
      <x:c r="D23" s="19" t="str">
        <x:v>datasets/</x:v>
      </x:c>
      <x:c r="E23" s="25" t="n">
        <x:f>COUNTIF('最终唯一下载清单'!$B$2:$B$538,B23)</x:f>
        <x:v>57</x:v>
      </x:c>
      <x:c r="F23" s="19" t="str">
        <x:v>自然语言、听觉、阅读与视觉刺激解码</x:v>
      </x:c>
    </x:row>
    <x:row r="24" ht="34" customHeight="1">
      <x:c r="A24" s="19" t="n">
        <x:v>2</x:v>
      </x:c>
      <x:c r="B24" s="19" t="str">
        <x:v>Imagined_Speech</x:v>
      </x:c>
      <x:c r="C24" s="19" t="str">
        <x:v>Imagined Speech</x:v>
      </x:c>
      <x:c r="D24" s="19" t="str">
        <x:v>datasets/05_Naturalistic_Stimulus_Decoding/</x:v>
      </x:c>
      <x:c r="E24" s="25" t="n">
        <x:f>COUNTIFS('最终唯一下载清单'!$B$2:$B$538,"05_Naturalistic_Stimulus_Decoding",'最终唯一下载清单'!$C$2:$C$538,B24)</x:f>
        <x:v>4</x:v>
      </x:c>
      <x:c r="F24" s="19" t="str">
        <x:v>按主要任务归档</x:v>
      </x:c>
    </x:row>
    <x:row r="25" ht="34" customHeight="1">
      <x:c r="A25" s="19" t="n">
        <x:v>2</x:v>
      </x:c>
      <x:c r="B25" s="19" t="str">
        <x:v>Language_and_Reading</x:v>
      </x:c>
      <x:c r="C25" s="19" t="str">
        <x:v>Language and Reading</x:v>
      </x:c>
      <x:c r="D25" s="19" t="str">
        <x:v>datasets/05_Naturalistic_Stimulus_Decoding/</x:v>
      </x:c>
      <x:c r="E25" s="25" t="n">
        <x:f>COUNTIFS('最终唯一下载清单'!$B$2:$B$538,"05_Naturalistic_Stimulus_Decoding",'最终唯一下载清单'!$C$2:$C$538,B25)</x:f>
        <x:v>21</x:v>
      </x:c>
      <x:c r="F25" s="19" t="str">
        <x:v>按主要任务归档</x:v>
      </x:c>
    </x:row>
    <x:row r="26" ht="34" customHeight="1">
      <x:c r="A26" s="19" t="n">
        <x:v>2</x:v>
      </x:c>
      <x:c r="B26" s="19" t="str">
        <x:v>Listening_and_Auditory_Attention</x:v>
      </x:c>
      <x:c r="C26" s="19" t="str">
        <x:v>Listening and Auditory Attention</x:v>
      </x:c>
      <x:c r="D26" s="19" t="str">
        <x:v>datasets/05_Naturalistic_Stimulus_Decoding/</x:v>
      </x:c>
      <x:c r="E26" s="25" t="n">
        <x:f>COUNTIFS('最终唯一下载清单'!$B$2:$B$538,"05_Naturalistic_Stimulus_Decoding",'最终唯一下载清单'!$C$2:$C$538,B26)</x:f>
        <x:v>9</x:v>
      </x:c>
      <x:c r="F26" s="19" t="str">
        <x:v>按主要任务归档</x:v>
      </x:c>
    </x:row>
    <x:row r="27" ht="34" customHeight="1">
      <x:c r="A27" s="19" t="n">
        <x:v>2</x:v>
      </x:c>
      <x:c r="B27" s="19" t="str">
        <x:v>Multisensory_Perception</x:v>
      </x:c>
      <x:c r="C27" s="19" t="str">
        <x:v>Multisensory Perception</x:v>
      </x:c>
      <x:c r="D27" s="19" t="str">
        <x:v>datasets/05_Naturalistic_Stimulus_Decoding/</x:v>
      </x:c>
      <x:c r="E27" s="25" t="n">
        <x:f>COUNTIFS('最终唯一下载清单'!$B$2:$B$538,"05_Naturalistic_Stimulus_Decoding",'最终唯一下载清单'!$C$2:$C$538,B27)</x:f>
        <x:v>2</x:v>
      </x:c>
      <x:c r="F27" s="19" t="str">
        <x:v>按主要任务归档</x:v>
      </x:c>
    </x:row>
    <x:row r="28" ht="34" customHeight="1">
      <x:c r="A28" s="19" t="n">
        <x:v>2</x:v>
      </x:c>
      <x:c r="B28" s="19" t="str">
        <x:v>Visual_Perception</x:v>
      </x:c>
      <x:c r="C28" s="19" t="str">
        <x:v>Visual Perception</x:v>
      </x:c>
      <x:c r="D28" s="19" t="str">
        <x:v>datasets/05_Naturalistic_Stimulus_Decoding/</x:v>
      </x:c>
      <x:c r="E28" s="25" t="n">
        <x:f>COUNTIFS('最终唯一下载清单'!$B$2:$B$538,"05_Naturalistic_Stimulus_Decoding",'最终唯一下载清单'!$C$2:$C$538,B28)</x:f>
        <x:v>21</x:v>
      </x:c>
      <x:c r="F28" s="19" t="str">
        <x:v>按主要任务归档</x:v>
      </x:c>
    </x:row>
    <x:row r="29" ht="34" customHeight="1">
      <x:c r="A29" s="19" t="n">
        <x:v>1</x:v>
      </x:c>
      <x:c r="B29" s="19" t="str">
        <x:v>06_Motor_and_Interaction</x:v>
      </x:c>
      <x:c r="C29" s="19" t="str">
        <x:v>Motor and Interaction</x:v>
      </x:c>
      <x:c r="D29" s="19" t="str">
        <x:v>datasets/</x:v>
      </x:c>
      <x:c r="E29" s="25" t="n">
        <x:f>COUNTIF('最终唯一下载清单'!$B$2:$B$538,B29)</x:f>
        <x:v>133</x:v>
      </x:c>
      <x:c r="F29" s="19" t="str">
        <x:v>运动意图、诱发式BCI与交互控制</x:v>
      </x:c>
    </x:row>
    <x:row r="30" ht="34" customHeight="1">
      <x:c r="A30" s="19" t="n">
        <x:v>2</x:v>
      </x:c>
      <x:c r="B30" s="19" t="str">
        <x:v>Error_Feedback</x:v>
      </x:c>
      <x:c r="C30" s="19" t="str">
        <x:v>Error Feedback</x:v>
      </x:c>
      <x:c r="D30" s="19" t="str">
        <x:v>datasets/06_Motor_and_Interaction/</x:v>
      </x:c>
      <x:c r="E30" s="25" t="n">
        <x:f>COUNTIFS('最终唯一下载清单'!$B$2:$B$538,"06_Motor_and_Interaction",'最终唯一下载清单'!$C$2:$C$538,B30)</x:f>
        <x:v>1</x:v>
      </x:c>
      <x:c r="F30" s="19" t="str">
        <x:v>按主要任务归档</x:v>
      </x:c>
    </x:row>
    <x:row r="31" ht="34" customHeight="1">
      <x:c r="A31" s="19" t="n">
        <x:v>2</x:v>
      </x:c>
      <x:c r="B31" s="19" t="str">
        <x:v>Interaction_and_Control</x:v>
      </x:c>
      <x:c r="C31" s="19" t="str">
        <x:v>Interaction and Control</x:v>
      </x:c>
      <x:c r="D31" s="19" t="str">
        <x:v>datasets/06_Motor_and_Interaction/</x:v>
      </x:c>
      <x:c r="E31" s="25" t="n">
        <x:f>COUNTIFS('最终唯一下载清单'!$B$2:$B$538,"06_Motor_and_Interaction",'最终唯一下载清单'!$C$2:$C$538,B31)</x:f>
        <x:v>35</x:v>
      </x:c>
      <x:c r="F31" s="19" t="str">
        <x:v>按主要任务归档</x:v>
      </x:c>
    </x:row>
    <x:row r="32" ht="34" customHeight="1">
      <x:c r="A32" s="19" t="n">
        <x:v>2</x:v>
      </x:c>
      <x:c r="B32" s="19" t="str">
        <x:v>Motor_Imagery_and_Execution</x:v>
      </x:c>
      <x:c r="C32" s="19" t="str">
        <x:v>Motor Imagery and Execution</x:v>
      </x:c>
      <x:c r="D32" s="19" t="str">
        <x:v>datasets/06_Motor_and_Interaction/</x:v>
      </x:c>
      <x:c r="E32" s="25" t="n">
        <x:f>COUNTIFS('最终唯一下载清单'!$B$2:$B$538,"06_Motor_and_Interaction",'最终唯一下载清单'!$C$2:$C$538,B32)</x:f>
        <x:v>64</x:v>
      </x:c>
      <x:c r="F32" s="19" t="str">
        <x:v>按主要任务归档</x:v>
      </x:c>
    </x:row>
    <x:row r="33" ht="34" customHeight="1">
      <x:c r="A33" s="19" t="n">
        <x:v>2</x:v>
      </x:c>
      <x:c r="B33" s="19" t="str">
        <x:v>SSVEP_and_Evoked_BCI</x:v>
      </x:c>
      <x:c r="C33" s="19" t="str">
        <x:v>SSVEP and Evoked BCI</x:v>
      </x:c>
      <x:c r="D33" s="19" t="str">
        <x:v>datasets/06_Motor_and_Interaction/</x:v>
      </x:c>
      <x:c r="E33" s="25" t="n">
        <x:f>COUNTIFS('最终唯一下载清单'!$B$2:$B$538,"06_Motor_and_Interaction",'最终唯一下载清单'!$C$2:$C$538,B33)</x:f>
        <x:v>29</x:v>
      </x:c>
      <x:c r="F33" s="19" t="str">
        <x:v>按主要任务归档</x:v>
      </x:c>
    </x:row>
    <x:row r="34" ht="34" customHeight="1">
      <x:c r="A34" s="19" t="n">
        <x:v>1</x:v>
      </x:c>
      <x:c r="B34" s="19" t="str">
        <x:v>07_General-purpose_and_Multi-paradigm</x:v>
      </x:c>
      <x:c r="C34" s="19" t="str">
        <x:v>General-purpose and Multi-paradigm</x:v>
      </x:c>
      <x:c r="D34" s="19" t="str">
        <x:v>datasets/</x:v>
      </x:c>
      <x:c r="E34" s="25" t="n">
        <x:f>COUNTIF('最终唯一下载清单'!$B$2:$B$538,B34)</x:f>
        <x:v>38</x:v>
      </x:c>
      <x:c r="F34" s="19" t="str">
        <x:v>多任务、多范式及通用预训练语料</x:v>
      </x:c>
    </x:row>
    <x:row r="35" ht="34" customHeight="1">
      <x:c r="A35" s="19" t="n">
        <x:v>2</x:v>
      </x:c>
      <x:c r="B35" s="19" t="str">
        <x:v>Multi-task_EEG</x:v>
      </x:c>
      <x:c r="C35" s="19" t="str">
        <x:v>Multi-task EEG</x:v>
      </x:c>
      <x:c r="D35" s="19" t="str">
        <x:v>datasets/07_General-purpose_and_Multi-paradigm/</x:v>
      </x:c>
      <x:c r="E35" s="25" t="n">
        <x:f>COUNTIFS('最终唯一下载清单'!$B$2:$B$538,"07_General-purpose_and_Multi-paradigm",'最终唯一下载清单'!$C$2:$C$538,B35)</x:f>
        <x:v>38</x:v>
      </x:c>
      <x:c r="F35" s="19" t="str">
        <x:v>按主要任务归档</x:v>
      </x:c>
    </x:row>
    <x:row r="36" ht="34" customHeight="1">
      <x:c r="A36" s="19" t="str"/>
      <x:c r="B36" s="19" t="str">
        <x:v>TOTAL</x:v>
      </x:c>
      <x:c r="C36" s="19" t="str">
        <x:v>Revised unique download units</x:v>
      </x:c>
      <x:c r="D36" s="19" t="str">
        <x:v>datasets/</x:v>
      </x:c>
      <x:c r="E36" s="25" t="n">
        <x:f>COUNTA('最终唯一下载清单'!$A$2:$A$538)</x:f>
        <x:v>537</x:v>
      </x:c>
      <x:c r="F36" s="19" t="str">
        <x:v>Must equal the number of rows in the revised final catalog</x:v>
      </x:c>
    </x:row>
  </x:sheetData>
  <x:pageMargins left="0.7" right="0.7" top="0.75" bottom="0.75" header="0.3" footer="0.3"/>
  <x:tableParts count="1">
    <x:tablePart xmlns:r="http://schemas.openxmlformats.org/officeDocument/2006/relationships" r:id="Rf40f7e29c03944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68" hidden="0" customWidth="1"/>
    <x:col min="5" max="5" width="66" hidden="0" customWidth="1"/>
    <x:col min="6" max="6" width="38" hidden="0" customWidth="1"/>
  </x:cols>
  <x:sheetData>
    <x:row r="1" ht="36" customHeight="1">
      <x:c r="A1" s="23" t="str">
        <x:v>Date</x:v>
      </x:c>
      <x:c r="B1" s="23" t="str">
        <x:v>Change type</x:v>
      </x:c>
      <x:c r="C1" s="23" t="str">
        <x:v>Scope</x:v>
      </x:c>
      <x:c r="D1" s="23" t="str">
        <x:v>Details</x:v>
      </x:c>
      <x:c r="E1" s="23" t="str">
        <x:v>Evidence/source</x:v>
      </x:c>
      <x:c r="F1" s="23" t="str">
        <x:v>Server impact</x:v>
      </x:c>
    </x:row>
    <x:row r="2" ht="54" customHeight="1">
      <x:c r="A2" s="19" t="str">
        <x:v>2026-08-04</x:v>
      </x:c>
      <x:c r="B2" s="19" t="str">
        <x:v>SOURCE</x:v>
      </x:c>
      <x:c r="C2" s="19" t="str">
        <x:v>Desktop original</x:v>
      </x:c>
      <x:c r="D2" s="19" t="str">
        <x:v>Original desktop workbook contained 569 final-list rows</x:v>
      </x:c>
      <x:c r="E2" s="19" t="str">
        <x:v>C:/Users/tangzhice/Desktop/SBU_remote_intern/EEG-dataset-final.xlsx</x:v>
      </x:c>
      <x:c r="F2" s="19" t="str">
        <x:v>None</x:v>
      </x:c>
    </x:row>
    <x:row r="3" ht="54" customHeight="1">
      <x:c r="A3" s="19" t="str">
        <x:v>2026-08-04</x:v>
      </x:c>
      <x:c r="B3" s="19" t="str">
        <x:v>SOURCE</x:v>
      </x:c>
      <x:c r="C3" s="19" t="str">
        <x:v>Read-only server reference</x:v>
      </x:c>
      <x:c r="D3" s="19" t="str">
        <x:v>Server workbook contained 581 rows and supplied EEG-0570 through EEG-0581</x:v>
      </x:c>
      <x:c r="E3" s="19" t="str">
        <x:v>/gpfs/projects/ChenyuYouGroup/EEG-dataset-collection/EEG-dataset-final.xlsx</x:v>
      </x:c>
      <x:c r="F3" s="19" t="str">
        <x:v>Read-only copy only</x:v>
      </x:c>
    </x:row>
    <x:row r="4" ht="54" customHeight="1">
      <x:c r="A4" s="19" t="str">
        <x:v>2026-08-04</x:v>
      </x:c>
      <x:c r="B4" s="19" t="str">
        <x:v>ADD</x:v>
      </x:c>
      <x:c r="C4" s="19" t="str">
        <x:v>EEG-0582</x:v>
      </x:c>
      <x:c r="D4" s="19" t="str">
        <x:v>Restored TUEG as an independent download unit; removed its old parent-only exclusion</x:v>
      </x:c>
      <x:c r="E4" s="19" t="str">
        <x:v>TUH/NEDC official downloads page and user-provided v2.0.1 corpus audit</x:v>
      </x:c>
      <x:c r="F4" s="19" t="str">
        <x:v>None</x:v>
      </x:c>
    </x:row>
    <x:row r="5" ht="54" customHeight="1">
      <x:c r="A5" s="19" t="str">
        <x:v>2026-08-04</x:v>
      </x:c>
      <x:c r="B5" s="19" t="str">
        <x:v>UPDATE</x:v>
      </x:c>
      <x:c r="C5" s="19" t="str">
        <x:v>EEG-0004/0033/0034/0035/0036/0107</x:v>
      </x:c>
      <x:c r="D5" s="19" t="str">
        <x:v>Added current official TUH subset versions and explicit overlap rules</x:v>
      </x:c>
      <x:c r="E5" s="19" t="str">
        <x:v>TUH/NEDC official downloads page</x:v>
      </x:c>
      <x:c r="F5" s="19" t="str">
        <x:v>None</x:v>
      </x:c>
    </x:row>
    <x:row r="6" ht="54" customHeight="1">
      <x:c r="A6" s="19" t="str">
        <x:v>2026-08-04</x:v>
      </x:c>
      <x:c r="B6" s="19" t="str">
        <x:v>DEDUP</x:v>
      </x:c>
      <x:c r="C6" s="19" t="str">
        <x:v>45 rows</x:v>
      </x:c>
      <x:c r="D6" s="19" t="str">
        <x:v>Removed confirmed duplicate rows from the final list and preserved all ID mappings</x:v>
      </x:c>
      <x:c r="E6" s="19" t="str">
        <x:v>See '重复合并证据'</x:v>
      </x:c>
      <x:c r="F6" s="19" t="str">
        <x:v>No files, manifests or completion markers changed</x:v>
      </x:c>
    </x:row>
    <x:row r="7" ht="54" customHeight="1">
      <x:c r="A7" s="19" t="str">
        <x:v>2026-08-04</x:v>
      </x:c>
      <x:c r="B7" s="19" t="str">
        <x:v>REVIEW</x:v>
      </x:c>
      <x:c r="C7" s="19" t="str">
        <x:v>7 reviewed groups</x:v>
      </x:c>
      <x:c r="D7" s="19" t="str">
        <x:v>Applied three user-confirmed merges and marked all remaining reviewed groups as distinct</x:v>
      </x:c>
      <x:c r="E7" s="19" t="str">
        <x:v>See '人工复核结论'</x:v>
      </x:c>
      <x:c r="F7" s="19" t="str">
        <x:v>None</x:v>
      </x:c>
    </x:row>
    <x:row r="8" ht="54" customHeight="1">
      <x:c r="A8" s="19" t="str">
        <x:v>2026-08-04</x:v>
      </x:c>
      <x:c r="B8" s="19" t="str">
        <x:v>CLASSIFY</x:v>
      </x:c>
      <x:c r="C8" s="19" t="str">
        <x:v>AMIGOS/DEAP/SSVEP/BNCI/CHBMP</x:v>
      </x:c>
      <x:c r="D8" s="19" t="str">
        <x:v>Corrected several obvious category placements while preserving canonical IDs</x:v>
      </x:c>
      <x:c r="E8" s="19" t="str">
        <x:v>Stable repository IDs, official dataset names and project audit</x:v>
      </x:c>
      <x:c r="F8" s="19" t="str">
        <x:v>None</x:v>
      </x:c>
    </x:row>
    <x:row r="9" ht="54" customHeight="1">
      <x:c r="A9" s="19" t="str">
        <x:v>2026-08-04</x:v>
      </x:c>
      <x:c r="B9" s="19" t="str">
        <x:v>BOUNDARY</x:v>
      </x:c>
      <x:c r="C9" s="19" t="str">
        <x:v>All sheets</x:v>
      </x:c>
      <x:c r="D9" s="19" t="str">
        <x:v>This workbook is a local revision and has not been synchronized back to SeaWulf</x:v>
      </x:c>
      <x:c r="E9" s="19" t="str">
        <x:v>C:/Users/tangzhice/Desktop/SBU_remote_intern/outputs/eeg-catalog-rebuild-20260804/EEG-dataset-final-revised-20260804-v2.xlsx</x:v>
      </x:c>
      <x:c r="F9" s="19" t="str">
        <x:v>None</x:v>
      </x:c>
    </x:row>
  </x:sheetData>
  <x:pageMargins left="0.7" right="0.7" top="0.75" bottom="0.75" header="0.3" footer="0.3"/>
  <x:tableParts count="1">
    <x:tablePart xmlns:r="http://schemas.openxmlformats.org/officeDocument/2006/relationships" r:id="R4ccbc87ed7044e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4" hidden="0" customWidth="1"/>
    <x:col min="2" max="2" width="46" hidden="0" customWidth="1"/>
    <x:col min="3" max="3" width="42" hidden="0" customWidth="1"/>
    <x:col min="4" max="4" width="72" hidden="0" customWidth="1"/>
  </x:cols>
  <x:sheetData>
    <x:row r="1" ht="36" customHeight="1">
      <x:c r="A1" s="23" t="str">
        <x:v>规范名称</x:v>
      </x:c>
      <x:c r="B1" s="23" t="str">
        <x:v>原始条目名称</x:v>
      </x:c>
      <x:c r="C1" s="23" t="str">
        <x:v>稳定标识</x:v>
      </x:c>
      <x:c r="D1" s="23" t="str">
        <x:v>合并依据</x:v>
      </x:c>
    </x:row>
    <x:row r="2" ht="42" customHeight="1">
      <x:c r="A2" s="19" t="str">
        <x:v>BCI Competition IV 2b (BNCI 004-2014)</x:v>
      </x:c>
      <x:c r="B2" s="19" t="str">
        <x:v>BCI Competition IV 2b (BNCI 004-2014)</x:v>
      </x:c>
      <x:c r="C2" s="19" t="str">
        <x:v>BNCI:004-2014,BNCI 004-2014</x:v>
      </x:c>
      <x:c r="D2" s="19" t="str">
        <x:v>同一稳定访问号/仓库记录，或经名称、任务、受试者和论文交叉核验为同一原始数据下载单元</x:v>
      </x:c>
    </x:row>
    <x:row r="3" ht="42" customHeight="1">
      <x:c r="A3" s="19" t="str">
        <x:v>BCI Competition IV 2b (BNCI 004-2014)</x:v>
      </x:c>
      <x:c r="B3" s="19" t="str">
        <x:v>BCI Competition IV Data set 2b</x:v>
      </x:c>
      <x:c r="C3" s="19" t="str">
        <x:v>BNCI:004-2014,BNCI 004-2014</x:v>
      </x:c>
      <x:c r="D3" s="19" t="str">
        <x:v>同一稳定访问号/仓库记录，或经名称、任务、受试者和论文交叉核验为同一原始数据下载单元</x:v>
      </x:c>
    </x:row>
    <x:row r="4" ht="42" customHeight="1">
      <x:c r="A4" s="19" t="str">
        <x:v>BCI Competition IV 2b (BNCI 004-2014)</x:v>
      </x:c>
      <x:c r="B4" s="19" t="str">
        <x:v>BCIC-IV-2b</x:v>
      </x:c>
      <x:c r="C4" s="19" t="str">
        <x:v>BNCI:004-2014,BNCI 004-2014</x:v>
      </x:c>
      <x:c r="D4" s="19" t="str">
        <x:v>同一稳定访问号/仓库记录，或经名称、任务、受试者和论文交叉核验为同一原始数据下载单元</x:v>
      </x:c>
    </x:row>
    <x:row r="5" ht="42" customHeight="1">
      <x:c r="A5" s="19" t="str">
        <x:v>BCI Competition IV 2b (BNCI 004-2014)</x:v>
      </x:c>
      <x:c r="B5" s="19" t="str">
        <x:v>BNCI 004-2014 (Two class motor imagery)</x:v>
      </x:c>
      <x:c r="C5" s="19" t="str">
        <x:v>BNCI:004-2014,BNCI 004-2014</x:v>
      </x:c>
      <x:c r="D5" s="19" t="str">
        <x:v>同一稳定访问号/仓库记录，或经名称、任务、受试者和论文交叉核验为同一原始数据下载单元</x:v>
      </x:c>
    </x:row>
    <x:row r="6" ht="42" customHeight="1">
      <x:c r="A6" s="19" t="str">
        <x:v>BCI Competition IV-1</x:v>
      </x:c>
      <x:c r="B6" s="19" t="str">
        <x:v>BCI Competition IV Data set 1</x:v>
      </x:c>
      <x:c r="C6" s="19"/>
      <x:c r="D6" s="19" t="str">
        <x:v>同一稳定访问号/仓库记录，或经名称、任务、受试者和论文交叉核验为同一原始数据下载单元</x:v>
      </x:c>
    </x:row>
    <x:row r="7" ht="42" customHeight="1">
      <x:c r="A7" s="19" t="str">
        <x:v>BCI Competition IV-1</x:v>
      </x:c>
      <x:c r="B7" s="19" t="str">
        <x:v>BCI Competition IV-1</x:v>
      </x:c>
      <x:c r="C7" s="19"/>
      <x:c r="D7" s="19" t="str">
        <x:v>同一稳定访问号/仓库记录，或经名称、任务、受试者和论文交叉核验为同一原始数据下载单元</x:v>
      </x:c>
    </x:row>
    <x:row r="8" ht="42" customHeight="1">
      <x:c r="A8" s="19" t="str">
        <x:v>BCI-speech (BCIC2020-3)</x:v>
      </x:c>
      <x:c r="B8" s="19" t="str">
        <x:v>BCI-speech (BCIC2020-3)</x:v>
      </x:c>
      <x:c r="C8" s="19"/>
      <x:c r="D8" s="19" t="str">
        <x:v>同一稳定访问号/仓库记录，或经名称、任务、受试者和论文交叉核验为同一原始数据下载单元</x:v>
      </x:c>
    </x:row>
    <x:row r="9" ht="42" customHeight="1">
      <x:c r="A9" s="19" t="str">
        <x:v>BCI-speech (BCIC2020-3)</x:v>
      </x:c>
      <x:c r="B9" s="19" t="str">
        <x:v>BCIC2020-3 (BCI Competition 2020 Track 3)</x:v>
      </x:c>
      <x:c r="C9" s="19"/>
      <x:c r="D9" s="19" t="str">
        <x:v>同一稳定访问号/仓库记录，或经名称、任务、受试者和论文交叉核验为同一原始数据下载单元</x:v>
      </x:c>
    </x:row>
    <x:row r="10" ht="42" customHeight="1">
      <x:c r="A10" s="19" t="str">
        <x:v>BCIC-IV-2a</x:v>
      </x:c>
      <x:c r="B10" s="19" t="str">
        <x:v>BCI Competition IV Data set 2a</x:v>
      </x:c>
      <x:c r="C10" s="19" t="str">
        <x:v>BNCI:001-2014,BNCI 001-2014</x:v>
      </x:c>
      <x:c r="D10" s="19" t="str">
        <x:v>同一稳定访问号/仓库记录，或经名称、任务、受试者和论文交叉核验为同一原始数据下载单元</x:v>
      </x:c>
    </x:row>
    <x:row r="11" ht="42" customHeight="1">
      <x:c r="A11" s="19" t="str">
        <x:v>BCIC-IV-2a</x:v>
      </x:c>
      <x:c r="B11" s="19" t="str">
        <x:v>BCI Competition IV-2a</x:v>
      </x:c>
      <x:c r="C11" s="19" t="str">
        <x:v>BNCI:001-2014,BNCI 001-2014</x:v>
      </x:c>
      <x:c r="D11" s="19" t="str">
        <x:v>同一稳定访问号/仓库记录，或经名称、任务、受试者和论文交叉核验为同一原始数据下载单元</x:v>
      </x:c>
    </x:row>
    <x:row r="12" ht="42" customHeight="1">
      <x:c r="A12" s="19" t="str">
        <x:v>BCIC-IV-2a</x:v>
      </x:c>
      <x:c r="B12" s="19" t="str">
        <x:v>BCI-IV-2a</x:v>
      </x:c>
      <x:c r="C12" s="19" t="str">
        <x:v>BNCI:001-2014,BNCI 001-2014</x:v>
      </x:c>
      <x:c r="D12" s="19" t="str">
        <x:v>同一稳定访问号/仓库记录，或经名称、任务、受试者和论文交叉核验为同一原始数据下载单元</x:v>
      </x:c>
    </x:row>
    <x:row r="13" ht="42" customHeight="1">
      <x:c r="A13" s="19" t="str">
        <x:v>BCIC-IV-2a</x:v>
      </x:c>
      <x:c r="B13" s="19" t="str">
        <x:v>BCIC-IV-2a</x:v>
      </x:c>
      <x:c r="C13" s="19" t="str">
        <x:v>BNCI:001-2014,BNCI 001-2014</x:v>
      </x:c>
      <x:c r="D13" s="19" t="str">
        <x:v>同一稳定访问号/仓库记录，或经名称、任务、受试者和论文交叉核验为同一原始数据下载单元</x:v>
      </x:c>
    </x:row>
    <x:row r="14" ht="42" customHeight="1">
      <x:c r="A14" s="19" t="str">
        <x:v>BCIC-IV-2a</x:v>
      </x:c>
      <x:c r="B14" s="19" t="str">
        <x:v>BNCI 001-2014 (Four class motor imagery)</x:v>
      </x:c>
      <x:c r="C14" s="19" t="str">
        <x:v>BNCI:001-2014,BNCI 001-2014</x:v>
      </x:c>
      <x:c r="D14" s="19" t="str">
        <x:v>同一稳定访问号/仓库记录，或经名称、任务、受试者和论文交叉核验为同一原始数据下载单元</x:v>
      </x:c>
    </x:row>
    <x:row r="15" ht="42" customHeight="1">
      <x:c r="A15" s="19" t="str">
        <x:v>BETA SSVEP Dataset</x:v>
      </x:c>
      <x:c r="B15" s="19" t="str">
        <x:v>BETA (SSVEP)</x:v>
      </x:c>
      <x:c r="C15" s="19" t="str">
        <x:v>Figshare:12264401</x:v>
      </x:c>
      <x:c r="D15" s="19" t="str">
        <x:v>同一稳定访问号/仓库记录，或经名称、任务、受试者和论文交叉核验为同一原始数据下载单元</x:v>
      </x:c>
    </x:row>
    <x:row r="16" ht="42" customHeight="1">
      <x:c r="A16" s="19" t="str">
        <x:v>BETA SSVEP Dataset</x:v>
      </x:c>
      <x:c r="B16" s="19" t="str">
        <x:v>BETA SSVEP Dataset</x:v>
      </x:c>
      <x:c r="C16" s="19" t="str">
        <x:v>Figshare:12264401</x:v>
      </x:c>
      <x:c r="D16" s="19" t="str">
        <x:v>同一稳定访问号/仓库记录，或经名称、任务、受试者和论文交叉核验为同一原始数据下载单元</x:v>
      </x:c>
    </x:row>
    <x:row r="17" ht="42" customHeight="1">
      <x:c r="A17" s="19" t="str">
        <x:v>BNCI 006-2015 (Music BCI)</x:v>
      </x:c>
      <x:c r="B17" s="19" t="str">
        <x:v>BNCI 006-2015 (Music BCI)</x:v>
      </x:c>
      <x:c r="C17" s="19" t="str">
        <x:v>BNCI:BNCI 006-2015</x:v>
      </x:c>
      <x:c r="D17" s="19" t="str">
        <x:v>同一稳定访问号/仓库记录，或经名称、任务、受试者和论文交叉核验为同一原始数据下载单元</x:v>
      </x:c>
    </x:row>
    <x:row r="18" ht="42" customHeight="1">
      <x:c r="A18" s="19" t="str">
        <x:v>BNCI 006-2015 (Music BCI)</x:v>
      </x:c>
      <x:c r="B18" s="19" t="str">
        <x:v>BNCI2015_006 (Music BCI)</x:v>
      </x:c>
      <x:c r="C18" s="19" t="str">
        <x:v>BNCI:BNCI 006-2015</x:v>
      </x:c>
      <x:c r="D18" s="19" t="str">
        <x:v>同一稳定访问号/仓库记录，或经名称、任务、受试者和论文交叉核验为同一原始数据下载单元</x:v>
      </x:c>
    </x:row>
    <x:row r="19" ht="42" customHeight="1">
      <x:c r="A19" s="19" t="str">
        <x:v>BNCI 007-2015 (Motion VEP Speller)</x:v>
      </x:c>
      <x:c r="B19" s="19" t="str">
        <x:v>BNCI 007-2015 (Motion VEP Speller)</x:v>
      </x:c>
      <x:c r="C19" s="19" t="str">
        <x:v>BNCI:BNCI 007-2015</x:v>
      </x:c>
      <x:c r="D19" s="19" t="str">
        <x:v>同一稳定访问号/仓库记录，或经名称、任务、受试者和论文交叉核验为同一原始数据下载单元</x:v>
      </x:c>
    </x:row>
    <x:row r="20" ht="42" customHeight="1">
      <x:c r="A20" s="19" t="str">
        <x:v>BNCI 007-2015 (Motion VEP Speller)</x:v>
      </x:c>
      <x:c r="B20" s="19" t="str">
        <x:v>BNCI2015_007 (mVEP Speller)</x:v>
      </x:c>
      <x:c r="C20" s="19" t="str">
        <x:v>BNCI:BNCI 007-2015</x:v>
      </x:c>
      <x:c r="D20" s="19" t="str">
        <x:v>同一稳定访问号/仓库记录，或经名称、任务、受试者和论文交叉核验为同一原始数据下载单元</x:v>
      </x:c>
    </x:row>
    <x:row r="21" ht="42" customHeight="1">
      <x:c r="A21" s="19" t="str">
        <x:v>BNCI 008-2015 (Center Speller)</x:v>
      </x:c>
      <x:c r="B21" s="19" t="str">
        <x:v>BNCI 008-2015 (Center Speller)</x:v>
      </x:c>
      <x:c r="C21" s="19" t="str">
        <x:v>BNCI:BNCI 008-2015</x:v>
      </x:c>
      <x:c r="D21" s="19" t="str">
        <x:v>同一稳定访问号/仓库记录，或经名称、任务、受试者和论文交叉核验为同一原始数据下载单元</x:v>
      </x:c>
    </x:row>
    <x:row r="22" ht="42" customHeight="1">
      <x:c r="A22" s="19" t="str">
        <x:v>BNCI 008-2015 (Center Speller)</x:v>
      </x:c>
      <x:c r="B22" s="19" t="str">
        <x:v>BNCI2015_008 (Center Speller)</x:v>
      </x:c>
      <x:c r="C22" s="19" t="str">
        <x:v>BNCI:BNCI 008-2015</x:v>
      </x:c>
      <x:c r="D22" s="19" t="str">
        <x:v>同一稳定访问号/仓库记录，或经名称、任务、受试者和论文交叉核验为同一原始数据下载单元</x:v>
      </x:c>
    </x:row>
    <x:row r="23" ht="42" customHeight="1">
      <x:c r="A23" s="19" t="str">
        <x:v>BNCI 009-2015 (AMUSE auditory speller)</x:v>
      </x:c>
      <x:c r="B23" s="19" t="str">
        <x:v>BNCI 009-2015 (AMUSE auditory speller)</x:v>
      </x:c>
      <x:c r="C23" s="19" t="str">
        <x:v>BNCI:BNCI 009-2015</x:v>
      </x:c>
      <x:c r="D23" s="19" t="str">
        <x:v>同一稳定访问号/仓库记录，或经名称、任务、受试者和论文交叉核验为同一原始数据下载单元</x:v>
      </x:c>
    </x:row>
    <x:row r="24" ht="42" customHeight="1">
      <x:c r="A24" s="19" t="str">
        <x:v>BNCI 009-2015 (AMUSE auditory speller)</x:v>
      </x:c>
      <x:c r="B24" s="19" t="str">
        <x:v>BNCI2015_009 (AMUSE auditory ERP)</x:v>
      </x:c>
      <x:c r="C24" s="19" t="str">
        <x:v>BNCI:BNCI 009-2015</x:v>
      </x:c>
      <x:c r="D24" s="19" t="str">
        <x:v>同一稳定访问号/仓库记录，或经名称、任务、受试者和论文交叉核验为同一原始数据下载单元</x:v>
      </x:c>
    </x:row>
    <x:row r="25" ht="42" customHeight="1">
      <x:c r="A25" s="19" t="str">
        <x:v>BNCI 010-2015 (RSVP speller)</x:v>
      </x:c>
      <x:c r="B25" s="19" t="str">
        <x:v>BNCI 010-2015 (RSVP speller)</x:v>
      </x:c>
      <x:c r="C25" s="19" t="str">
        <x:v>BNCI:BNCI 010-2015</x:v>
      </x:c>
      <x:c r="D25" s="19" t="str">
        <x:v>同一稳定访问号/仓库记录，或经名称、任务、受试者和论文交叉核验为同一原始数据下载单元</x:v>
      </x:c>
    </x:row>
    <x:row r="26" ht="42" customHeight="1">
      <x:c r="A26" s="19" t="str">
        <x:v>BNCI 010-2015 (RSVP speller)</x:v>
      </x:c>
      <x:c r="B26" s="19" t="str">
        <x:v>BNCI2015_010 (RSVP speller)</x:v>
      </x:c>
      <x:c r="C26" s="19" t="str">
        <x:v>BNCI:BNCI 010-2015</x:v>
      </x:c>
      <x:c r="D26" s="19" t="str">
        <x:v>同一稳定访问号/仓库记录，或经名称、任务、受试者和论文交叉核验为同一原始数据下载单元</x:v>
      </x:c>
    </x:row>
    <x:row r="27" ht="42" customHeight="1">
      <x:c r="A27" s="19" t="str">
        <x:v>BNCI 012-2015 (PASS2D auditory ERP Speller)</x:v>
      </x:c>
      <x:c r="B27" s="19" t="str">
        <x:v>BNCI 012-2015 (PASS2D auditory ERP Speller)</x:v>
      </x:c>
      <x:c r="C27" s="19" t="str">
        <x:v>BNCI:BNCI 012-2015</x:v>
      </x:c>
      <x:c r="D27" s="19" t="str">
        <x:v>同一稳定访问号/仓库记录，或经名称、任务、受试者和论文交叉核验为同一原始数据下载单元</x:v>
      </x:c>
    </x:row>
    <x:row r="28" ht="42" customHeight="1">
      <x:c r="A28" s="19" t="str">
        <x:v>BNCI 012-2015 (PASS2D auditory ERP Speller)</x:v>
      </x:c>
      <x:c r="B28" s="19" t="str">
        <x:v>BNCI2015_012 (PASS2D auditory ERP)</x:v>
      </x:c>
      <x:c r="C28" s="19" t="str">
        <x:v>BNCI:BNCI 012-2015</x:v>
      </x:c>
      <x:c r="D28" s="19" t="str">
        <x:v>同一稳定访问号/仓库记录，或经名称、任务、受试者和论文交叉核验为同一原始数据下载单元</x:v>
      </x:c>
    </x:row>
    <x:row r="29" ht="42" customHeight="1">
      <x:c r="A29" s="19" t="str">
        <x:v>BOAS</x:v>
      </x:c>
      <x:c r="B29" s="19" t="str">
        <x:v>BOAS</x:v>
      </x:c>
      <x:c r="C29" s="19" t="str">
        <x:v>OpenNeuro:ds005555</x:v>
      </x:c>
      <x:c r="D29" s="19" t="str">
        <x:v>同一稳定访问号/仓库记录，或经名称、任务、受试者和论文交叉核验为同一原始数据下载单元</x:v>
      </x:c>
    </x:row>
    <x:row r="30" ht="42" customHeight="1">
      <x:c r="A30" s="19" t="str">
        <x:v>BOAS</x:v>
      </x:c>
      <x:c r="B30" s="19" t="str">
        <x:v>Bitbrain Open Access Sleep Dataset</x:v>
      </x:c>
      <x:c r="C30" s="19" t="str">
        <x:v>OpenNeuro:ds005555</x:v>
      </x:c>
      <x:c r="D30" s="19" t="str">
        <x:v>同一稳定访问号/仓库记录，或经名称、任务、受试者和论文交叉核验为同一原始数据下载单元</x:v>
      </x:c>
    </x:row>
    <x:row r="31" ht="42" customHeight="1">
      <x:c r="A31" s="19" t="str">
        <x:v>Benchmark-SSVEP</x:v>
      </x:c>
      <x:c r="B31" s="19" t="str">
        <x:v>Benchmark-SSVEP</x:v>
      </x:c>
      <x:c r="C31" s="19" t="str">
        <x:v>Zenodo:14865172</x:v>
      </x:c>
      <x:c r="D31" s="19" t="str">
        <x:v>同一稳定访问号/仓库记录，或经名称、任务、受试者和论文交叉核验为同一原始数据下载单元</x:v>
      </x:c>
    </x:row>
    <x:row r="32" ht="42" customHeight="1">
      <x:c r="A32" s="19" t="str">
        <x:v>Benchmark-SSVEP</x:v>
      </x:c>
      <x:c r="B32" s="19" t="str">
        <x:v>TSU (Tsinghua Benchmark SSVEP dataset)</x:v>
      </x:c>
      <x:c r="C32" s="19" t="str">
        <x:v>Zenodo:14865172</x:v>
      </x:c>
      <x:c r="D32" s="19" t="str">
        <x:v>同一稳定访问号/仓库记录，或经名称、任务、受试者和论文交叉核验为同一原始数据下载单元</x:v>
      </x:c>
    </x:row>
    <x:row r="33" ht="42" customHeight="1">
      <x:c r="A33" s="19" t="str">
        <x:v>Benchmark-SSVEP</x:v>
      </x:c>
      <x:c r="B33" s="19" t="str">
        <x:v>Tsinghua Benchmark SSVEP</x:v>
      </x:c>
      <x:c r="C33" s="19" t="str">
        <x:v>Zenodo:14865172</x:v>
      </x:c>
      <x:c r="D33" s="19" t="str">
        <x:v>同一稳定访问号/仓库记录，或经名称、任务、受试者和论文交叉核验为同一原始数据下载单元</x:v>
      </x:c>
    </x:row>
    <x:row r="34" ht="42" customHeight="1">
      <x:c r="A34" s="19" t="str">
        <x:v>Benchmark-SSVEP</x:v>
      </x:c>
      <x:c r="B34" s="19" t="str">
        <x:v>Tsinghua SSVEP Benchmark Dataset</x:v>
      </x:c>
      <x:c r="C34" s="19" t="str">
        <x:v>Zenodo:14865172</x:v>
      </x:c>
      <x:c r="D34" s="19" t="str">
        <x:v>同一稳定访问号/仓库记录，或经名称、任务、受试者和论文交叉核验为同一原始数据下载单元</x:v>
      </x:c>
    </x:row>
    <x:row r="35" ht="42" customHeight="1">
      <x:c r="A35" s="19" t="str">
        <x:v>Benchmark-SSVEP</x:v>
      </x:c>
      <x:c r="B35" s="19" t="str">
        <x:v>Wang2016 SSVEP</x:v>
      </x:c>
      <x:c r="C35" s="19" t="str">
        <x:v>Zenodo:14865172</x:v>
      </x:c>
      <x:c r="D35" s="19" t="str">
        <x:v>同一稳定访问号/仓库记录，或经名称、任务、受试者和论文交叉核验为同一原始数据下载单元</x:v>
      </x:c>
    </x:row>
    <x:row r="36" ht="42" customHeight="1">
      <x:c r="A36" s="19" t="str">
        <x:v>Cao (2019)</x:v>
      </x:c>
      <x:c r="B36" s="19" t="str">
        <x:v>Cao (2019)</x:v>
      </x:c>
      <x:c r="C36" s="19" t="str">
        <x:v>Figshare:6427334,Figshare:7666055 | DOI:10.6084/m9.figshare.6427334,10.6084/m9.figshare.6427334.v5,10.6084/m9.figshare.7666055.v3</x:v>
      </x:c>
      <x:c r="D36" s="19" t="str">
        <x:v>同一稳定访问号/仓库记录，或经名称、任务、受试者和论文交叉核验为同一原始数据下载单元</x:v>
      </x:c>
    </x:row>
    <x:row r="37" ht="42" customHeight="1">
      <x:c r="A37" s="19" t="str">
        <x:v>Cao (2019)</x:v>
      </x:c>
      <x:c r="B37" s="19" t="str">
        <x:v>Cao (2024)</x:v>
      </x:c>
      <x:c r="C37" s="19" t="str">
        <x:v>Figshare:6427334,Figshare:7666055 | DOI:10.6084/m9.figshare.6427334,10.6084/m9.figshare.6427334.v5,10.6084/m9.figshare.7666055.v3</x:v>
      </x:c>
      <x:c r="D37" s="19" t="str">
        <x:v>同一稳定访问号/仓库记录，或经名称、任务、受试者和论文交叉核验为同一原始数据下载单元</x:v>
      </x:c>
    </x:row>
    <x:row r="38" ht="42" customHeight="1">
      <x:c r="A38" s="19" t="str">
        <x:v>Cao (2019)</x:v>
      </x:c>
      <x:c r="B38" s="19" t="str">
        <x:v>Sustained-Attention Driving</x:v>
      </x:c>
      <x:c r="C38" s="19" t="str">
        <x:v>Figshare:6427334,Figshare:7666055 | DOI:10.6084/m9.figshare.6427334,10.6084/m9.figshare.6427334.v5,10.6084/m9.figshare.7666055.v3</x:v>
      </x:c>
      <x:c r="D38" s="19" t="str">
        <x:v>同一稳定访问号/仓库记录，或经名称、任务、受试者和论文交叉核验为同一原始数据下载单元</x:v>
      </x:c>
    </x:row>
    <x:row r="39" ht="42" customHeight="1">
      <x:c r="A39" s="19" t="str">
        <x:v>Chisco (Chinese Imagined Speech EEG Corpus)</x:v>
      </x:c>
      <x:c r="B39" s="19" t="str">
        <x:v>Chinese Imagined Speech Corpus</x:v>
      </x:c>
      <x:c r="C39" s="19" t="str">
        <x:v>OpenNeuro:ds005170,ds006317 | DOI:10.1038/s41597-024-04114-1</x:v>
      </x:c>
      <x:c r="D39" s="19" t="str">
        <x:v>同一稳定访问号/仓库记录，或经名称、任务、受试者和论文交叉核验为同一原始数据下载单元</x:v>
      </x:c>
    </x:row>
    <x:row r="40" ht="42" customHeight="1">
      <x:c r="A40" s="19" t="str">
        <x:v>Chisco (Chinese Imagined Speech EEG Corpus)</x:v>
      </x:c>
      <x:c r="B40" s="19" t="str">
        <x:v>Chisco</x:v>
      </x:c>
      <x:c r="C40" s="19" t="str">
        <x:v>OpenNeuro:ds005170,ds006317 | DOI:10.1038/s41597-024-04114-1</x:v>
      </x:c>
      <x:c r="D40" s="19" t="str">
        <x:v>同一稳定访问号/仓库记录，或经名称、任务、受试者和论文交叉核验为同一原始数据下载单元</x:v>
      </x:c>
    </x:row>
    <x:row r="41" ht="42" customHeight="1">
      <x:c r="A41" s="19" t="str">
        <x:v>Chisco (Chinese Imagined Speech EEG Corpus)</x:v>
      </x:c>
      <x:c r="B41" s="19" t="str">
        <x:v>Chisco</x:v>
      </x:c>
      <x:c r="C41" s="19" t="str">
        <x:v>OpenNeuro:ds005170,ds006317 | DOI:10.1038/s41597-024-04114-1</x:v>
      </x:c>
      <x:c r="D41" s="19" t="str">
        <x:v>同一稳定访问号/仓库记录，或经名称、任务、受试者和论文交叉核验为同一原始数据下载单元</x:v>
      </x:c>
    </x:row>
    <x:row r="42" ht="42" customHeight="1">
      <x:c r="A42" s="19" t="str">
        <x:v>Chisco (Chinese Imagined Speech EEG Corpus)</x:v>
      </x:c>
      <x:c r="B42" s="19" t="str">
        <x:v>Chisco (Chinese Imagined Speech EEG Corpus)</x:v>
      </x:c>
      <x:c r="C42" s="19" t="str">
        <x:v>OpenNeuro:ds005170,ds006317 | DOI:10.1038/s41597-024-04114-1</x:v>
      </x:c>
      <x:c r="D42" s="19" t="str">
        <x:v>同一稳定访问号/仓库记录，或经名称、任务、受试者和论文交叉核验为同一原始数据下载单元</x:v>
      </x:c>
    </x:row>
    <x:row r="43" ht="42" customHeight="1">
      <x:c r="A43" s="19" t="str">
        <x:v>DREAMS-SUB (DREAMS Subjects Database)</x:v>
      </x:c>
      <x:c r="B43" s="19" t="str">
        <x:v>DREAMS Sleep Databases</x:v>
      </x:c>
      <x:c r="C43" s="19" t="str">
        <x:v>Zenodo:2650142 | DOI:10.5281/zenodo.2650142</x:v>
      </x:c>
      <x:c r="D43" s="19" t="str">
        <x:v>同一稳定访问号/仓库记录，或经名称、任务、受试者和论文交叉核验为同一原始数据下载单元</x:v>
      </x:c>
    </x:row>
    <x:row r="44" ht="42" customHeight="1">
      <x:c r="A44" s="19" t="str">
        <x:v>DREAMS-SUB (DREAMS Subjects Database)</x:v>
      </x:c>
      <x:c r="B44" s="19" t="str">
        <x:v>DREAMS-SUB (DREAMS Subjects Database)</x:v>
      </x:c>
      <x:c r="C44" s="19" t="str">
        <x:v>Zenodo:2650142 | DOI:10.5281/zenodo.2650142</x:v>
      </x:c>
      <x:c r="D44" s="19" t="str">
        <x:v>同一稳定访问号/仓库记录，或经名称、任务、受试者和论文交叉核验为同一原始数据下载单元</x:v>
      </x:c>
    </x:row>
    <x:row r="45" ht="42" customHeight="1">
      <x:c r="A45" s="19" t="str">
        <x:v>Digit-Span (pupillometry)</x:v>
      </x:c>
      <x:c r="B45" s="19" t="str">
        <x:v>Digit Span EEG + Pupillometry Dataset</x:v>
      </x:c>
      <x:c r="C45" s="19" t="str">
        <x:v>OpenNeuro:ds003838 | DOI:10.12751/g-node.1ecsf4</x:v>
      </x:c>
      <x:c r="D45" s="19" t="str">
        <x:v>同一稳定访问号/仓库记录，或经名称、任务、受试者和论文交叉核验为同一原始数据下载单元</x:v>
      </x:c>
    </x:row>
    <x:row r="46" ht="42" customHeight="1">
      <x:c r="A46" s="19" t="str">
        <x:v>Digit-Span (pupillometry)</x:v>
      </x:c>
      <x:c r="B46" s="19" t="str">
        <x:v>Digit-Span (pupillometry)</x:v>
      </x:c>
      <x:c r="C46" s="19" t="str">
        <x:v>OpenNeuro:ds003838 | DOI:10.12751/g-node.1ecsf4</x:v>
      </x:c>
      <x:c r="D46" s="19" t="str">
        <x:v>同一稳定访问号/仓库记录，或经名称、任务、受试者和论文交叉核验为同一原始数据下载单元</x:v>
      </x:c>
    </x:row>
    <x:row r="47" ht="42" customHeight="1">
      <x:c r="A47" s="19" t="str">
        <x:v>Dreem Open Datasets (DOD-H</x:v>
      </x:c>
      <x:c r="B47" s="19" t="str">
        <x:v>Dreem Open Datasets</x:v>
      </x:c>
      <x:c r="C47" s="19" t="str">
        <x:v>Zenodo:4498364</x:v>
      </x:c>
      <x:c r="D47" s="19" t="str">
        <x:v>同一稳定访问号/仓库记录，或经名称、任务、受试者和论文交叉核验为同一原始数据下载单元</x:v>
      </x:c>
    </x:row>
    <x:row r="48" ht="42" customHeight="1">
      <x:c r="A48" s="19" t="str">
        <x:v>Dreem Open Datasets (DOD-H</x:v>
      </x:c>
      <x:c r="B48" s="19" t="str">
        <x:v>Dreem Open Datasets (DOD-H</x:v>
      </x:c>
      <x:c r="C48" s="19" t="str">
        <x:v>Zenodo:4498364</x:v>
      </x:c>
      <x:c r="D48" s="19" t="str">
        <x:v>同一稳定访问号/仓库记录，或经名称、任务、受试者和论文交叉核验为同一原始数据下载单元</x:v>
      </x:c>
    </x:row>
    <x:row r="49" ht="42" customHeight="1">
      <x:c r="A49" s="19" t="str">
        <x:v>Dreem Open Datasets (DOD-H</x:v>
      </x:c>
      <x:c r="B49" s="19" t="str">
        <x:v>Dreem Open Datasets (DOD-H</x:v>
      </x:c>
      <x:c r="C49" s="19" t="str">
        <x:v>Zenodo:4498364</x:v>
      </x:c>
      <x:c r="D49" s="19" t="str">
        <x:v>同一稳定访问号/仓库记录，或经名称、任务、受试者和论文交叉核验为同一原始数据下载单元</x:v>
      </x:c>
    </x:row>
    <x:row r="50" ht="42" customHeight="1">
      <x:c r="A50" s="19" t="str">
        <x:v>Dreem Open Datasets (DOD-H</x:v>
      </x:c>
      <x:c r="B50" s="19" t="str">
        <x:v>Dreem Open Datasets (DOD-H</x:v>
      </x:c>
      <x:c r="C50" s="19" t="str">
        <x:v>Zenodo:4498364</x:v>
      </x:c>
      <x:c r="D50" s="19" t="str">
        <x:v>同一稳定访问号/仓库记录，或经名称、任务、受试者和论文交叉核验为同一原始数据下载单元</x:v>
      </x:c>
    </x:row>
    <x:row r="51" ht="42" customHeight="1">
      <x:c r="A51" s="19" t="str">
        <x:v>Dreyer-MI</x:v>
      </x:c>
      <x:c r="B51" s="19" t="str">
        <x:v>Dreyer-MI</x:v>
      </x:c>
      <x:c r="C51" s="19" t="str">
        <x:v>Zenodo:8089820 | DOI:10.5281/zenodo.8089820</x:v>
      </x:c>
      <x:c r="D51" s="19" t="str">
        <x:v>同一稳定访问号/仓库记录，或经名称、任务、受试者和论文交叉核验为同一原始数据下载单元</x:v>
      </x:c>
    </x:row>
    <x:row r="52" ht="42" customHeight="1">
      <x:c r="A52" s="19" t="str">
        <x:v>Dreyer-MI</x:v>
      </x:c>
      <x:c r="B52" s="19" t="str">
        <x:v>Large MI BCI User-Profile Database (Dreyer 2023)</x:v>
      </x:c>
      <x:c r="C52" s="19" t="str">
        <x:v>Zenodo:8089820 | DOI:10.5281/zenodo.8089820</x:v>
      </x:c>
      <x:c r="D52" s="19" t="str">
        <x:v>同一稳定访问号/仓库记录，或经名称、任务、受试者和论文交叉核验为同一原始数据下载单元</x:v>
      </x:c>
    </x:row>
    <x:row r="53" ht="42" customHeight="1">
      <x:c r="A53" s="19" t="str">
        <x:v>Dual-Frequency SSVEP</x:v>
      </x:c>
      <x:c r="B53" s="19" t="str">
        <x:v>Dual-Freq-SSVEP</x:v>
      </x:c>
      <x:c r="C53" s="19" t="str">
        <x:v>DOI:10.5524/102563</x:v>
      </x:c>
      <x:c r="D53" s="19" t="str">
        <x:v>同一稳定访问号/仓库记录，或经名称、任务、受试者和论文交叉核验为同一原始数据下载单元</x:v>
      </x:c>
    </x:row>
    <x:row r="54" ht="42" customHeight="1">
      <x:c r="A54" s="19" t="str">
        <x:v>Dual-Frequency SSVEP</x:v>
      </x:c>
      <x:c r="B54" s="19" t="str">
        <x:v>Dual-Frequency SSVEP</x:v>
      </x:c>
      <x:c r="C54" s="19" t="str">
        <x:v>DOI:10.5524/102563</x:v>
      </x:c>
      <x:c r="D54" s="19" t="str">
        <x:v>同一稳定访问号/仓库记录，或经名称、任务、受试者和论文交叉核验为同一原始数据下载单元</x:v>
      </x:c>
    </x:row>
    <x:row r="55" ht="42" customHeight="1">
      <x:c r="A55" s="19" t="str">
        <x:v>EEG Data for ADHD</x:v>
      </x:c>
      <x:c r="B55" s="19" t="str">
        <x:v>ADHD-AliMotie</x:v>
      </x:c>
      <x:c r="C55" s="19" t="str">
        <x:v>DOI:10.21227/rzfh-zn36</x:v>
      </x:c>
      <x:c r="D55" s="19" t="str">
        <x:v>同一稳定访问号/仓库记录，或经名称、任务、受试者和论文交叉核验为同一原始数据下载单元</x:v>
      </x:c>
    </x:row>
    <x:row r="56" ht="42" customHeight="1">
      <x:c r="A56" s="19" t="str">
        <x:v>EEG Data for ADHD</x:v>
      </x:c>
      <x:c r="B56" s="19" t="str">
        <x:v>EEG Data for ADHD</x:v>
      </x:c>
      <x:c r="C56" s="19" t="str">
        <x:v>DOI:10.21227/rzfh-zn36</x:v>
      </x:c>
      <x:c r="D56" s="19" t="str">
        <x:v>同一稳定访问号/仓库记录，或经名称、任务、受试者和论文交叉核验为同一原始数据下载单元</x:v>
      </x:c>
    </x:row>
    <x:row r="57" ht="42" customHeight="1">
      <x:c r="A57" s="19" t="str">
        <x:v>EEG-SVRec</x:v>
      </x:c>
      <x:c r="B57" s="19" t="str">
        <x:v>EEG-SVRec</x:v>
      </x:c>
      <x:c r="C57" s="19"/>
      <x:c r="D57" s="19" t="str">
        <x:v>同一稳定访问号/仓库记录，或经名称、任务、受试者和论文交叉核验为同一原始数据下载单元</x:v>
      </x:c>
    </x:row>
    <x:row r="58" ht="42" customHeight="1">
      <x:c r="A58" s="19" t="str">
        <x:v>EEG-SVRec</x:v>
      </x:c>
      <x:c r="B58" s="19" t="str">
        <x:v>EEG-SvRec</x:v>
      </x:c>
      <x:c r="C58" s="19"/>
      <x:c r="D58" s="19" t="str">
        <x:v>同一稳定访问号/仓库记录，或经名称、任务、受试者和论文交叉核验为同一原始数据下载单元</x:v>
      </x:c>
    </x:row>
    <x:row r="59" ht="42" customHeight="1">
      <x:c r="A59" s="19" t="str">
        <x:v>EEG-SVRec</x:v>
      </x:c>
      <x:c r="B59" s="19" t="str">
        <x:v>EEG-SvRec</x:v>
      </x:c>
      <x:c r="C59" s="19"/>
      <x:c r="D59" s="19" t="str">
        <x:v>同一稳定访问号/仓库记录，或经名称、任务、受试者和论文交叉核验为同一原始数据下载单元</x:v>
      </x:c>
    </x:row>
    <x:row r="60" ht="42" customHeight="1">
      <x:c r="A60" s="19" t="str">
        <x:v>EEG: 3-Stim Auditory Oddball and Rest in Parkinson’s</x:v>
      </x:c>
      <x:c r="B60" s="19" t="str">
        <x:v>EEG: 3-Stim Auditory Oddball and Rest in Parkinson’s</x:v>
      </x:c>
      <x:c r="C60" s="19" t="str">
        <x:v>OpenNeuro:ds003490 | DOI:10.1016/j.clinph.2017.11.023</x:v>
      </x:c>
      <x:c r="D60" s="19" t="str">
        <x:v>同一稳定访问号/仓库记录，或经名称、任务、受试者和论文交叉核验为同一原始数据下载单元</x:v>
      </x:c>
    </x:row>
    <x:row r="61" ht="42" customHeight="1">
      <x:c r="A61" s="19" t="str">
        <x:v>EEG: 3-Stim Auditory Oddball and Rest in Parkinson’s</x:v>
      </x:c>
      <x:c r="B61" s="19" t="str">
        <x:v>Parkinson's EEG (3-Stim Auditory Oddball + Rest, OpenNeuro ds003490)</x:v>
      </x:c>
      <x:c r="C61" s="19" t="str">
        <x:v>OpenNeuro:ds003490 | DOI:10.1016/j.clinph.2017.11.023</x:v>
      </x:c>
      <x:c r="D61" s="19" t="str">
        <x:v>同一稳定访问号/仓库记录，或经名称、任务、受试者和论文交叉核验为同一原始数据下载单元</x:v>
      </x:c>
    </x:row>
    <x:row r="62" ht="42" customHeight="1">
      <x:c r="A62" s="19" t="str">
        <x:v>Gu (2024)</x:v>
      </x:c>
      <x:c r="B62" s="19" t="str">
        <x:v>Gu (2024)</x:v>
      </x:c>
      <x:c r="C62" s="19" t="str">
        <x:v>DOI:10.6084/m9.figshare.c.6752910.v1</x:v>
      </x:c>
      <x:c r="D62" s="19" t="str">
        <x:v>同一稳定访问号/仓库记录，或经名称、任务、受试者和论文交叉核验为同一原始数据下载单元</x:v>
      </x:c>
    </x:row>
    <x:row r="63" ht="42" customHeight="1">
      <x:c r="A63" s="19" t="str">
        <x:v>Gu (2024)</x:v>
      </x:c>
      <x:c r="B63" s="19" t="str">
        <x:v>Gu2024</x:v>
      </x:c>
      <x:c r="C63" s="19" t="str">
        <x:v>DOI:10.6084/m9.figshare.c.6752910.v1</x:v>
      </x:c>
      <x:c r="D63" s="19" t="str">
        <x:v>同一稳定访问号/仓库记录，或经名称、任务、受试者和论文交叉核验为同一原始数据下载单元</x:v>
      </x:c>
    </x:row>
    <x:row r="64" ht="42" customHeight="1">
      <x:c r="A64" s="19" t="str">
        <x:v>Inner-Speech (Thinking-Out-Loud)</x:v>
      </x:c>
      <x:c r="B64" s="19" t="str">
        <x:v>Inner-Speech (Thinking-Out-Loud)</x:v>
      </x:c>
      <x:c r="C64" s="19" t="str">
        <x:v>OpenNeuro:ds003626</x:v>
      </x:c>
      <x:c r="D64" s="19" t="str">
        <x:v>同一稳定访问号/仓库记录，或经名称、任务、受试者和论文交叉核验为同一原始数据下载单元</x:v>
      </x:c>
    </x:row>
    <x:row r="65" ht="42" customHeight="1">
      <x:c r="A65" s="19" t="str">
        <x:v>Inner-Speech (Thinking-Out-Loud)</x:v>
      </x:c>
      <x:c r="B65" s="19" t="str">
        <x:v>Thinking Out Loud (Inner Speech EEG-based BCI dataset)</x:v>
      </x:c>
      <x:c r="C65" s="19" t="str">
        <x:v>OpenNeuro:ds003626</x:v>
      </x:c>
      <x:c r="D65" s="19" t="str">
        <x:v>同一稳定访问号/仓库记录，或经名称、任务、受试者和论文交叉核验为同一原始数据下载单元</x:v>
      </x:c>
    </x:row>
    <x:row r="66" ht="42" customHeight="1">
      <x:c r="A66" s="19" t="str">
        <x:v>Inner-Speech (Thinking-Out-Loud)</x:v>
      </x:c>
      <x:c r="B66" s="19" t="str">
        <x:v>Thinking Out Loud Inner Speech dataset (Nieto et al., 2022)</x:v>
      </x:c>
      <x:c r="C66" s="19" t="str">
        <x:v>OpenNeuro:ds003626</x:v>
      </x:c>
      <x:c r="D66" s="19" t="str">
        <x:v>同一稳定访问号/仓库记录，或经名称、任务、受试者和论文交叉核验为同一原始数据下载单元</x:v>
      </x:c>
    </x:row>
    <x:row r="67" ht="42" customHeight="1">
      <x:c r="A67" s="19" t="str">
        <x:v>KU Leuven Auditory Attention Decoding (AAD) EEG Dataset</x:v>
      </x:c>
      <x:c r="B67" s="19" t="str">
        <x:v>KU Leuven Auditory Attention Decoding (AAD) EEG Dataset</x:v>
      </x:c>
      <x:c r="C67" s="19" t="str">
        <x:v>Zenodo:4004271</x:v>
      </x:c>
      <x:c r="D67" s="19" t="str">
        <x:v>同一稳定访问号/仓库记录，或经名称、任务、受试者和论文交叉核验为同一原始数据下载单元</x:v>
      </x:c>
    </x:row>
    <x:row r="68" ht="42" customHeight="1">
      <x:c r="A68" s="19" t="str">
        <x:v>KU Leuven Auditory Attention Decoding (AAD) EEG Dataset</x:v>
      </x:c>
      <x:c r="B68" s="19" t="str">
        <x:v>KUL (KU Leuven auditory attention detection dataset)</x:v>
      </x:c>
      <x:c r="C68" s="19" t="str">
        <x:v>Zenodo:4004271</x:v>
      </x:c>
      <x:c r="D68" s="19" t="str">
        <x:v>同一稳定访问号/仓库记录，或经名称、任务、受试者和论文交叉核验为同一原始数据下载单元</x:v>
      </x:c>
    </x:row>
    <x:row r="69" ht="42" customHeight="1">
      <x:c r="A69" s="19" t="str">
        <x:v>KaggleERN (Inria BCI Challenge - Error-Related Negativity)</x:v>
      </x:c>
      <x:c r="B69" s="19" t="str">
        <x:v>Inria BCI Challenge</x:v>
      </x:c>
      <x:c r="C69" s="19"/>
      <x:c r="D69" s="19" t="str">
        <x:v>同一稳定访问号/仓库记录，或经名称、任务、受试者和论文交叉核验为同一原始数据下载单元</x:v>
      </x:c>
    </x:row>
    <x:row r="70" ht="42" customHeight="1">
      <x:c r="A70" s="19" t="str">
        <x:v>KaggleERN (Inria BCI Challenge - Error-Related Negativity)</x:v>
      </x:c>
      <x:c r="B70" s="19" t="str">
        <x:v>KaggleERN (Inria BCI Challenge - Error-Related Negativity)</x:v>
      </x:c>
      <x:c r="C70" s="19"/>
      <x:c r="D70" s="19" t="str">
        <x:v>同一稳定访问号/仓库记录，或经名称、任务、受试者和论文交叉核验为同一原始数据下载单元</x:v>
      </x:c>
    </x:row>
    <x:row r="71" ht="42" customHeight="1">
      <x:c r="A71" s="19" t="str">
        <x:v>KaggleERN (Inria BCI Challenge - Error-Related Negativity)</x:v>
      </x:c>
      <x:c r="B71" s="19" t="str">
        <x:v>Perrin2012</x:v>
      </x:c>
      <x:c r="C71" s="19"/>
      <x:c r="D71" s="19" t="str">
        <x:v>同一稳定访问号/仓库记录，或经名称、任务、受试者和论文交叉核验为同一原始数据下载单元</x:v>
      </x:c>
    </x:row>
    <x:row r="72" ht="42" customHeight="1">
      <x:c r="A72" s="19" t="str">
        <x:v>Kaya-MI</x:v>
      </x:c>
      <x:c r="B72" s="19" t="str">
        <x:v>Kaya (2017)</x:v>
      </x:c>
      <x:c r="C72" s="19" t="str">
        <x:v>Figshare:3917698 | DOI:10.6084/m9.figshare.c.3917698.v1</x:v>
      </x:c>
      <x:c r="D72" s="19" t="str">
        <x:v>同一稳定访问号/仓库记录，或经名称、任务、受试者和论文交叉核验为同一原始数据下载单元</x:v>
      </x:c>
    </x:row>
    <x:row r="73" ht="42" customHeight="1">
      <x:c r="A73" s="19" t="str">
        <x:v>Kaya-MI</x:v>
      </x:c>
      <x:c r="B73" s="19" t="str">
        <x:v>Kaya-MI</x:v>
      </x:c>
      <x:c r="C73" s="19" t="str">
        <x:v>Figshare:3917698 | DOI:10.6084/m9.figshare.c.3917698.v1</x:v>
      </x:c>
      <x:c r="D73" s="19" t="str">
        <x:v>同一稳定访问号/仓库记录，或经名称、任务、受试者和论文交叉核验为同一原始数据下载单元</x:v>
      </x:c>
    </x:row>
    <x:row r="74" ht="42" customHeight="1">
      <x:c r="A74" s="19" t="str">
        <x:v>LPPHK</x:v>
      </x:c>
      <x:c r="B74" s="19" t="str">
        <x:v>LPPHK</x:v>
      </x:c>
      <x:c r="C74" s="19" t="str">
        <x:v>OpenNeuro:ds004718</x:v>
      </x:c>
      <x:c r="D74" s="19" t="str">
        <x:v>同一稳定访问号/仓库记录，或经名称、任务、受试者和论文交叉核验为同一原始数据下载单元</x:v>
      </x:c>
    </x:row>
    <x:row r="75" ht="42" customHeight="1">
      <x:c r="A75" s="19" t="str">
        <x:v>LPPHK</x:v>
      </x:c>
      <x:c r="B75" s="19" t="str">
        <x:v>LePetitPrince (Le Petit Prince Hong Kong, LPPHK)</x:v>
      </x:c>
      <x:c r="C75" s="19" t="str">
        <x:v>OpenNeuro:ds004718</x:v>
      </x:c>
      <x:c r="D75" s="19" t="str">
        <x:v>同一稳定访问号/仓库记录，或经名称、任务、受试者和论文交叉核验为同一原始数据下载单元</x:v>
      </x:c>
    </x:row>
    <x:row r="76" ht="42" customHeight="1">
      <x:c r="A76" s="19" t="str">
        <x:v>Lin (2025)</x:v>
      </x:c>
      <x:c r="B76" s="19" t="str">
        <x:v>Lin (2025)</x:v>
      </x:c>
      <x:c r="C76" s="19" t="str">
        <x:v>Figshare:28069568 | DOI:10.6084/m9.figshare.28069568</x:v>
      </x:c>
      <x:c r="D76" s="19" t="str">
        <x:v>同一稳定访问号/仓库记录，或经名称、任务、受试者和论文交叉核验为同一原始数据下载单元</x:v>
      </x:c>
    </x:row>
    <x:row r="77" ht="42" customHeight="1">
      <x:c r="A77" s="19" t="str">
        <x:v>Lin (2025)</x:v>
      </x:c>
      <x:c r="B77" s="19" t="str">
        <x:v>Lin2025</x:v>
      </x:c>
      <x:c r="C77" s="19" t="str">
        <x:v>Figshare:28069568 | DOI:10.6084/m9.figshare.28069568</x:v>
      </x:c>
      <x:c r="D77" s="19" t="str">
        <x:v>同一稳定访问号/仓库记录，或经名称、任务、受试者和论文交叉核验为同一原始数据下载单元</x:v>
      </x:c>
    </x:row>
    <x:row r="78" ht="42" customHeight="1">
      <x:c r="A78" s="19" t="str">
        <x:v>Liu2024</x:v>
      </x:c>
      <x:c r="B78" s="19" t="str">
        <x:v>Liu (2024)</x:v>
      </x:c>
      <x:c r="C78" s="19" t="str">
        <x:v>Figshare:21679035 | DOI:10.1038/s41597-023-02787-8,10.6084/m9.figshare.21679035,10.6084/m9.figshare.21679035.v5</x:v>
      </x:c>
      <x:c r="D78" s="19" t="str">
        <x:v>同一稳定访问号/仓库记录，或经名称、任务、受试者和论文交叉核验为同一原始数据下载单元</x:v>
      </x:c>
    </x:row>
    <x:row r="79" ht="42" customHeight="1">
      <x:c r="A79" s="19" t="str">
        <x:v>Liu2024</x:v>
      </x:c>
      <x:c r="B79" s="19" t="str">
        <x:v>Liu2024</x:v>
      </x:c>
      <x:c r="C79" s="19" t="str">
        <x:v>Figshare:21679035 | DOI:10.1038/s41597-023-02787-8,10.6084/m9.figshare.21679035,10.6084/m9.figshare.21679035.v5</x:v>
      </x:c>
      <x:c r="D79" s="19" t="str">
        <x:v>同一稳定访问号/仓库记录，或经名称、任务、受试者和论文交叉核验为同一原始数据下载单元</x:v>
      </x:c>
    </x:row>
    <x:row r="80" ht="42" customHeight="1">
      <x:c r="A80" s="19" t="str">
        <x:v>Liu2024</x:v>
      </x:c>
      <x:c r="B80" s="19" t="str">
        <x:v>MI-Acute-Stroke</x:v>
      </x:c>
      <x:c r="C80" s="19" t="str">
        <x:v>Figshare:21679035 | DOI:10.1038/s41597-023-02787-8,10.6084/m9.figshare.21679035,10.6084/m9.figshare.21679035.v5</x:v>
      </x:c>
      <x:c r="D80" s="19" t="str">
        <x:v>同一稳定访问号/仓库记录，或经名称、任务、受试者和论文交叉核验为同一原始数据下载单元</x:v>
      </x:c>
    </x:row>
    <x:row r="81" ht="42" customHeight="1">
      <x:c r="A81" s="19" t="str">
        <x:v>Liu2024</x:v>
      </x:c>
      <x:c r="B81" s="19" t="str">
        <x:v>SPMI (Stroke Patient Motor Imagery EEG dataset, Liu et al. 2024a)</x:v>
      </x:c>
      <x:c r="C81" s="19" t="str">
        <x:v>Figshare:21679035 | DOI:10.1038/s41597-023-02787-8,10.6084/m9.figshare.21679035,10.6084/m9.figshare.21679035.v5</x:v>
      </x:c>
      <x:c r="D81" s="19" t="str">
        <x:v>同一稳定访问号/仓库记录，或经名称、任务、受试者和论文交叉核验为同一原始数据下载单元</x:v>
      </x:c>
    </x:row>
    <x:row r="82" ht="42" customHeight="1">
      <x:c r="A82" s="19" t="str">
        <x:v>Lopez2015</x:v>
      </x:c>
      <x:c r="B82" s="19" t="str">
        <x:v>Lopez (2015)</x:v>
      </x:c>
      <x:c r="C82" s="19"/>
      <x:c r="D82" s="19" t="str">
        <x:v>同一稳定访问号/仓库记录，或经名称、任务、受试者和论文交叉核验为同一原始数据下载单元</x:v>
      </x:c>
    </x:row>
    <x:row r="83" ht="42" customHeight="1">
      <x:c r="A83" s="19" t="str">
        <x:v>Lopez2015</x:v>
      </x:c>
      <x:c r="B83" s="19" t="str">
        <x:v>Lopez2015</x:v>
      </x:c>
      <x:c r="C83" s="19"/>
      <x:c r="D83" s="19" t="str">
        <x:v>同一稳定访问号/仓库记录，或经名称、任务、受试者和论文交叉核验为同一原始数据下载单元</x:v>
      </x:c>
    </x:row>
    <x:row r="84" ht="42" customHeight="1">
      <x:c r="A84" s="19" t="str">
        <x:v>MAMEM EEG SSVEP Dataset</x:v>
      </x:c>
      <x:c r="B84" s="19" t="str">
        <x:v>MAMEM EEG SSVEP Dataset</x:v>
      </x:c>
      <x:c r="C84" s="19" t="str">
        <x:v>Figshare:2068677,PhysioNet:mssvepdb | DOI:10.6084/m9.figshare.2068677</x:v>
      </x:c>
      <x:c r="D84" s="19" t="str">
        <x:v>同一稳定访问号/仓库记录，或经名称、任务、受试者和论文交叉核验为同一原始数据下载单元</x:v>
      </x:c>
    </x:row>
    <x:row r="85" ht="42" customHeight="1">
      <x:c r="A85" s="19" t="str">
        <x:v>MAMEM EEG SSVEP Dataset</x:v>
      </x:c>
      <x:c r="B85" s="19" t="str">
        <x:v>MAMEM SSVEP I</x:v>
      </x:c>
      <x:c r="C85" s="19" t="str">
        <x:v>Figshare:2068677,PhysioNet:mssvepdb | DOI:10.6084/m9.figshare.2068677</x:v>
      </x:c>
      <x:c r="D85" s="19" t="str">
        <x:v>同一稳定访问号/仓库记录，或经名称、任务、受试者和论文交叉核验为同一原始数据下载单元</x:v>
      </x:c>
    </x:row>
    <x:row r="86" ht="42" customHeight="1">
      <x:c r="A86" s="19" t="str">
        <x:v>MAMEM EEG SSVEP Dataset</x:v>
      </x:c>
      <x:c r="B86" s="19" t="str">
        <x:v>MAMEM1</x:v>
      </x:c>
      <x:c r="C86" s="19" t="str">
        <x:v>Figshare:2068677,PhysioNet:mssvepdb | DOI:10.6084/m9.figshare.2068677</x:v>
      </x:c>
      <x:c r="D86" s="19" t="str">
        <x:v>同一稳定访问号/仓库记录，或经名称、任务、受试者和论文交叉核验为同一原始数据下载单元</x:v>
      </x:c>
    </x:row>
    <x:row r="87" ht="42" customHeight="1">
      <x:c r="A87" s="19" t="str">
        <x:v>MDD (Mumtaz)</x:v>
      </x:c>
      <x:c r="B87" s="19" t="str">
        <x:v>MDD</x:v>
      </x:c>
      <x:c r="C87" s="19" t="str">
        <x:v>Figshare:3385168,Figshare:4244171 | DOI:10.6084/m9.figshare.4244171</x:v>
      </x:c>
      <x:c r="D87" s="19" t="str">
        <x:v>同一稳定访问号/仓库记录，或经名称、任务、受试者和论文交叉核验为同一原始数据下载单元</x:v>
      </x:c>
    </x:row>
    <x:row r="88" ht="42" customHeight="1">
      <x:c r="A88" s="19" t="str">
        <x:v>MDD (Mumtaz)</x:v>
      </x:c>
      <x:c r="B88" s="19" t="str">
        <x:v>MDD (Mumtaz)</x:v>
      </x:c>
      <x:c r="C88" s="19" t="str">
        <x:v>Figshare:3385168,Figshare:4244171 | DOI:10.6084/m9.figshare.4244171</x:v>
      </x:c>
      <x:c r="D88" s="19" t="str">
        <x:v>同一稳定访问号/仓库记录，或经名称、任务、受试者和论文交叉核验为同一原始数据下载单元</x:v>
      </x:c>
    </x:row>
    <x:row r="89" ht="42" customHeight="1">
      <x:c r="A89" s="19" t="str">
        <x:v>MDD (Mumtaz)</x:v>
      </x:c>
      <x:c r="B89" s="19" t="str">
        <x:v>Mumtaz2016 (MDD Patients and Healthy Controls EEG Data)</x:v>
      </x:c>
      <x:c r="C89" s="19" t="str">
        <x:v>Figshare:3385168,Figshare:4244171 | DOI:10.6084/m9.figshare.4244171</x:v>
      </x:c>
      <x:c r="D89" s="19" t="str">
        <x:v>同一稳定访问号/仓库记录，或经名称、任务、受试者和论文交叉核验为同一原始数据下载单元</x:v>
      </x:c>
    </x:row>
    <x:row r="90" ht="42" customHeight="1">
      <x:c r="A90" s="19" t="str">
        <x:v>MDD (Mumtaz)</x:v>
      </x:c>
      <x:c r="B90" s="19" t="str">
        <x:v>Mumtaz2016 depression EEG</x:v>
      </x:c>
      <x:c r="C90" s="19" t="str">
        <x:v>Figshare:3385168,Figshare:4244171 | DOI:10.6084/m9.figshare.4244171</x:v>
      </x:c>
      <x:c r="D90" s="19" t="str">
        <x:v>同一稳定访问号/仓库记录，或经名称、任务、受试者和论文交叉核验为同一原始数据下载单元</x:v>
      </x:c>
    </x:row>
    <x:row r="91" ht="42" customHeight="1">
      <x:c r="A91" s="19" t="str">
        <x:v>Ma (2020)</x:v>
      </x:c>
      <x:c r="B91" s="19" t="str">
        <x:v>Ma (2020)</x:v>
      </x:c>
      <x:c r="C91" s="19" t="str">
        <x:v>BNCI:020-0535 | DOI:10.1038/s41597-020-0535-2,10.7910/DVN/RBN3XG</x:v>
      </x:c>
      <x:c r="D91" s="19" t="str">
        <x:v>同一稳定访问号/仓库记录，或经名称、任务、受试者和论文交叉核验为同一原始数据下载单元</x:v>
      </x:c>
    </x:row>
    <x:row r="92" ht="42" customHeight="1">
      <x:c r="A92" s="19" t="str">
        <x:v>Ma (2020)</x:v>
      </x:c>
      <x:c r="B92" s="19" t="str">
        <x:v>Ma2020</x:v>
      </x:c>
      <x:c r="C92" s="19" t="str">
        <x:v>BNCI:020-0535 | DOI:10.1038/s41597-020-0535-2,10.7910/DVN/RBN3XG</x:v>
      </x:c>
      <x:c r="D92" s="19" t="str">
        <x:v>同一稳定访问号/仓库记录，或经名称、任务、受试者和论文交叉核验为同一原始数据下载单元</x:v>
      </x:c>
    </x:row>
    <x:row r="93" ht="42" customHeight="1">
      <x:c r="A93" s="19" t="str">
        <x:v>Moffa (2022)</x:v>
      </x:c>
      <x:c r="B93" s="19" t="str">
        <x:v>Moffa (2022)</x:v>
      </x:c>
      <x:c r="C93" s="19" t="str">
        <x:v>Figshare:5910329 | DOI:10.25452/figshare.plus.c.5910329</x:v>
      </x:c>
      <x:c r="D93" s="19" t="str">
        <x:v>同一稳定访问号/仓库记录，或经名称、任务、受试者和论文交叉核验为同一原始数据下载单元</x:v>
      </x:c>
    </x:row>
    <x:row r="94" ht="42" customHeight="1">
      <x:c r="A94" s="19" t="str">
        <x:v>Moffa (2022)</x:v>
      </x:c>
      <x:c r="B94" s="19" t="str">
        <x:v>TBS TMS-EEG (prefrontal)</x:v>
      </x:c>
      <x:c r="C94" s="19" t="str">
        <x:v>Figshare:5910329 | DOI:10.25452/figshare.plus.c.5910329</x:v>
      </x:c>
      <x:c r="D94" s="19" t="str">
        <x:v>同一稳定访问号/仓库记录，或经名称、任务、受试者和论文交叉核验为同一原始数据下载单元</x:v>
      </x:c>
    </x:row>
    <x:row r="95" ht="42" customHeight="1">
      <x:c r="A95" s="19" t="str">
        <x:v>Monitoring ErrP</x:v>
      </x:c>
      <x:c r="B95" s="19" t="str">
        <x:v>BNCI 013-2015 (Monitoring error-related potentials)</x:v>
      </x:c>
      <x:c r="C95" s="19" t="str">
        <x:v>BNCI:013-2015,BNCI 013-2015</x:v>
      </x:c>
      <x:c r="D95" s="19" t="str">
        <x:v>同一稳定访问号/仓库记录，或经名称、任务、受试者和论文交叉核验为同一原始数据下载单元</x:v>
      </x:c>
    </x:row>
    <x:row r="96" ht="42" customHeight="1">
      <x:c r="A96" s="19" t="str">
        <x:v>Monitoring ErrP</x:v>
      </x:c>
      <x:c r="B96" s="19" t="str">
        <x:v>Monitoring ErrP</x:v>
      </x:c>
      <x:c r="C96" s="19" t="str">
        <x:v>BNCI:013-2015,BNCI 013-2015</x:v>
      </x:c>
      <x:c r="D96" s="19" t="str">
        <x:v>同一稳定访问号/仓库记录，或经名称、任务、受试者和论文交叉核验为同一原始数据下载单元</x:v>
      </x:c>
    </x:row>
    <x:row r="97" ht="42" customHeight="1">
      <x:c r="A97" s="19" t="str">
        <x:v>Music and Speech Subcortical Responses EEG</x:v>
      </x:c>
      <x:c r="B97" s="19" t="str">
        <x:v>Music and Speech Subcortical Responses EEG</x:v>
      </x:c>
      <x:c r="C97" s="19" t="str">
        <x:v>OpenNeuro:ds004356</x:v>
      </x:c>
      <x:c r="D97" s="19" t="str">
        <x:v>同一稳定访问号/仓库记录，或经名称、任务、受试者和论文交叉核验为同一原始数据下载单元</x:v>
      </x:c>
    </x:row>
    <x:row r="98" ht="42" customHeight="1">
      <x:c r="A98" s="19" t="str">
        <x:v>Music and Speech Subcortical Responses EEG</x:v>
      </x:c>
      <x:c r="B98" s="19" t="str">
        <x:v>ds004356 (Subcortical</x:v>
      </x:c>
      <x:c r="C98" s="19" t="str">
        <x:v>OpenNeuro:ds004356</x:v>
      </x:c>
      <x:c r="D98" s="19" t="str">
        <x:v>同一稳定访问号/仓库记录，或经名称、任务、受试者和论文交叉核验为同一原始数据下载单元</x:v>
      </x:c>
    </x:row>
    <x:row r="99" ht="42" customHeight="1">
      <x:c r="A99" s="19" t="str">
        <x:v>Nakanishi2015</x:v>
      </x:c>
      <x:c r="B99" s="19" t="str">
        <x:v>Nakanishi 2015 SSVEP dataset</x:v>
      </x:c>
      <x:c r="C99" s="19"/>
      <x:c r="D99" s="19" t="str">
        <x:v>同一稳定访问号/仓库记录，或经名称、任务、受试者和论文交叉核验为同一原始数据下载单元</x:v>
      </x:c>
    </x:row>
    <x:row r="100" ht="42" customHeight="1">
      <x:c r="A100" s="19" t="str">
        <x:v>Nakanishi2015</x:v>
      </x:c>
      <x:c r="B100" s="19" t="str">
        <x:v>Nakanishi2015</x:v>
      </x:c>
      <x:c r="C100" s="19"/>
      <x:c r="D100" s="19" t="str">
        <x:v>同一稳定访问号/仓库记录，或经名称、任务、受试者和论文交叉核验为同一原始数据下载单元</x:v>
      </x:c>
    </x:row>
    <x:row r="101" ht="42" customHeight="1">
      <x:c r="A101" s="19" t="str">
        <x:v>PhysioP300 (PhysioNet ERP</x:v>
      </x:c>
      <x:c r="B101" s="19" t="str">
        <x:v>Citi2010</x:v>
      </x:c>
      <x:c r="C101" s="19" t="str">
        <x:v>PhysioNet:erpbci</x:v>
      </x:c>
      <x:c r="D101" s="19" t="str">
        <x:v>同一稳定访问号/仓库记录，或经名称、任务、受试者和论文交叉核验为同一原始数据下载单元</x:v>
      </x:c>
    </x:row>
    <x:row r="102" ht="42" customHeight="1">
      <x:c r="A102" s="19" t="str">
        <x:v>PhysioP300 (PhysioNet ERP</x:v>
      </x:c>
      <x:c r="B102" s="19" t="str">
        <x:v>Physio-ERP (P300</x:v>
      </x:c>
      <x:c r="C102" s="19" t="str">
        <x:v>PhysioNet:erpbci</x:v>
      </x:c>
      <x:c r="D102" s="19" t="str">
        <x:v>同一稳定访问号/仓库记录，或经名称、任务、受试者和论文交叉核验为同一原始数据下载单元</x:v>
      </x:c>
    </x:row>
    <x:row r="103" ht="42" customHeight="1">
      <x:c r="A103" s="19" t="str">
        <x:v>PhysioP300 (PhysioNet ERP</x:v>
      </x:c>
      <x:c r="B103" s="19" t="str">
        <x:v>PhysioNet P300 (P300 Speller</x:v>
      </x:c>
      <x:c r="C103" s="19" t="str">
        <x:v>PhysioNet:erpbci</x:v>
      </x:c>
      <x:c r="D103" s="19" t="str">
        <x:v>同一稳定访问号/仓库记录，或经名称、任务、受试者和论文交叉核验为同一原始数据下载单元</x:v>
      </x:c>
    </x:row>
    <x:row r="104" ht="42" customHeight="1">
      <x:c r="A104" s="19" t="str">
        <x:v>PhysioP300 (PhysioNet ERP</x:v>
      </x:c>
      <x:c r="B104" s="19" t="str">
        <x:v>PhysioP300 (PhysioNet ERP</x:v>
      </x:c>
      <x:c r="C104" s="19" t="str">
        <x:v>PhysioNet:erpbci</x:v>
      </x:c>
      <x:c r="D104" s="19" t="str">
        <x:v>同一稳定访问号/仓库记录，或经名称、任务、受试者和论文交叉核验为同一原始数据下载单元</x:v>
      </x:c>
    </x:row>
    <x:row r="105" ht="42" customHeight="1">
      <x:c r="A105" s="19" t="str">
        <x:v>RSVP &amp; P300 Speller</x:v>
      </x:c>
      <x:c r="B105" s="19" t="str">
        <x:v>RSVP &amp; P300 Speller</x:v>
      </x:c>
      <x:c r="C105" s="19" t="str">
        <x:v>Figshare:5769449 | DOI:10.6084/m9.figshare.c.5769449.v1</x:v>
      </x:c>
      <x:c r="D105" s="19" t="str">
        <x:v>同一稳定访问号/仓库记录，或经名称、任务、受试者和论文交叉核验为同一原始数据下载单元</x:v>
      </x:c>
    </x:row>
    <x:row r="106" ht="42" customHeight="1">
      <x:c r="A106" s="19" t="str">
        <x:v>RSVP &amp; P300 Speller</x:v>
      </x:c>
      <x:c r="B106" s="19" t="str">
        <x:v>Won (2022)</x:v>
      </x:c>
      <x:c r="C106" s="19" t="str">
        <x:v>Figshare:5769449 | DOI:10.6084/m9.figshare.c.5769449.v1</x:v>
      </x:c>
      <x:c r="D106" s="19" t="str">
        <x:v>同一稳定访问号/仓库记录，或经名称、任务、受试者和论文交叉核验为同一原始数据下载单元</x:v>
      </x:c>
    </x:row>
    <x:row r="107" ht="42" customHeight="1">
      <x:c r="A107" s="19" t="str">
        <x:v>RSVP &amp; P300 Speller</x:v>
      </x:c>
      <x:c r="B107" s="19" t="str">
        <x:v>Won2022</x:v>
      </x:c>
      <x:c r="C107" s="19" t="str">
        <x:v>Figshare:5769449 | DOI:10.6084/m9.figshare.c.5769449.v1</x:v>
      </x:c>
      <x:c r="D107" s="19" t="str">
        <x:v>同一稳定访问号/仓库记录，或经名称、任务、受试者和论文交叉核验为同一原始数据下载单元</x:v>
      </x:c>
    </x:row>
    <x:row r="108" ht="42" customHeight="1">
      <x:c r="A108" s="19" t="str">
        <x:v>SRM Resting-state EEG</x:v>
      </x:c>
      <x:c r="B108" s="19" t="str">
        <x:v>SRM (SRM resting-state EEG)</x:v>
      </x:c>
      <x:c r="C108" s="19" t="str">
        <x:v>OpenNeuro:ds003775</x:v>
      </x:c>
      <x:c r="D108" s="19" t="str">
        <x:v>同一稳定访问号/仓库记录，或经名称、任务、受试者和论文交叉核验为同一原始数据下载单元</x:v>
      </x:c>
    </x:row>
    <x:row r="109" ht="42" customHeight="1">
      <x:c r="A109" s="19" t="str">
        <x:v>SRM Resting-state EEG</x:v>
      </x:c>
      <x:c r="B109" s="19" t="str">
        <x:v>SRM Resting-state EEG</x:v>
      </x:c>
      <x:c r="C109" s="19" t="str">
        <x:v>OpenNeuro:ds003775</x:v>
      </x:c>
      <x:c r="D109" s="19" t="str">
        <x:v>同一稳定访问号/仓库记录，或经名称、任务、受试者和论文交叉核验为同一原始数据下载单元</x:v>
      </x:c>
    </x:row>
    <x:row r="110" ht="42" customHeight="1">
      <x:c r="A110" s="19" t="str">
        <x:v>Stroop High-Altitude (EEG-fNIRS)</x:v>
      </x:c>
      <x:c r="B110" s="19" t="str">
        <x:v>Ji High-altitude Stroop EEG-fNIRS Dataset</x:v>
      </x:c>
      <x:c r="C110" s="19" t="str">
        <x:v>Figshare:24803499 | DOI:10.6084/m9.figshare.c.6979581.v1</x:v>
      </x:c>
      <x:c r="D110" s="19" t="str">
        <x:v>同一稳定访问号/仓库记录，或经名称、任务、受试者和论文交叉核验为同一原始数据下载单元</x:v>
      </x:c>
    </x:row>
    <x:row r="111" ht="42" customHeight="1">
      <x:c r="A111" s="19" t="str">
        <x:v>Stroop High-Altitude (EEG-fNIRS)</x:v>
      </x:c>
      <x:c r="B111" s="19" t="str">
        <x:v>Stroop High-Altitude (EEG-fNIRS)</x:v>
      </x:c>
      <x:c r="C111" s="19" t="str">
        <x:v>Figshare:24803499 | DOI:10.6084/m9.figshare.c.6979581.v1</x:v>
      </x:c>
      <x:c r="D111" s="19" t="str">
        <x:v>同一稳定访问号/仓库记录，或经名称、任务、受试者和论文交叉核验为同一原始数据下载单元</x:v>
      </x:c>
    </x:row>
    <x:row r="112" ht="42" customHeight="1">
      <x:c r="A112" s="19" t="str">
        <x:v>Test-Retest / RestCog</x:v>
      </x:c>
      <x:c r="B112" s="19" t="str">
        <x:v>RestCog</x:v>
      </x:c>
      <x:c r="C112" s="19" t="str">
        <x:v>OpenNeuro:ds004148</x:v>
      </x:c>
      <x:c r="D112" s="19" t="str">
        <x:v>同一稳定访问号/仓库记录，或经名称、任务、受试者和论文交叉核验为同一原始数据下载单元</x:v>
      </x:c>
    </x:row>
    <x:row r="113" ht="42" customHeight="1">
      <x:c r="A113" s="19" t="str">
        <x:v>Test-Retest / RestCog</x:v>
      </x:c>
      <x:c r="B113" s="19" t="str">
        <x:v>RestCog</x:v>
      </x:c>
      <x:c r="C113" s="19" t="str">
        <x:v>OpenNeuro:ds004148</x:v>
      </x:c>
      <x:c r="D113" s="19" t="str">
        <x:v>同一稳定访问号/仓库记录，或经名称、任务、受试者和论文交叉核验为同一原始数据下载单元</x:v>
      </x:c>
    </x:row>
    <x:row r="114" ht="42" customHeight="1">
      <x:c r="A114" s="19" t="str">
        <x:v>Test-Retest / RestCog</x:v>
      </x:c>
      <x:c r="B114" s="19" t="str">
        <x:v>RestCog (test-retest resting and cognitive state EEG)</x:v>
      </x:c>
      <x:c r="C114" s="19" t="str">
        <x:v>OpenNeuro:ds004148</x:v>
      </x:c>
      <x:c r="D114" s="19" t="str">
        <x:v>同一稳定访问号/仓库记录，或经名称、任务、受试者和论文交叉核验为同一原始数据下载单元</x:v>
      </x:c>
    </x:row>
    <x:row r="115" ht="42" customHeight="1">
      <x:c r="A115" s="19" t="str">
        <x:v>Test-Retest / RestCog</x:v>
      </x:c>
      <x:c r="B115" s="19" t="str">
        <x:v>Test-Retest / RestCog</x:v>
      </x:c>
      <x:c r="C115" s="19" t="str">
        <x:v>OpenNeuro:ds004148</x:v>
      </x:c>
      <x:c r="D115" s="19" t="str">
        <x:v>同一稳定访问号/仓库记录，或经名称、任务、受试者和论文交叉核验为同一原始数据下载单元</x:v>
      </x:c>
    </x:row>
    <x:row r="116" ht="42" customHeight="1">
      <x:c r="A116" s="19" t="str">
        <x:v>UCI</x:v>
      </x:c>
      <x:c r="B116" s="19" t="str">
        <x:v>UCI</x:v>
      </x:c>
      <x:c r="C116" s="19"/>
      <x:c r="D116" s="19" t="str">
        <x:v>同一稳定访问号/仓库记录，或经名称、任务、受试者和论文交叉核验为同一原始数据下载单元</x:v>
      </x:c>
    </x:row>
    <x:row r="117" ht="42" customHeight="1">
      <x:c r="A117" s="19" t="str">
        <x:v>UCI</x:v>
      </x:c>
      <x:c r="B117" s="19" t="str">
        <x:v>UCI EEG Database (Alcoholism)</x:v>
      </x:c>
      <x:c r="C117" s="19"/>
      <x:c r="D117" s="19" t="str">
        <x:v>同一稳定访问号/仓库记录，或经名称、任务、受试者和论文交叉核验为同一原始数据下载单元</x:v>
      </x:c>
    </x:row>
    <x:row r="118" ht="42" customHeight="1">
      <x:c r="A118" s="19" t="str">
        <x:v>UCI EEG Eye State</x:v>
      </x:c>
      <x:c r="B118" s="19" t="str">
        <x:v>EEG Eye State Dataset</x:v>
      </x:c>
      <x:c r="C118" s="19"/>
      <x:c r="D118" s="19" t="str">
        <x:v>同一稳定访问号/仓库记录，或经名称、任务、受试者和论文交叉核验为同一原始数据下载单元</x:v>
      </x:c>
    </x:row>
    <x:row r="119" ht="42" customHeight="1">
      <x:c r="A119" s="19" t="str">
        <x:v>UCI EEG Eye State</x:v>
      </x:c>
      <x:c r="B119" s="19" t="str">
        <x:v>UCI EEG Eye State</x:v>
      </x:c>
      <x:c r="C119" s="19"/>
      <x:c r="D119" s="19" t="str">
        <x:v>同一稳定访问号/仓库记录，或经名称、任务、受试者和论文交叉核验为同一原始数据下载单元</x:v>
      </x:c>
    </x:row>
    <x:row r="120" ht="42" customHeight="1">
      <x:c r="A120" s="19" t="str">
        <x:v>Veloso2017</x:v>
      </x:c>
      <x:c r="B120" s="19" t="str">
        <x:v>Veloso (2017)</x:v>
      </x:c>
      <x:c r="C120" s="19"/>
      <x:c r="D120" s="19" t="str">
        <x:v>同一稳定访问号/仓库记录，或经名称、任务、受试者和论文交叉核验为同一原始数据下载单元</x:v>
      </x:c>
    </x:row>
    <x:row r="121" ht="42" customHeight="1">
      <x:c r="A121" s="19" t="str">
        <x:v>Veloso2017</x:v>
      </x:c>
      <x:c r="B121" s="19" t="str">
        <x:v>Veloso2017</x:v>
      </x:c>
      <x:c r="C121" s="19"/>
      <x:c r="D121" s="19" t="str">
        <x:v>同一稳定访问号/仓库记录，或经名称、任务、受试者和论文交叉核验为同一原始数据下载单元</x:v>
      </x:c>
    </x:row>
    <x:row r="122" ht="42" customHeight="1">
      <x:c r="A122" s="19" t="str">
        <x:v>Zhou 2016 Motor Imagery Dataset</x:v>
      </x:c>
      <x:c r="B122" s="19" t="str">
        <x:v>Zhou 2016 Motor Imagery Dataset</x:v>
      </x:c>
      <x:c r="C122" s="19" t="str">
        <x:v>Figshare:1490216</x:v>
      </x:c>
      <x:c r="D122" s="19" t="str">
        <x:v>同一稳定访问号/仓库记录，或经名称、任务、受试者和论文交叉核验为同一原始数据下载单元</x:v>
      </x:c>
    </x:row>
    <x:row r="123" ht="42" customHeight="1">
      <x:c r="A123" s="19" t="str">
        <x:v>Zhou 2016 Motor Imagery Dataset</x:v>
      </x:c>
      <x:c r="B123" s="19" t="str">
        <x:v>Zhou2016</x:v>
      </x:c>
      <x:c r="C123" s="19" t="str">
        <x:v>Figshare:1490216</x:v>
      </x:c>
      <x:c r="D123" s="19" t="str">
        <x:v>同一稳定访问号/仓库记录，或经名称、任务、受试者和论文交叉核验为同一原始数据下载单元</x:v>
      </x:c>
    </x:row>
    <x:row r="124" ht="42" customHeight="1">
      <x:c r="A124" s="19" t="str">
        <x:v>eldBETA</x:v>
      </x:c>
      <x:c r="B124" s="19" t="str">
        <x:v>Liu2022EldBETA (elderly BETA)</x:v>
      </x:c>
      <x:c r="C124" s="19" t="str">
        <x:v>Figshare:18032669 | DOI:10.6084/m9.figshare.18032669</x:v>
      </x:c>
      <x:c r="D124" s="19" t="str">
        <x:v>同一稳定访问号/仓库记录，或经名称、任务、受试者和论文交叉核验为同一原始数据下载单元</x:v>
      </x:c>
    </x:row>
    <x:row r="125" ht="42" customHeight="1">
      <x:c r="A125" s="19" t="str">
        <x:v>eldBETA</x:v>
      </x:c>
      <x:c r="B125" s="19" t="str">
        <x:v>eldBETA</x:v>
      </x:c>
      <x:c r="C125" s="19" t="str">
        <x:v>Figshare:18032669 | DOI:10.6084/m9.figshare.18032669</x:v>
      </x:c>
      <x:c r="D125" s="19" t="str">
        <x:v>同一稳定访问号/仓库记录，或经名称、任务、受试者和论文交叉核验为同一原始数据下载单元</x:v>
      </x:c>
    </x:row>
    <x:row r="126" ht="42" customHeight="1">
      <x:c r="A126" s="19" t="str">
        <x:v>eldBETA</x:v>
      </x:c>
      <x:c r="B126" s="19" t="str">
        <x:v>eldBETA Database</x:v>
      </x:c>
      <x:c r="C126" s="19" t="str">
        <x:v>Figshare:18032669 | DOI:10.6084/m9.figshare.18032669</x:v>
      </x:c>
      <x:c r="D126" s="19" t="str">
        <x:v>同一稳定访问号/仓库记录，或经名称、任务、受试者和论文交叉核验为同一原始数据下载单元</x:v>
      </x:c>
    </x:row>
  </x:sheetData>
  <x:pageMargins left="0.7" right="0.7" top="0.75" bottom="0.75" header="0.3" footer="0.3"/>
  <x:tableParts count="1">
    <x:tablePart xmlns:r="http://schemas.openxmlformats.org/officeDocument/2006/relationships" r:id="Rbe825e6384194f7f"/>
  </x:tableParts>
</x:worksheet>
</file>

<file path=xl/worksheets/sheet10.xml><?xml version="1.0" encoding="utf-8"?>
<x:worksheet xmlns:x="http://schemas.openxmlformats.org/spreadsheetml/2006/main">
  <x:sheetFormatPr defaultRowHeight="15"/>
  <x:cols>
    <x:col min="1" max="1" width="24" hidden="0" customWidth="1"/>
    <x:col min="2" max="2" width="55" hidden="0" customWidth="1"/>
    <x:col min="3" max="3" width="50" hidden="0" customWidth="1"/>
    <x:col min="4" max="4" width="60" hidden="0" customWidth="1"/>
  </x:cols>
  <x:sheetData>
    <x:row r="1" ht="32" customHeight="1">
      <x:c r="A1" s="149" t="str">
        <x:v>类别/问题</x:v>
      </x:c>
      <x:c r="B1" s="150" t="str">
        <x:v>纳入逻辑</x:v>
      </x:c>
      <x:c r="C1" s="150" t="str">
        <x:v>例子</x:v>
      </x:c>
      <x:c r="D1" s="151" t="str">
        <x:v>边界与例外</x:v>
      </x:c>
    </x:row>
    <x:row r="2">
      <x:c r="A2" s="152" t="str">
        <x:v>疾病/临床</x:v>
      </x:c>
      <x:c r="B2" s="153" t="str">
        <x:v>存在临床诊断、患者招募、医院监测、疾病预后/治疗或病例-对照设计。</x:v>
      </x:c>
      <x:c r="C2" s="153" t="str">
        <x:v>抑郁/MDD、精神分裂症、帕金森、癫痫、TBI、临床睡眠障碍</x:v>
      </x:c>
      <x:c r="D2" s="154" t="str">
        <x:v>健康对照仍随主研究目标归疾病/临床。</x:v>
      </x:c>
    </x:row>
    <x:row r="3">
      <x:c r="A3" s="45" t="str">
        <x:v>健康/人群</x:v>
      </x:c>
      <x:c r="B3" s="81" t="str">
        <x:v>健康参考、生命周期、流行病学、孕产妇、衰老或风险表型；没有把量表高分直接等同诊断。</x:v>
      </x:c>
      <x:c r="C3" s="81" t="str">
        <x:v>CHBMP、HCHS/SOL、nuMoM2b、Gruendler2009</x:v>
      </x:c>
      <x:c r="D3" s="46" t="str">
        <x:v>风险/症状分层与确诊疾病分开。</x:v>
      </x:c>
    </x:row>
    <x:row r="4">
      <x:c r="A4" s="51" t="str">
        <x:v>睡眠健康/PSG</x:v>
      </x:c>
      <x:c r="B4" s="155" t="str">
        <x:v>主用途是睡眠分期或 PSG 队列，临床属性用第二轴表示。</x:v>
      </x:c>
      <x:c r="C4" s="155" t="str">
        <x:v>SHHS、MrOS、HomePAP、CAP Sleep</x:v>
      </x:c>
      <x:c r="D4" s="156" t="str">
        <x:v>避免仅因含 apnea/患者就破坏任务型目录。</x:v>
      </x:c>
    </x:row>
    <x:row r="5">
      <x:c r="A5" s="45" t="str">
        <x:v>一般认知/BCI</x:v>
      </x:c>
      <x:c r="B5" s="81" t="str">
        <x:v>健康受试者的 ERP、情绪、语义、视觉、BCI 或工业交互。</x:v>
      </x:c>
      <x:c r="C5" s="81" t="str">
        <x:v>BNCI2015_013、PhysioP300、REFED、MultiPhysio-HRC</x:v>
      </x:c>
      <x:c r="D5" s="46" t="str">
        <x:v>不因 EEG 被用于医疗研究就自动归疾病。</x:v>
      </x:c>
    </x:row>
    <x:row r="6">
      <x:c r="A6" s="51" t="str">
        <x:v>非 raw EEG / 排除</x:v>
      </x:c>
      <x:c r="B6" s="155" t="str">
        <x:v>当前下载内容没有 EEG signal，或只有处理后特征。</x:v>
      </x:c>
      <x:c r="C6" s="155" t="str">
        <x:v>EEG-0050、EEG-0101；BEED processed-only</x:v>
      </x:c>
      <x:c r="D6" s="156" t="str">
        <x:v>从 raw EEG subjects/hours 主指标排除并单列。</x:v>
      </x:c>
    </x:row>
    <x:row r="7">
      <x:c r="A7" s="159" t="str">
        <x:v>明确回答：抑郁</x:v>
      </x:c>
      <x:c r="B7" s="160" t="str">
        <x:v>临床 MDD、抑郁诊断或病例-对照属于疾病/临床。</x:v>
      </x:c>
      <x:c r="C7" s="160" t="str">
        <x:v>MDD (Mumtaz)、MODMA、临床 depression datasets</x:v>
      </x:c>
      <x:c r="D7" s="66" t="str">
        <x:v>普通情绪任务或 BDI/OCI 风险分层不能自动等同诊断。</x:v>
      </x:c>
    </x:row>
    <x:row r="8">
      <x:c r="A8" s="161" t="str">
        <x:v>目录处理</x:v>
      </x:c>
      <x:c r="B8" s="162" t="str">
        <x:v>主表保留研究任务轴；Healthcare 重点清单使用临床队列轴。</x:v>
      </x:c>
      <x:c r="C8" s="162" t="str">
        <x:v>睡眠分期仍可在 03_Consciousness_and_State</x:v>
      </x:c>
      <x:c r="D8" s="163" t="str">
        <x:v>避免一个字段同时承担任务与诊断两种互相冲突的分类。</x:v>
      </x:c>
    </x:row>
  </x:sheetData>
  <x:pageMargins left="0.7" right="0.7" top="0.75" bottom="0.75" header="0.3" footer="0.3"/>
  <x:tableParts count="1">
    <x:tablePart xmlns:r="http://schemas.openxmlformats.org/officeDocument/2006/relationships" r:id="Refddd45b7e624f97"/>
  </x:tableParts>
</x:worksheet>
</file>

<file path=xl/worksheets/sheet11.xml><?xml version="1.0" encoding="utf-8"?>
<x:worksheet xmlns:x="http://schemas.openxmlformats.org/spreadsheetml/2006/main">
  <x:sheetFormatPr defaultRowHeight="15"/>
  <x:cols>
    <x:col min="1" max="1" width="13" hidden="0" customWidth="1"/>
    <x:col min="2" max="2" width="28" hidden="0" customWidth="1"/>
    <x:col min="3" max="3" width="42" hidden="0" customWidth="1"/>
    <x:col min="4" max="4" width="62" hidden="0" customWidth="1"/>
    <x:col min="5" max="5" width="42" hidden="0" customWidth="1"/>
  </x:cols>
  <x:sheetData>
    <x:row r="1" ht="32" customHeight="1">
      <x:c r="A1" s="149" t="str">
        <x:v>ID</x:v>
      </x:c>
      <x:c r="B1" s="150" t="str">
        <x:v>字段</x:v>
      </x:c>
      <x:c r="C1" s="150" t="str">
        <x:v>修订后值</x:v>
      </x:c>
      <x:c r="D1" s="150" t="str">
        <x:v>原因</x:v>
      </x:c>
      <x:c r="E1" s="151" t="str">
        <x:v>证据</x:v>
      </x:c>
    </x:row>
    <x:row r="2">
      <x:c r="A2" s="152" t="str">
        <x:v>EEG-0005</x:v>
      </x:c>
      <x:c r="B2" s="153" t="str">
        <x:v>大类目录</x:v>
      </x:c>
      <x:c r="C2" s="153" t="str">
        <x:v>02_Healthcare_and_Disease</x:v>
      </x:c>
      <x:c r="D2" s="153" t="str">
        <x:v>目录命名修订：把临床疾病与医疗队列从生物识别概念中拆开。</x:v>
      </x:c>
      <x:c r="E2" s="154" t="str">
        <x:v>本轮分类规则</x:v>
      </x:c>
    </x:row>
    <x:row r="3">
      <x:c r="A3" s="45" t="str">
        <x:v>EEG-0006</x:v>
      </x:c>
      <x:c r="B3" s="81" t="str">
        <x:v>大类目录</x:v>
      </x:c>
      <x:c r="C3" s="81" t="str">
        <x:v>02_Healthcare_and_Disease</x:v>
      </x:c>
      <x:c r="D3" s="81" t="str">
        <x:v>目录命名修订：把临床疾病与医疗队列从生物识别概念中拆开。</x:v>
      </x:c>
      <x:c r="E3" s="46" t="str">
        <x:v>本轮分类规则</x:v>
      </x:c>
    </x:row>
    <x:row r="4">
      <x:c r="A4" s="51" t="str">
        <x:v>EEG-0007</x:v>
      </x:c>
      <x:c r="B4" s="155" t="str">
        <x:v>大类目录</x:v>
      </x:c>
      <x:c r="C4" s="155" t="str">
        <x:v>02_Healthcare_and_Disease</x:v>
      </x:c>
      <x:c r="D4" s="155" t="str">
        <x:v>目录命名修订：把临床疾病与医疗队列从生物识别概念中拆开。</x:v>
      </x:c>
      <x:c r="E4" s="156" t="str">
        <x:v>本轮分类规则</x:v>
      </x:c>
    </x:row>
    <x:row r="5">
      <x:c r="A5" s="45" t="str">
        <x:v>EEG-0008</x:v>
      </x:c>
      <x:c r="B5" s="81" t="str">
        <x:v>大类目录</x:v>
      </x:c>
      <x:c r="C5" s="81" t="str">
        <x:v>02_Healthcare_and_Disease</x:v>
      </x:c>
      <x:c r="D5" s="81" t="str">
        <x:v>目录命名修订：把临床疾病与医疗队列从生物识别概念中拆开。</x:v>
      </x:c>
      <x:c r="E5" s="46" t="str">
        <x:v>本轮分类规则</x:v>
      </x:c>
    </x:row>
    <x:row r="6">
      <x:c r="A6" s="51" t="str">
        <x:v>EEG-0009</x:v>
      </x:c>
      <x:c r="B6" s="155" t="str">
        <x:v>大类目录</x:v>
      </x:c>
      <x:c r="C6" s="155" t="str">
        <x:v>02_Healthcare_and_Disease</x:v>
      </x:c>
      <x:c r="D6" s="155" t="str">
        <x:v>目录命名修订：把临床疾病与医疗队列从生物识别概念中拆开。</x:v>
      </x:c>
      <x:c r="E6" s="156" t="str">
        <x:v>本轮分类规则</x:v>
      </x:c>
    </x:row>
    <x:row r="7">
      <x:c r="A7" s="45" t="str">
        <x:v>EEG-0010</x:v>
      </x:c>
      <x:c r="B7" s="81" t="str">
        <x:v>大类目录</x:v>
      </x:c>
      <x:c r="C7" s="81" t="str">
        <x:v>02_Healthcare_and_Disease</x:v>
      </x:c>
      <x:c r="D7" s="81" t="str">
        <x:v>目录命名修订：把临床疾病与医疗队列从生物识别概念中拆开。</x:v>
      </x:c>
      <x:c r="E7" s="46" t="str">
        <x:v>本轮分类规则</x:v>
      </x:c>
    </x:row>
    <x:row r="8">
      <x:c r="A8" s="51" t="str">
        <x:v>EEG-0011</x:v>
      </x:c>
      <x:c r="B8" s="155" t="str">
        <x:v>大类目录</x:v>
      </x:c>
      <x:c r="C8" s="155" t="str">
        <x:v>02_Healthcare_and_Disease</x:v>
      </x:c>
      <x:c r="D8" s="155" t="str">
        <x:v>目录命名修订：把临床疾病与医疗队列从生物识别概念中拆开。</x:v>
      </x:c>
      <x:c r="E8" s="156" t="str">
        <x:v>本轮分类规则</x:v>
      </x:c>
    </x:row>
    <x:row r="9">
      <x:c r="A9" s="45" t="str">
        <x:v>EEG-0012</x:v>
      </x:c>
      <x:c r="B9" s="81" t="str">
        <x:v>大类目录</x:v>
      </x:c>
      <x:c r="C9" s="81" t="str">
        <x:v>02_Healthcare_and_Disease</x:v>
      </x:c>
      <x:c r="D9" s="81" t="str">
        <x:v>目录命名修订：把临床疾病与医疗队列从生物识别概念中拆开。</x:v>
      </x:c>
      <x:c r="E9" s="46" t="str">
        <x:v>本轮分类规则</x:v>
      </x:c>
    </x:row>
    <x:row r="10">
      <x:c r="A10" s="51" t="str">
        <x:v>EEG-0013</x:v>
      </x:c>
      <x:c r="B10" s="155" t="str">
        <x:v>大类目录</x:v>
      </x:c>
      <x:c r="C10" s="155" t="str">
        <x:v>02_Healthcare_and_Disease</x:v>
      </x:c>
      <x:c r="D10" s="155" t="str">
        <x:v>目录命名修订：把临床疾病与医疗队列从生物识别概念中拆开。</x:v>
      </x:c>
      <x:c r="E10" s="156" t="str">
        <x:v>本轮分类规则</x:v>
      </x:c>
    </x:row>
    <x:row r="11">
      <x:c r="A11" s="45" t="str">
        <x:v>EEG-0014</x:v>
      </x:c>
      <x:c r="B11" s="81" t="str">
        <x:v>大类目录</x:v>
      </x:c>
      <x:c r="C11" s="81" t="str">
        <x:v>02_Healthcare_and_Disease</x:v>
      </x:c>
      <x:c r="D11" s="81" t="str">
        <x:v>目录命名修订：把临床疾病与医疗队列从生物识别概念中拆开。</x:v>
      </x:c>
      <x:c r="E11" s="46" t="str">
        <x:v>本轮分类规则</x:v>
      </x:c>
    </x:row>
    <x:row r="12">
      <x:c r="A12" s="51" t="str">
        <x:v>EEG-0015</x:v>
      </x:c>
      <x:c r="B12" s="155" t="str">
        <x:v>大类目录</x:v>
      </x:c>
      <x:c r="C12" s="155" t="str">
        <x:v>02_Healthcare_and_Disease</x:v>
      </x:c>
      <x:c r="D12" s="155" t="str">
        <x:v>目录命名修订：把临床疾病与医疗队列从生物识别概念中拆开。</x:v>
      </x:c>
      <x:c r="E12" s="156" t="str">
        <x:v>本轮分类规则</x:v>
      </x:c>
    </x:row>
    <x:row r="13">
      <x:c r="A13" s="45" t="str">
        <x:v>EEG-0016</x:v>
      </x:c>
      <x:c r="B13" s="81" t="str">
        <x:v>大类目录</x:v>
      </x:c>
      <x:c r="C13" s="81" t="str">
        <x:v>02_Healthcare_and_Disease</x:v>
      </x:c>
      <x:c r="D13" s="81" t="str">
        <x:v>目录命名修订：把临床疾病与医疗队列从生物识别概念中拆开。</x:v>
      </x:c>
      <x:c r="E13" s="46" t="str">
        <x:v>本轮分类规则</x:v>
      </x:c>
    </x:row>
    <x:row r="14">
      <x:c r="A14" s="51" t="str">
        <x:v>EEG-0017</x:v>
      </x:c>
      <x:c r="B14" s="155" t="str">
        <x:v>大类目录</x:v>
      </x:c>
      <x:c r="C14" s="155" t="str">
        <x:v>02_Healthcare_and_Disease</x:v>
      </x:c>
      <x:c r="D14" s="155" t="str">
        <x:v>目录命名修订：把临床疾病与医疗队列从生物识别概念中拆开。</x:v>
      </x:c>
      <x:c r="E14" s="156" t="str">
        <x:v>本轮分类规则</x:v>
      </x:c>
    </x:row>
    <x:row r="15">
      <x:c r="A15" s="45" t="str">
        <x:v>EEG-0018</x:v>
      </x:c>
      <x:c r="B15" s="81" t="str">
        <x:v>大类目录</x:v>
      </x:c>
      <x:c r="C15" s="81" t="str">
        <x:v>02_Healthcare_and_Disease</x:v>
      </x:c>
      <x:c r="D15" s="81" t="str">
        <x:v>目录命名修订：把临床疾病与医疗队列从生物识别概念中拆开。</x:v>
      </x:c>
      <x:c r="E15" s="46" t="str">
        <x:v>本轮分类规则</x:v>
      </x:c>
    </x:row>
    <x:row r="16">
      <x:c r="A16" s="51" t="str">
        <x:v>EEG-0020</x:v>
      </x:c>
      <x:c r="B16" s="155" t="str">
        <x:v>大类目录</x:v>
      </x:c>
      <x:c r="C16" s="155" t="str">
        <x:v>02_Healthcare_and_Disease</x:v>
      </x:c>
      <x:c r="D16" s="155" t="str">
        <x:v>目录命名修订：把临床疾病与医疗队列从生物识别概念中拆开。</x:v>
      </x:c>
      <x:c r="E16" s="156" t="str">
        <x:v>本轮分类规则</x:v>
      </x:c>
    </x:row>
    <x:row r="17">
      <x:c r="A17" s="45" t="str">
        <x:v>EEG-0021</x:v>
      </x:c>
      <x:c r="B17" s="81" t="str">
        <x:v>大类目录</x:v>
      </x:c>
      <x:c r="C17" s="81" t="str">
        <x:v>02_Healthcare_and_Disease</x:v>
      </x:c>
      <x:c r="D17" s="81" t="str">
        <x:v>目录命名修订：把临床疾病与医疗队列从生物识别概念中拆开。</x:v>
      </x:c>
      <x:c r="E17" s="46" t="str">
        <x:v>本轮分类规则</x:v>
      </x:c>
    </x:row>
    <x:row r="18">
      <x:c r="A18" s="51" t="str">
        <x:v>EEG-0022</x:v>
      </x:c>
      <x:c r="B18" s="155" t="str">
        <x:v>大类目录</x:v>
      </x:c>
      <x:c r="C18" s="155" t="str">
        <x:v>02_Healthcare_and_Disease</x:v>
      </x:c>
      <x:c r="D18" s="155" t="str">
        <x:v>目录命名修订：把临床疾病与医疗队列从生物识别概念中拆开。</x:v>
      </x:c>
      <x:c r="E18" s="156" t="str">
        <x:v>本轮分类规则</x:v>
      </x:c>
    </x:row>
    <x:row r="19">
      <x:c r="A19" s="45" t="str">
        <x:v>EEG-0023</x:v>
      </x:c>
      <x:c r="B19" s="81" t="str">
        <x:v>大类目录</x:v>
      </x:c>
      <x:c r="C19" s="81" t="str">
        <x:v>02_Healthcare_and_Disease</x:v>
      </x:c>
      <x:c r="D19" s="81" t="str">
        <x:v>目录命名修订：把临床疾病与医疗队列从生物识别概念中拆开。</x:v>
      </x:c>
      <x:c r="E19" s="46" t="str">
        <x:v>本轮分类规则</x:v>
      </x:c>
    </x:row>
    <x:row r="20">
      <x:c r="A20" s="51" t="str">
        <x:v>EEG-0024</x:v>
      </x:c>
      <x:c r="B20" s="155" t="str">
        <x:v>大类目录</x:v>
      </x:c>
      <x:c r="C20" s="155" t="str">
        <x:v>02_Healthcare_and_Disease</x:v>
      </x:c>
      <x:c r="D20" s="155" t="str">
        <x:v>目录命名修订：把临床疾病与医疗队列从生物识别概念中拆开。</x:v>
      </x:c>
      <x:c r="E20" s="156" t="str">
        <x:v>本轮分类规则</x:v>
      </x:c>
    </x:row>
    <x:row r="21">
      <x:c r="A21" s="45" t="str">
        <x:v>EEG-0025</x:v>
      </x:c>
      <x:c r="B21" s="81" t="str">
        <x:v>大类目录</x:v>
      </x:c>
      <x:c r="C21" s="81" t="str">
        <x:v>02_Healthcare_and_Disease</x:v>
      </x:c>
      <x:c r="D21" s="81" t="str">
        <x:v>目录命名修订：把临床疾病与医疗队列从生物识别概念中拆开。</x:v>
      </x:c>
      <x:c r="E21" s="46" t="str">
        <x:v>本轮分类规则</x:v>
      </x:c>
    </x:row>
    <x:row r="22">
      <x:c r="A22" s="51" t="str">
        <x:v>EEG-0026</x:v>
      </x:c>
      <x:c r="B22" s="155" t="str">
        <x:v>大类目录</x:v>
      </x:c>
      <x:c r="C22" s="155" t="str">
        <x:v>02_Healthcare_and_Disease</x:v>
      </x:c>
      <x:c r="D22" s="155" t="str">
        <x:v>目录命名修订：把临床疾病与医疗队列从生物识别概念中拆开。</x:v>
      </x:c>
      <x:c r="E22" s="156" t="str">
        <x:v>本轮分类规则</x:v>
      </x:c>
    </x:row>
    <x:row r="23">
      <x:c r="A23" s="45" t="str">
        <x:v>EEG-0027</x:v>
      </x:c>
      <x:c r="B23" s="81" t="str">
        <x:v>大类目录</x:v>
      </x:c>
      <x:c r="C23" s="81" t="str">
        <x:v>02_Healthcare_and_Disease</x:v>
      </x:c>
      <x:c r="D23" s="81" t="str">
        <x:v>目录命名修订：把临床疾病与医疗队列从生物识别概念中拆开。</x:v>
      </x:c>
      <x:c r="E23" s="46" t="str">
        <x:v>本轮分类规则</x:v>
      </x:c>
    </x:row>
    <x:row r="24">
      <x:c r="A24" s="51" t="str">
        <x:v>EEG-0028</x:v>
      </x:c>
      <x:c r="B24" s="155" t="str">
        <x:v>大类目录</x:v>
      </x:c>
      <x:c r="C24" s="155" t="str">
        <x:v>02_Healthcare_and_Disease</x:v>
      </x:c>
      <x:c r="D24" s="155" t="str">
        <x:v>目录命名修订：把临床疾病与医疗队列从生物识别概念中拆开。</x:v>
      </x:c>
      <x:c r="E24" s="156" t="str">
        <x:v>本轮分类规则</x:v>
      </x:c>
    </x:row>
    <x:row r="25">
      <x:c r="A25" s="45" t="str">
        <x:v>EEG-0030</x:v>
      </x:c>
      <x:c r="B25" s="81" t="str">
        <x:v>大类目录</x:v>
      </x:c>
      <x:c r="C25" s="81" t="str">
        <x:v>02_Healthcare_and_Disease</x:v>
      </x:c>
      <x:c r="D25" s="81" t="str">
        <x:v>目录命名修订：把临床疾病与医疗队列从生物识别概念中拆开。</x:v>
      </x:c>
      <x:c r="E25" s="46" t="str">
        <x:v>本轮分类规则</x:v>
      </x:c>
    </x:row>
    <x:row r="26">
      <x:c r="A26" s="51" t="str">
        <x:v>EEG-0031</x:v>
      </x:c>
      <x:c r="B26" s="155" t="str">
        <x:v>大类目录</x:v>
      </x:c>
      <x:c r="C26" s="155" t="str">
        <x:v>02_Healthcare_and_Disease</x:v>
      </x:c>
      <x:c r="D26" s="155" t="str">
        <x:v>目录命名修订：把临床疾病与医疗队列从生物识别概念中拆开。</x:v>
      </x:c>
      <x:c r="E26" s="156" t="str">
        <x:v>本轮分类规则</x:v>
      </x:c>
    </x:row>
    <x:row r="27">
      <x:c r="A27" s="45" t="str">
        <x:v>EEG-0032</x:v>
      </x:c>
      <x:c r="B27" s="81" t="str">
        <x:v>大类目录</x:v>
      </x:c>
      <x:c r="C27" s="81" t="str">
        <x:v>02_Healthcare_and_Disease</x:v>
      </x:c>
      <x:c r="D27" s="81" t="str">
        <x:v>目录命名修订：把临床疾病与医疗队列从生物识别概念中拆开。</x:v>
      </x:c>
      <x:c r="E27" s="46" t="str">
        <x:v>本轮分类规则</x:v>
      </x:c>
    </x:row>
    <x:row r="28">
      <x:c r="A28" s="51" t="str">
        <x:v>EEG-0033</x:v>
      </x:c>
      <x:c r="B28" s="155" t="str">
        <x:v>大类目录</x:v>
      </x:c>
      <x:c r="C28" s="155" t="str">
        <x:v>02_Healthcare_and_Disease</x:v>
      </x:c>
      <x:c r="D28" s="155" t="str">
        <x:v>目录命名修订：把临床疾病与医疗队列从生物识别概念中拆开。</x:v>
      </x:c>
      <x:c r="E28" s="156" t="str">
        <x:v>本轮分类规则</x:v>
      </x:c>
    </x:row>
    <x:row r="29">
      <x:c r="A29" s="45" t="str">
        <x:v>EEG-0034</x:v>
      </x:c>
      <x:c r="B29" s="81" t="str">
        <x:v>大类目录</x:v>
      </x:c>
      <x:c r="C29" s="81" t="str">
        <x:v>02_Healthcare_and_Disease</x:v>
      </x:c>
      <x:c r="D29" s="81" t="str">
        <x:v>目录命名修订：把临床疾病与医疗队列从生物识别概念中拆开。</x:v>
      </x:c>
      <x:c r="E29" s="46" t="str">
        <x:v>本轮分类规则</x:v>
      </x:c>
    </x:row>
    <x:row r="30">
      <x:c r="A30" s="51" t="str">
        <x:v>EEG-0035</x:v>
      </x:c>
      <x:c r="B30" s="155" t="str">
        <x:v>大类目录</x:v>
      </x:c>
      <x:c r="C30" s="155" t="str">
        <x:v>02_Healthcare_and_Disease</x:v>
      </x:c>
      <x:c r="D30" s="155" t="str">
        <x:v>目录命名修订：把临床疾病与医疗队列从生物识别概念中拆开。</x:v>
      </x:c>
      <x:c r="E30" s="156" t="str">
        <x:v>本轮分类规则</x:v>
      </x:c>
    </x:row>
    <x:row r="31">
      <x:c r="A31" s="45" t="str">
        <x:v>EEG-0036</x:v>
      </x:c>
      <x:c r="B31" s="81" t="str">
        <x:v>大类目录</x:v>
      </x:c>
      <x:c r="C31" s="81" t="str">
        <x:v>02_Healthcare_and_Disease</x:v>
      </x:c>
      <x:c r="D31" s="81" t="str">
        <x:v>目录命名修订：把临床疾病与医疗队列从生物识别概念中拆开。</x:v>
      </x:c>
      <x:c r="E31" s="46" t="str">
        <x:v>本轮分类规则</x:v>
      </x:c>
    </x:row>
    <x:row r="32">
      <x:c r="A32" s="51" t="str">
        <x:v>EEG-0039</x:v>
      </x:c>
      <x:c r="B32" s="155" t="str">
        <x:v>大类目录</x:v>
      </x:c>
      <x:c r="C32" s="155" t="str">
        <x:v>02_Healthcare_and_Disease</x:v>
      </x:c>
      <x:c r="D32" s="155" t="str">
        <x:v>目录命名修订：把临床疾病与医疗队列从生物识别概念中拆开。</x:v>
      </x:c>
      <x:c r="E32" s="156" t="str">
        <x:v>本轮分类规则</x:v>
      </x:c>
    </x:row>
    <x:row r="33">
      <x:c r="A33" s="45" t="str">
        <x:v>EEG-0040</x:v>
      </x:c>
      <x:c r="B33" s="81" t="str">
        <x:v>大类目录</x:v>
      </x:c>
      <x:c r="C33" s="81" t="str">
        <x:v>02_Healthcare_and_Disease</x:v>
      </x:c>
      <x:c r="D33" s="81" t="str">
        <x:v>目录命名修订：把临床疾病与医疗队列从生物识别概念中拆开。</x:v>
      </x:c>
      <x:c r="E33" s="46" t="str">
        <x:v>本轮分类规则</x:v>
      </x:c>
    </x:row>
    <x:row r="34">
      <x:c r="A34" s="51" t="str">
        <x:v>EEG-0041</x:v>
      </x:c>
      <x:c r="B34" s="155" t="str">
        <x:v>大类目录</x:v>
      </x:c>
      <x:c r="C34" s="155" t="str">
        <x:v>02_Healthcare_and_Disease</x:v>
      </x:c>
      <x:c r="D34" s="155" t="str">
        <x:v>目录命名修订：把临床疾病与医疗队列从生物识别概念中拆开。</x:v>
      </x:c>
      <x:c r="E34" s="156" t="str">
        <x:v>本轮分类规则</x:v>
      </x:c>
    </x:row>
    <x:row r="35">
      <x:c r="A35" s="45" t="str">
        <x:v>EEG-0042</x:v>
      </x:c>
      <x:c r="B35" s="81" t="str">
        <x:v>大类目录</x:v>
      </x:c>
      <x:c r="C35" s="81" t="str">
        <x:v>02_Healthcare_and_Disease</x:v>
      </x:c>
      <x:c r="D35" s="81" t="str">
        <x:v>目录命名修订：把临床疾病与医疗队列从生物识别概念中拆开。</x:v>
      </x:c>
      <x:c r="E35" s="46" t="str">
        <x:v>本轮分类规则</x:v>
      </x:c>
    </x:row>
    <x:row r="36">
      <x:c r="A36" s="51" t="str">
        <x:v>EEG-0043</x:v>
      </x:c>
      <x:c r="B36" s="155" t="str">
        <x:v>大类目录</x:v>
      </x:c>
      <x:c r="C36" s="155" t="str">
        <x:v>02_Healthcare_and_Disease</x:v>
      </x:c>
      <x:c r="D36" s="155" t="str">
        <x:v>目录命名修订：把临床疾病与医疗队列从生物识别概念中拆开。</x:v>
      </x:c>
      <x:c r="E36" s="156" t="str">
        <x:v>本轮分类规则</x:v>
      </x:c>
    </x:row>
    <x:row r="37">
      <x:c r="A37" s="45" t="str">
        <x:v>EEG-0044</x:v>
      </x:c>
      <x:c r="B37" s="81" t="str">
        <x:v>大类目录</x:v>
      </x:c>
      <x:c r="C37" s="81" t="str">
        <x:v>02_Healthcare_and_Disease</x:v>
      </x:c>
      <x:c r="D37" s="81" t="str">
        <x:v>目录命名修订：把临床疾病与医疗队列从生物识别概念中拆开。</x:v>
      </x:c>
      <x:c r="E37" s="46" t="str">
        <x:v>本轮分类规则</x:v>
      </x:c>
    </x:row>
    <x:row r="38">
      <x:c r="A38" s="51" t="str">
        <x:v>EEG-0045</x:v>
      </x:c>
      <x:c r="B38" s="155" t="str">
        <x:v>大类目录</x:v>
      </x:c>
      <x:c r="C38" s="155" t="str">
        <x:v>02_Healthcare_and_Disease</x:v>
      </x:c>
      <x:c r="D38" s="155" t="str">
        <x:v>目录命名修订：把临床疾病与医疗队列从生物识别概念中拆开。</x:v>
      </x:c>
      <x:c r="E38" s="156" t="str">
        <x:v>本轮分类规则</x:v>
      </x:c>
    </x:row>
    <x:row r="39">
      <x:c r="A39" s="45" t="str">
        <x:v>EEG-0047</x:v>
      </x:c>
      <x:c r="B39" s="81" t="str">
        <x:v>大类目录</x:v>
      </x:c>
      <x:c r="C39" s="81" t="str">
        <x:v>02_Healthcare_and_Disease</x:v>
      </x:c>
      <x:c r="D39" s="81" t="str">
        <x:v>目录命名修订：把临床疾病与医疗队列从生物识别概念中拆开。</x:v>
      </x:c>
      <x:c r="E39" s="46" t="str">
        <x:v>本轮分类规则</x:v>
      </x:c>
    </x:row>
    <x:row r="40">
      <x:c r="A40" s="51" t="str">
        <x:v>EEG-0048</x:v>
      </x:c>
      <x:c r="B40" s="155" t="str">
        <x:v>大类目录</x:v>
      </x:c>
      <x:c r="C40" s="155" t="str">
        <x:v>02_Healthcare_and_Disease</x:v>
      </x:c>
      <x:c r="D40" s="155" t="str">
        <x:v>目录命名修订：把临床疾病与医疗队列从生物识别概念中拆开。</x:v>
      </x:c>
      <x:c r="E40" s="156" t="str">
        <x:v>本轮分类规则</x:v>
      </x:c>
    </x:row>
    <x:row r="41">
      <x:c r="A41" s="45" t="str">
        <x:v>EEG-0050</x:v>
      </x:c>
      <x:c r="B41" s="81" t="str">
        <x:v>大类目录</x:v>
      </x:c>
      <x:c r="C41" s="81" t="str">
        <x:v>02_Healthcare_and_Disease</x:v>
      </x:c>
      <x:c r="D41" s="81" t="str">
        <x:v>目录命名修订：把临床疾病与医疗队列从生物识别概念中拆开。</x:v>
      </x:c>
      <x:c r="E41" s="46" t="str">
        <x:v>本轮分类规则</x:v>
      </x:c>
    </x:row>
    <x:row r="42">
      <x:c r="A42" s="51" t="str">
        <x:v>EEG-0051</x:v>
      </x:c>
      <x:c r="B42" s="155" t="str">
        <x:v>大类目录</x:v>
      </x:c>
      <x:c r="C42" s="155" t="str">
        <x:v>02_Healthcare_and_Disease</x:v>
      </x:c>
      <x:c r="D42" s="155" t="str">
        <x:v>目录命名修订：把临床疾病与医疗队列从生物识别概念中拆开。</x:v>
      </x:c>
      <x:c r="E42" s="156" t="str">
        <x:v>本轮分类规则</x:v>
      </x:c>
    </x:row>
    <x:row r="43">
      <x:c r="A43" s="45" t="str">
        <x:v>EEG-0052</x:v>
      </x:c>
      <x:c r="B43" s="81" t="str">
        <x:v>大类目录</x:v>
      </x:c>
      <x:c r="C43" s="81" t="str">
        <x:v>02_Healthcare_and_Disease</x:v>
      </x:c>
      <x:c r="D43" s="81" t="str">
        <x:v>目录命名修订：把临床疾病与医疗队列从生物识别概念中拆开。</x:v>
      </x:c>
      <x:c r="E43" s="46" t="str">
        <x:v>本轮分类规则</x:v>
      </x:c>
    </x:row>
    <x:row r="44">
      <x:c r="A44" s="51" t="str">
        <x:v>EEG-0053</x:v>
      </x:c>
      <x:c r="B44" s="155" t="str">
        <x:v>大类目录</x:v>
      </x:c>
      <x:c r="C44" s="155" t="str">
        <x:v>02_Healthcare_and_Disease</x:v>
      </x:c>
      <x:c r="D44" s="155" t="str">
        <x:v>目录命名修订：把临床疾病与医疗队列从生物识别概念中拆开。</x:v>
      </x:c>
      <x:c r="E44" s="156" t="str">
        <x:v>本轮分类规则</x:v>
      </x:c>
    </x:row>
    <x:row r="45">
      <x:c r="A45" s="45" t="str">
        <x:v>EEG-0054</x:v>
      </x:c>
      <x:c r="B45" s="81" t="str">
        <x:v>大类目录</x:v>
      </x:c>
      <x:c r="C45" s="81" t="str">
        <x:v>02_Healthcare_and_Disease</x:v>
      </x:c>
      <x:c r="D45" s="81" t="str">
        <x:v>目录命名修订：把临床疾病与医疗队列从生物识别概念中拆开。</x:v>
      </x:c>
      <x:c r="E45" s="46" t="str">
        <x:v>本轮分类规则</x:v>
      </x:c>
    </x:row>
    <x:row r="46">
      <x:c r="A46" s="51" t="str">
        <x:v>EEG-0055</x:v>
      </x:c>
      <x:c r="B46" s="155" t="str">
        <x:v>大类目录</x:v>
      </x:c>
      <x:c r="C46" s="155" t="str">
        <x:v>02_Healthcare_and_Disease</x:v>
      </x:c>
      <x:c r="D46" s="155" t="str">
        <x:v>目录命名修订：把临床疾病与医疗队列从生物识别概念中拆开。</x:v>
      </x:c>
      <x:c r="E46" s="156" t="str">
        <x:v>本轮分类规则</x:v>
      </x:c>
    </x:row>
    <x:row r="47">
      <x:c r="A47" s="45" t="str">
        <x:v>EEG-0056</x:v>
      </x:c>
      <x:c r="B47" s="81" t="str">
        <x:v>大类目录</x:v>
      </x:c>
      <x:c r="C47" s="81" t="str">
        <x:v>02_Healthcare_and_Disease</x:v>
      </x:c>
      <x:c r="D47" s="81" t="str">
        <x:v>目录命名修订：把临床疾病与医疗队列从生物识别概念中拆开。</x:v>
      </x:c>
      <x:c r="E47" s="46" t="str">
        <x:v>本轮分类规则</x:v>
      </x:c>
    </x:row>
    <x:row r="48">
      <x:c r="A48" s="51" t="str">
        <x:v>EEG-0057</x:v>
      </x:c>
      <x:c r="B48" s="155" t="str">
        <x:v>大类目录</x:v>
      </x:c>
      <x:c r="C48" s="155" t="str">
        <x:v>02_Healthcare_and_Disease</x:v>
      </x:c>
      <x:c r="D48" s="155" t="str">
        <x:v>目录命名修订：把临床疾病与医疗队列从生物识别概念中拆开。</x:v>
      </x:c>
      <x:c r="E48" s="156" t="str">
        <x:v>本轮分类规则</x:v>
      </x:c>
    </x:row>
    <x:row r="49">
      <x:c r="A49" s="45" t="str">
        <x:v>EEG-0058</x:v>
      </x:c>
      <x:c r="B49" s="81" t="str">
        <x:v>大类目录</x:v>
      </x:c>
      <x:c r="C49" s="81" t="str">
        <x:v>02_Healthcare_and_Disease</x:v>
      </x:c>
      <x:c r="D49" s="81" t="str">
        <x:v>目录命名修订：把临床疾病与医疗队列从生物识别概念中拆开。</x:v>
      </x:c>
      <x:c r="E49" s="46" t="str">
        <x:v>本轮分类规则</x:v>
      </x:c>
    </x:row>
    <x:row r="50">
      <x:c r="A50" s="51" t="str">
        <x:v>EEG-0059</x:v>
      </x:c>
      <x:c r="B50" s="155" t="str">
        <x:v>大类目录</x:v>
      </x:c>
      <x:c r="C50" s="155" t="str">
        <x:v>02_Healthcare_and_Disease</x:v>
      </x:c>
      <x:c r="D50" s="155" t="str">
        <x:v>目录命名修订：把临床疾病与医疗队列从生物识别概念中拆开。</x:v>
      </x:c>
      <x:c r="E50" s="156" t="str">
        <x:v>本轮分类规则</x:v>
      </x:c>
    </x:row>
    <x:row r="51">
      <x:c r="A51" s="45" t="str">
        <x:v>EEG-0060</x:v>
      </x:c>
      <x:c r="B51" s="81" t="str">
        <x:v>大类目录</x:v>
      </x:c>
      <x:c r="C51" s="81" t="str">
        <x:v>02_Healthcare_and_Disease</x:v>
      </x:c>
      <x:c r="D51" s="81" t="str">
        <x:v>目录命名修订：把临床疾病与医疗队列从生物识别概念中拆开。</x:v>
      </x:c>
      <x:c r="E51" s="46" t="str">
        <x:v>本轮分类规则</x:v>
      </x:c>
    </x:row>
    <x:row r="52">
      <x:c r="A52" s="51" t="str">
        <x:v>EEG-0061</x:v>
      </x:c>
      <x:c r="B52" s="155" t="str">
        <x:v>大类目录</x:v>
      </x:c>
      <x:c r="C52" s="155" t="str">
        <x:v>02_Healthcare_and_Disease</x:v>
      </x:c>
      <x:c r="D52" s="155" t="str">
        <x:v>目录命名修订：把临床疾病与医疗队列从生物识别概念中拆开。</x:v>
      </x:c>
      <x:c r="E52" s="156" t="str">
        <x:v>本轮分类规则</x:v>
      </x:c>
    </x:row>
    <x:row r="53">
      <x:c r="A53" s="45" t="str">
        <x:v>EEG-0062</x:v>
      </x:c>
      <x:c r="B53" s="81" t="str">
        <x:v>大类目录</x:v>
      </x:c>
      <x:c r="C53" s="81" t="str">
        <x:v>02_Healthcare_and_Disease</x:v>
      </x:c>
      <x:c r="D53" s="81" t="str">
        <x:v>目录命名修订：把临床疾病与医疗队列从生物识别概念中拆开。</x:v>
      </x:c>
      <x:c r="E53" s="46" t="str">
        <x:v>本轮分类规则</x:v>
      </x:c>
    </x:row>
    <x:row r="54">
      <x:c r="A54" s="51" t="str">
        <x:v>EEG-0063</x:v>
      </x:c>
      <x:c r="B54" s="155" t="str">
        <x:v>大类目录</x:v>
      </x:c>
      <x:c r="C54" s="155" t="str">
        <x:v>02_Healthcare_and_Disease</x:v>
      </x:c>
      <x:c r="D54" s="155" t="str">
        <x:v>目录命名修订：把临床疾病与医疗队列从生物识别概念中拆开。</x:v>
      </x:c>
      <x:c r="E54" s="156" t="str">
        <x:v>本轮分类规则</x:v>
      </x:c>
    </x:row>
    <x:row r="55">
      <x:c r="A55" s="45" t="str">
        <x:v>EEG-0064</x:v>
      </x:c>
      <x:c r="B55" s="81" t="str">
        <x:v>大类目录</x:v>
      </x:c>
      <x:c r="C55" s="81" t="str">
        <x:v>02_Healthcare_and_Disease</x:v>
      </x:c>
      <x:c r="D55" s="81" t="str">
        <x:v>目录命名修订：把临床疾病与医疗队列从生物识别概念中拆开。</x:v>
      </x:c>
      <x:c r="E55" s="46" t="str">
        <x:v>本轮分类规则</x:v>
      </x:c>
    </x:row>
    <x:row r="56">
      <x:c r="A56" s="51" t="str">
        <x:v>EEG-0065</x:v>
      </x:c>
      <x:c r="B56" s="155" t="str">
        <x:v>大类目录</x:v>
      </x:c>
      <x:c r="C56" s="155" t="str">
        <x:v>02_Healthcare_and_Disease</x:v>
      </x:c>
      <x:c r="D56" s="155" t="str">
        <x:v>目录命名修订：把临床疾病与医疗队列从生物识别概念中拆开。</x:v>
      </x:c>
      <x:c r="E56" s="156" t="str">
        <x:v>本轮分类规则</x:v>
      </x:c>
    </x:row>
    <x:row r="57">
      <x:c r="A57" s="45" t="str">
        <x:v>EEG-0067</x:v>
      </x:c>
      <x:c r="B57" s="81" t="str">
        <x:v>大类目录</x:v>
      </x:c>
      <x:c r="C57" s="81" t="str">
        <x:v>02_Healthcare_and_Disease</x:v>
      </x:c>
      <x:c r="D57" s="81" t="str">
        <x:v>目录命名修订：把临床疾病与医疗队列从生物识别概念中拆开。</x:v>
      </x:c>
      <x:c r="E57" s="46" t="str">
        <x:v>本轮分类规则</x:v>
      </x:c>
    </x:row>
    <x:row r="58">
      <x:c r="A58" s="51" t="str">
        <x:v>EEG-0068</x:v>
      </x:c>
      <x:c r="B58" s="155" t="str">
        <x:v>大类目录</x:v>
      </x:c>
      <x:c r="C58" s="155" t="str">
        <x:v>02_Healthcare_and_Disease</x:v>
      </x:c>
      <x:c r="D58" s="155" t="str">
        <x:v>目录命名修订：把临床疾病与医疗队列从生物识别概念中拆开。</x:v>
      </x:c>
      <x:c r="E58" s="156" t="str">
        <x:v>本轮分类规则</x:v>
      </x:c>
    </x:row>
    <x:row r="59">
      <x:c r="A59" s="45" t="str">
        <x:v>EEG-0070</x:v>
      </x:c>
      <x:c r="B59" s="81" t="str">
        <x:v>大类目录</x:v>
      </x:c>
      <x:c r="C59" s="81" t="str">
        <x:v>02_Healthcare_and_Disease</x:v>
      </x:c>
      <x:c r="D59" s="81" t="str">
        <x:v>目录命名修订：把临床疾病与医疗队列从生物识别概念中拆开。</x:v>
      </x:c>
      <x:c r="E59" s="46" t="str">
        <x:v>本轮分类规则</x:v>
      </x:c>
    </x:row>
    <x:row r="60">
      <x:c r="A60" s="51" t="str">
        <x:v>EEG-0071</x:v>
      </x:c>
      <x:c r="B60" s="155" t="str">
        <x:v>大类目录</x:v>
      </x:c>
      <x:c r="C60" s="155" t="str">
        <x:v>02_Healthcare_and_Disease</x:v>
      </x:c>
      <x:c r="D60" s="155" t="str">
        <x:v>目录命名修订：把临床疾病与医疗队列从生物识别概念中拆开。</x:v>
      </x:c>
      <x:c r="E60" s="156" t="str">
        <x:v>本轮分类规则</x:v>
      </x:c>
    </x:row>
    <x:row r="61">
      <x:c r="A61" s="45" t="str">
        <x:v>EEG-0073</x:v>
      </x:c>
      <x:c r="B61" s="81" t="str">
        <x:v>大类目录</x:v>
      </x:c>
      <x:c r="C61" s="81" t="str">
        <x:v>02_Healthcare_and_Disease</x:v>
      </x:c>
      <x:c r="D61" s="81" t="str">
        <x:v>目录命名修订：把临床疾病与医疗队列从生物识别概念中拆开。</x:v>
      </x:c>
      <x:c r="E61" s="46" t="str">
        <x:v>本轮分类规则</x:v>
      </x:c>
    </x:row>
    <x:row r="62">
      <x:c r="A62" s="51" t="str">
        <x:v>EEG-0074</x:v>
      </x:c>
      <x:c r="B62" s="155" t="str">
        <x:v>大类目录</x:v>
      </x:c>
      <x:c r="C62" s="155" t="str">
        <x:v>02_Healthcare_and_Disease</x:v>
      </x:c>
      <x:c r="D62" s="155" t="str">
        <x:v>目录命名修订：把临床疾病与医疗队列从生物识别概念中拆开。</x:v>
      </x:c>
      <x:c r="E62" s="156" t="str">
        <x:v>本轮分类规则</x:v>
      </x:c>
    </x:row>
    <x:row r="63">
      <x:c r="A63" s="45" t="str">
        <x:v>EEG-0075</x:v>
      </x:c>
      <x:c r="B63" s="81" t="str">
        <x:v>大类目录</x:v>
      </x:c>
      <x:c r="C63" s="81" t="str">
        <x:v>02_Healthcare_and_Disease</x:v>
      </x:c>
      <x:c r="D63" s="81" t="str">
        <x:v>目录命名修订：把临床疾病与医疗队列从生物识别概念中拆开。</x:v>
      </x:c>
      <x:c r="E63" s="46" t="str">
        <x:v>本轮分类规则</x:v>
      </x:c>
    </x:row>
    <x:row r="64">
      <x:c r="A64" s="51" t="str">
        <x:v>EEG-0077</x:v>
      </x:c>
      <x:c r="B64" s="155" t="str">
        <x:v>大类目录</x:v>
      </x:c>
      <x:c r="C64" s="155" t="str">
        <x:v>02_Healthcare_and_Disease</x:v>
      </x:c>
      <x:c r="D64" s="155" t="str">
        <x:v>目录命名修订：把临床疾病与医疗队列从生物识别概念中拆开。</x:v>
      </x:c>
      <x:c r="E64" s="156" t="str">
        <x:v>本轮分类规则</x:v>
      </x:c>
    </x:row>
    <x:row r="65">
      <x:c r="A65" s="45" t="str">
        <x:v>EEG-0078</x:v>
      </x:c>
      <x:c r="B65" s="81" t="str">
        <x:v>大类目录</x:v>
      </x:c>
      <x:c r="C65" s="81" t="str">
        <x:v>02_Healthcare_and_Disease</x:v>
      </x:c>
      <x:c r="D65" s="81" t="str">
        <x:v>目录命名修订：把临床疾病与医疗队列从生物识别概念中拆开。</x:v>
      </x:c>
      <x:c r="E65" s="46" t="str">
        <x:v>本轮分类规则</x:v>
      </x:c>
    </x:row>
    <x:row r="66">
      <x:c r="A66" s="51" t="str">
        <x:v>EEG-0079</x:v>
      </x:c>
      <x:c r="B66" s="155" t="str">
        <x:v>大类目录</x:v>
      </x:c>
      <x:c r="C66" s="155" t="str">
        <x:v>02_Healthcare_and_Disease</x:v>
      </x:c>
      <x:c r="D66" s="155" t="str">
        <x:v>目录命名修订：把临床疾病与医疗队列从生物识别概念中拆开。</x:v>
      </x:c>
      <x:c r="E66" s="156" t="str">
        <x:v>本轮分类规则</x:v>
      </x:c>
    </x:row>
    <x:row r="67">
      <x:c r="A67" s="45" t="str">
        <x:v>EEG-0080</x:v>
      </x:c>
      <x:c r="B67" s="81" t="str">
        <x:v>大类目录</x:v>
      </x:c>
      <x:c r="C67" s="81" t="str">
        <x:v>02_Healthcare_and_Disease</x:v>
      </x:c>
      <x:c r="D67" s="81" t="str">
        <x:v>目录命名修订：把临床疾病与医疗队列从生物识别概念中拆开。</x:v>
      </x:c>
      <x:c r="E67" s="46" t="str">
        <x:v>本轮分类规则</x:v>
      </x:c>
    </x:row>
    <x:row r="68">
      <x:c r="A68" s="51" t="str">
        <x:v>EEG-0081</x:v>
      </x:c>
      <x:c r="B68" s="155" t="str">
        <x:v>大类目录</x:v>
      </x:c>
      <x:c r="C68" s="155" t="str">
        <x:v>02_Healthcare_and_Disease</x:v>
      </x:c>
      <x:c r="D68" s="155" t="str">
        <x:v>目录命名修订：把临床疾病与医疗队列从生物识别概念中拆开。</x:v>
      </x:c>
      <x:c r="E68" s="156" t="str">
        <x:v>本轮分类规则</x:v>
      </x:c>
    </x:row>
    <x:row r="69">
      <x:c r="A69" s="45" t="str">
        <x:v>EEG-0082</x:v>
      </x:c>
      <x:c r="B69" s="81" t="str">
        <x:v>大类目录</x:v>
      </x:c>
      <x:c r="C69" s="81" t="str">
        <x:v>02_Healthcare_and_Disease</x:v>
      </x:c>
      <x:c r="D69" s="81" t="str">
        <x:v>目录命名修订：把临床疾病与医疗队列从生物识别概念中拆开。</x:v>
      </x:c>
      <x:c r="E69" s="46" t="str">
        <x:v>本轮分类规则</x:v>
      </x:c>
    </x:row>
    <x:row r="70">
      <x:c r="A70" s="51" t="str">
        <x:v>EEG-0083</x:v>
      </x:c>
      <x:c r="B70" s="155" t="str">
        <x:v>大类目录</x:v>
      </x:c>
      <x:c r="C70" s="155" t="str">
        <x:v>02_Healthcare_and_Disease</x:v>
      </x:c>
      <x:c r="D70" s="155" t="str">
        <x:v>目录命名修订：把临床疾病与医疗队列从生物识别概念中拆开。</x:v>
      </x:c>
      <x:c r="E70" s="156" t="str">
        <x:v>本轮分类规则</x:v>
      </x:c>
    </x:row>
    <x:row r="71">
      <x:c r="A71" s="45" t="str">
        <x:v>EEG-0084</x:v>
      </x:c>
      <x:c r="B71" s="81" t="str">
        <x:v>大类目录</x:v>
      </x:c>
      <x:c r="C71" s="81" t="str">
        <x:v>02_Healthcare_and_Disease</x:v>
      </x:c>
      <x:c r="D71" s="81" t="str">
        <x:v>目录命名修订：把临床疾病与医疗队列从生物识别概念中拆开。</x:v>
      </x:c>
      <x:c r="E71" s="46" t="str">
        <x:v>本轮分类规则</x:v>
      </x:c>
    </x:row>
    <x:row r="72">
      <x:c r="A72" s="51" t="str">
        <x:v>EEG-0085</x:v>
      </x:c>
      <x:c r="B72" s="155" t="str">
        <x:v>大类目录</x:v>
      </x:c>
      <x:c r="C72" s="155" t="str">
        <x:v>02_Healthcare_and_Disease</x:v>
      </x:c>
      <x:c r="D72" s="155" t="str">
        <x:v>目录命名修订：把临床疾病与医疗队列从生物识别概念中拆开。</x:v>
      </x:c>
      <x:c r="E72" s="156" t="str">
        <x:v>本轮分类规则</x:v>
      </x:c>
    </x:row>
    <x:row r="73">
      <x:c r="A73" s="45" t="str">
        <x:v>EEG-0086</x:v>
      </x:c>
      <x:c r="B73" s="81" t="str">
        <x:v>大类目录</x:v>
      </x:c>
      <x:c r="C73" s="81" t="str">
        <x:v>02_Healthcare_and_Disease</x:v>
      </x:c>
      <x:c r="D73" s="81" t="str">
        <x:v>目录命名修订：把临床疾病与医疗队列从生物识别概念中拆开。</x:v>
      </x:c>
      <x:c r="E73" s="46" t="str">
        <x:v>本轮分类规则</x:v>
      </x:c>
    </x:row>
    <x:row r="74">
      <x:c r="A74" s="51" t="str">
        <x:v>EEG-0087</x:v>
      </x:c>
      <x:c r="B74" s="155" t="str">
        <x:v>大类目录</x:v>
      </x:c>
      <x:c r="C74" s="155" t="str">
        <x:v>02_Healthcare_and_Disease</x:v>
      </x:c>
      <x:c r="D74" s="155" t="str">
        <x:v>目录命名修订：把临床疾病与医疗队列从生物识别概念中拆开。</x:v>
      </x:c>
      <x:c r="E74" s="156" t="str">
        <x:v>本轮分类规则</x:v>
      </x:c>
    </x:row>
    <x:row r="75">
      <x:c r="A75" s="45" t="str">
        <x:v>EEG-0089</x:v>
      </x:c>
      <x:c r="B75" s="81" t="str">
        <x:v>大类目录</x:v>
      </x:c>
      <x:c r="C75" s="81" t="str">
        <x:v>02_Healthcare_and_Disease</x:v>
      </x:c>
      <x:c r="D75" s="81" t="str">
        <x:v>目录命名修订：把临床疾病与医疗队列从生物识别概念中拆开。</x:v>
      </x:c>
      <x:c r="E75" s="46" t="str">
        <x:v>本轮分类规则</x:v>
      </x:c>
    </x:row>
    <x:row r="76">
      <x:c r="A76" s="51" t="str">
        <x:v>EEG-0090</x:v>
      </x:c>
      <x:c r="B76" s="155" t="str">
        <x:v>大类目录</x:v>
      </x:c>
      <x:c r="C76" s="155" t="str">
        <x:v>02_Healthcare_and_Disease</x:v>
      </x:c>
      <x:c r="D76" s="155" t="str">
        <x:v>目录命名修订：把临床疾病与医疗队列从生物识别概念中拆开。</x:v>
      </x:c>
      <x:c r="E76" s="156" t="str">
        <x:v>本轮分类规则</x:v>
      </x:c>
    </x:row>
    <x:row r="77">
      <x:c r="A77" s="45" t="str">
        <x:v>EEG-0091</x:v>
      </x:c>
      <x:c r="B77" s="81" t="str">
        <x:v>大类目录</x:v>
      </x:c>
      <x:c r="C77" s="81" t="str">
        <x:v>02_Healthcare_and_Disease</x:v>
      </x:c>
      <x:c r="D77" s="81" t="str">
        <x:v>目录命名修订：把临床疾病与医疗队列从生物识别概念中拆开。</x:v>
      </x:c>
      <x:c r="E77" s="46" t="str">
        <x:v>本轮分类规则</x:v>
      </x:c>
    </x:row>
    <x:row r="78">
      <x:c r="A78" s="51" t="str">
        <x:v>EEG-0092</x:v>
      </x:c>
      <x:c r="B78" s="155" t="str">
        <x:v>大类目录</x:v>
      </x:c>
      <x:c r="C78" s="155" t="str">
        <x:v>02_Healthcare_and_Disease</x:v>
      </x:c>
      <x:c r="D78" s="155" t="str">
        <x:v>目录命名修订：把临床疾病与医疗队列从生物识别概念中拆开。</x:v>
      </x:c>
      <x:c r="E78" s="156" t="str">
        <x:v>本轮分类规则</x:v>
      </x:c>
    </x:row>
    <x:row r="79">
      <x:c r="A79" s="45" t="str">
        <x:v>EEG-0093</x:v>
      </x:c>
      <x:c r="B79" s="81" t="str">
        <x:v>大类目录</x:v>
      </x:c>
      <x:c r="C79" s="81" t="str">
        <x:v>02_Healthcare_and_Disease</x:v>
      </x:c>
      <x:c r="D79" s="81" t="str">
        <x:v>目录命名修订：把临床疾病与医疗队列从生物识别概念中拆开。</x:v>
      </x:c>
      <x:c r="E79" s="46" t="str">
        <x:v>本轮分类规则</x:v>
      </x:c>
    </x:row>
    <x:row r="80">
      <x:c r="A80" s="51" t="str">
        <x:v>EEG-0094</x:v>
      </x:c>
      <x:c r="B80" s="155" t="str">
        <x:v>大类目录</x:v>
      </x:c>
      <x:c r="C80" s="155" t="str">
        <x:v>02_Healthcare_and_Disease</x:v>
      </x:c>
      <x:c r="D80" s="155" t="str">
        <x:v>目录命名修订：把临床疾病与医疗队列从生物识别概念中拆开。</x:v>
      </x:c>
      <x:c r="E80" s="156" t="str">
        <x:v>本轮分类规则</x:v>
      </x:c>
    </x:row>
    <x:row r="81">
      <x:c r="A81" s="45" t="str">
        <x:v>EEG-0095</x:v>
      </x:c>
      <x:c r="B81" s="81" t="str">
        <x:v>大类目录</x:v>
      </x:c>
      <x:c r="C81" s="81" t="str">
        <x:v>02_Healthcare_and_Disease</x:v>
      </x:c>
      <x:c r="D81" s="81" t="str">
        <x:v>目录命名修订：把临床疾病与医疗队列从生物识别概念中拆开。</x:v>
      </x:c>
      <x:c r="E81" s="46" t="str">
        <x:v>本轮分类规则</x:v>
      </x:c>
    </x:row>
    <x:row r="82">
      <x:c r="A82" s="51" t="str">
        <x:v>EEG-0096</x:v>
      </x:c>
      <x:c r="B82" s="155" t="str">
        <x:v>大类目录</x:v>
      </x:c>
      <x:c r="C82" s="155" t="str">
        <x:v>02_Healthcare_and_Disease</x:v>
      </x:c>
      <x:c r="D82" s="155" t="str">
        <x:v>目录命名修订：把临床疾病与医疗队列从生物识别概念中拆开。</x:v>
      </x:c>
      <x:c r="E82" s="156" t="str">
        <x:v>本轮分类规则</x:v>
      </x:c>
    </x:row>
    <x:row r="83">
      <x:c r="A83" s="45" t="str">
        <x:v>EEG-0097</x:v>
      </x:c>
      <x:c r="B83" s="81" t="str">
        <x:v>大类目录</x:v>
      </x:c>
      <x:c r="C83" s="81" t="str">
        <x:v>02_Healthcare_and_Disease</x:v>
      </x:c>
      <x:c r="D83" s="81" t="str">
        <x:v>目录命名修订：把临床疾病与医疗队列从生物识别概念中拆开。</x:v>
      </x:c>
      <x:c r="E83" s="46" t="str">
        <x:v>本轮分类规则</x:v>
      </x:c>
    </x:row>
    <x:row r="84">
      <x:c r="A84" s="51" t="str">
        <x:v>EEG-0098</x:v>
      </x:c>
      <x:c r="B84" s="155" t="str">
        <x:v>大类目录</x:v>
      </x:c>
      <x:c r="C84" s="155" t="str">
        <x:v>02_Healthcare_and_Disease</x:v>
      </x:c>
      <x:c r="D84" s="155" t="str">
        <x:v>目录命名修订：把临床疾病与医疗队列从生物识别概念中拆开。</x:v>
      </x:c>
      <x:c r="E84" s="156" t="str">
        <x:v>本轮分类规则</x:v>
      </x:c>
    </x:row>
    <x:row r="85">
      <x:c r="A85" s="45" t="str">
        <x:v>EEG-0100</x:v>
      </x:c>
      <x:c r="B85" s="81" t="str">
        <x:v>大类目录</x:v>
      </x:c>
      <x:c r="C85" s="81" t="str">
        <x:v>02_Healthcare_and_Disease</x:v>
      </x:c>
      <x:c r="D85" s="81" t="str">
        <x:v>目录命名修订：把临床疾病与医疗队列从生物识别概念中拆开。</x:v>
      </x:c>
      <x:c r="E85" s="46" t="str">
        <x:v>本轮分类规则</x:v>
      </x:c>
    </x:row>
    <x:row r="86">
      <x:c r="A86" s="51" t="str">
        <x:v>EEG-0101</x:v>
      </x:c>
      <x:c r="B86" s="155" t="str">
        <x:v>大类目录</x:v>
      </x:c>
      <x:c r="C86" s="155" t="str">
        <x:v>02_Healthcare_and_Disease</x:v>
      </x:c>
      <x:c r="D86" s="155" t="str">
        <x:v>目录命名修订：把临床疾病与医疗队列从生物识别概念中拆开。</x:v>
      </x:c>
      <x:c r="E86" s="156" t="str">
        <x:v>本轮分类规则</x:v>
      </x:c>
    </x:row>
    <x:row r="87">
      <x:c r="A87" s="45" t="str">
        <x:v>EEG-0102</x:v>
      </x:c>
      <x:c r="B87" s="81" t="str">
        <x:v>大类目录</x:v>
      </x:c>
      <x:c r="C87" s="81" t="str">
        <x:v>02_Healthcare_and_Disease</x:v>
      </x:c>
      <x:c r="D87" s="81" t="str">
        <x:v>目录命名修订：把临床疾病与医疗队列从生物识别概念中拆开。</x:v>
      </x:c>
      <x:c r="E87" s="46" t="str">
        <x:v>本轮分类规则</x:v>
      </x:c>
    </x:row>
    <x:row r="88">
      <x:c r="A88" s="51" t="str">
        <x:v>EEG-0103</x:v>
      </x:c>
      <x:c r="B88" s="155" t="str">
        <x:v>大类目录</x:v>
      </x:c>
      <x:c r="C88" s="155" t="str">
        <x:v>02_Healthcare_and_Disease</x:v>
      </x:c>
      <x:c r="D88" s="155" t="str">
        <x:v>目录命名修订：把临床疾病与医疗队列从生物识别概念中拆开。</x:v>
      </x:c>
      <x:c r="E88" s="156" t="str">
        <x:v>本轮分类规则</x:v>
      </x:c>
    </x:row>
    <x:row r="89">
      <x:c r="A89" s="45" t="str">
        <x:v>EEG-0104</x:v>
      </x:c>
      <x:c r="B89" s="81" t="str">
        <x:v>大类目录</x:v>
      </x:c>
      <x:c r="C89" s="81" t="str">
        <x:v>02_Healthcare_and_Disease</x:v>
      </x:c>
      <x:c r="D89" s="81" t="str">
        <x:v>目录命名修订：把临床疾病与医疗队列从生物识别概念中拆开。</x:v>
      </x:c>
      <x:c r="E89" s="46" t="str">
        <x:v>本轮分类规则</x:v>
      </x:c>
    </x:row>
    <x:row r="90">
      <x:c r="A90" s="51" t="str">
        <x:v>EEG-0105</x:v>
      </x:c>
      <x:c r="B90" s="155" t="str">
        <x:v>大类目录</x:v>
      </x:c>
      <x:c r="C90" s="155" t="str">
        <x:v>02_Healthcare_and_Disease</x:v>
      </x:c>
      <x:c r="D90" s="155" t="str">
        <x:v>目录命名修订：把临床疾病与医疗队列从生物识别概念中拆开。</x:v>
      </x:c>
      <x:c r="E90" s="156" t="str">
        <x:v>本轮分类规则</x:v>
      </x:c>
    </x:row>
    <x:row r="91">
      <x:c r="A91" s="45" t="str">
        <x:v>EEG-0106</x:v>
      </x:c>
      <x:c r="B91" s="81" t="str">
        <x:v>大类目录</x:v>
      </x:c>
      <x:c r="C91" s="81" t="str">
        <x:v>02_Healthcare_and_Disease</x:v>
      </x:c>
      <x:c r="D91" s="81" t="str">
        <x:v>目录命名修订：把临床疾病与医疗队列从生物识别概念中拆开。</x:v>
      </x:c>
      <x:c r="E91" s="46" t="str">
        <x:v>本轮分类规则</x:v>
      </x:c>
    </x:row>
    <x:row r="92">
      <x:c r="A92" s="51" t="str">
        <x:v>EEG-0107</x:v>
      </x:c>
      <x:c r="B92" s="155" t="str">
        <x:v>大类目录</x:v>
      </x:c>
      <x:c r="C92" s="155" t="str">
        <x:v>02_Healthcare_and_Disease</x:v>
      </x:c>
      <x:c r="D92" s="155" t="str">
        <x:v>目录命名修订：把临床疾病与医疗队列从生物识别概念中拆开。</x:v>
      </x:c>
      <x:c r="E92" s="156" t="str">
        <x:v>本轮分类规则</x:v>
      </x:c>
    </x:row>
    <x:row r="93">
      <x:c r="A93" s="45" t="str">
        <x:v>EEG-0519</x:v>
      </x:c>
      <x:c r="B93" s="81" t="str">
        <x:v>大类目录</x:v>
      </x:c>
      <x:c r="C93" s="81" t="str">
        <x:v>02_Healthcare_and_Disease</x:v>
      </x:c>
      <x:c r="D93" s="81" t="str">
        <x:v>目录命名修订：把临床疾病与医疗队列从生物识别概念中拆开。</x:v>
      </x:c>
      <x:c r="E93" s="46" t="str">
        <x:v>本轮分类规则</x:v>
      </x:c>
    </x:row>
    <x:row r="94">
      <x:c r="A94" s="51" t="str">
        <x:v>EEG-0520</x:v>
      </x:c>
      <x:c r="B94" s="155" t="str">
        <x:v>大类目录</x:v>
      </x:c>
      <x:c r="C94" s="155" t="str">
        <x:v>02_Healthcare_and_Disease</x:v>
      </x:c>
      <x:c r="D94" s="155" t="str">
        <x:v>目录命名修订：把临床疾病与医疗队列从生物识别概念中拆开。</x:v>
      </x:c>
      <x:c r="E94" s="156" t="str">
        <x:v>本轮分类规则</x:v>
      </x:c>
    </x:row>
    <x:row r="95">
      <x:c r="A95" s="45" t="str">
        <x:v>EEG-0521</x:v>
      </x:c>
      <x:c r="B95" s="81" t="str">
        <x:v>大类目录</x:v>
      </x:c>
      <x:c r="C95" s="81" t="str">
        <x:v>02_Healthcare_and_Disease</x:v>
      </x:c>
      <x:c r="D95" s="81" t="str">
        <x:v>目录命名修订：把临床疾病与医疗队列从生物识别概念中拆开。</x:v>
      </x:c>
      <x:c r="E95" s="46" t="str">
        <x:v>本轮分类规则</x:v>
      </x:c>
    </x:row>
    <x:row r="96">
      <x:c r="A96" s="51" t="str">
        <x:v>EEG-0522</x:v>
      </x:c>
      <x:c r="B96" s="155" t="str">
        <x:v>大类目录</x:v>
      </x:c>
      <x:c r="C96" s="155" t="str">
        <x:v>02_Healthcare_and_Disease</x:v>
      </x:c>
      <x:c r="D96" s="155" t="str">
        <x:v>目录命名修订：把临床疾病与医疗队列从生物识别概念中拆开。</x:v>
      </x:c>
      <x:c r="E96" s="156" t="str">
        <x:v>本轮分类规则</x:v>
      </x:c>
    </x:row>
    <x:row r="97">
      <x:c r="A97" s="45" t="str">
        <x:v>EEG-0523</x:v>
      </x:c>
      <x:c r="B97" s="81" t="str">
        <x:v>大类目录</x:v>
      </x:c>
      <x:c r="C97" s="81" t="str">
        <x:v>02_Healthcare_and_Disease</x:v>
      </x:c>
      <x:c r="D97" s="81" t="str">
        <x:v>目录命名修订：把临床疾病与医疗队列从生物识别概念中拆开。</x:v>
      </x:c>
      <x:c r="E97" s="46" t="str">
        <x:v>本轮分类规则</x:v>
      </x:c>
    </x:row>
    <x:row r="98">
      <x:c r="A98" s="51" t="str">
        <x:v>EEG-0524</x:v>
      </x:c>
      <x:c r="B98" s="155" t="str">
        <x:v>大类目录</x:v>
      </x:c>
      <x:c r="C98" s="155" t="str">
        <x:v>02_Healthcare_and_Disease</x:v>
      </x:c>
      <x:c r="D98" s="155" t="str">
        <x:v>目录命名修订：把临床疾病与医疗队列从生物识别概念中拆开。</x:v>
      </x:c>
      <x:c r="E98" s="156" t="str">
        <x:v>本轮分类规则</x:v>
      </x:c>
    </x:row>
    <x:row r="99">
      <x:c r="A99" s="45" t="str">
        <x:v>EEG-0582</x:v>
      </x:c>
      <x:c r="B99" s="81" t="str">
        <x:v>大类目录</x:v>
      </x:c>
      <x:c r="C99" s="81" t="str">
        <x:v>02_Healthcare_and_Disease</x:v>
      </x:c>
      <x:c r="D99" s="81" t="str">
        <x:v>目录命名修订：把临床疾病与医疗队列从生物识别概念中拆开。</x:v>
      </x:c>
      <x:c r="E99" s="46" t="str">
        <x:v>本轮分类规则</x:v>
      </x:c>
    </x:row>
    <x:row r="100">
      <x:c r="A100" s="51" t="str">
        <x:v>EEG-0067</x:v>
      </x:c>
      <x:c r="B100" s="155" t="str">
        <x:v>大类目录</x:v>
      </x:c>
      <x:c r="C100" s="155" t="str">
        <x:v>04_Cognition_and_Emotion</x:v>
      </x:c>
      <x:c r="D100" s="155" t="str">
        <x:v>健康受试者的听视转换/注意实验，不是神经系统疾病。</x:v>
      </x:c>
      <x:c r="E100" s="156" t="str">
        <x:v>数据集说明/论文与本轮临床队列规则</x:v>
      </x:c>
    </x:row>
    <x:row r="101">
      <x:c r="A101" s="45" t="str">
        <x:v>EEG-0067</x:v>
      </x:c>
      <x:c r="B101" s="81" t="str">
        <x:v>小类目录</x:v>
      </x:c>
      <x:c r="C101" s="81" t="str">
        <x:v>Attention_and_Multisensory</x:v>
      </x:c>
      <x:c r="D101" s="81" t="str">
        <x:v>健康受试者的听视转换/注意实验，不是神经系统疾病。</x:v>
      </x:c>
      <x:c r="E101" s="46" t="str">
        <x:v>数据集说明/论文与本轮临床队列规则</x:v>
      </x:c>
    </x:row>
    <x:row r="102">
      <x:c r="A102" s="51" t="str">
        <x:v>EEG-0068</x:v>
      </x:c>
      <x:c r="B102" s="155" t="str">
        <x:v>大类目录</x:v>
      </x:c>
      <x:c r="C102" s="155" t="str">
        <x:v>06_Motor_and_Interaction</x:v>
      </x:c>
      <x:c r="D102" s="155" t="str">
        <x:v>单受试者 ECoG 运动想象竞赛数据，主用途是 BCI。</x:v>
      </x:c>
      <x:c r="E102" s="156" t="str">
        <x:v>数据集说明/论文与本轮临床队列规则</x:v>
      </x:c>
    </x:row>
    <x:row r="103">
      <x:c r="A103" s="45" t="str">
        <x:v>EEG-0068</x:v>
      </x:c>
      <x:c r="B103" s="81" t="str">
        <x:v>小类目录</x:v>
      </x:c>
      <x:c r="C103" s="81" t="str">
        <x:v>BCI_Competition</x:v>
      </x:c>
      <x:c r="D103" s="81" t="str">
        <x:v>单受试者 ECoG 运动想象竞赛数据，主用途是 BCI。</x:v>
      </x:c>
      <x:c r="E103" s="46" t="str">
        <x:v>数据集说明/论文与本轮临床队列规则</x:v>
      </x:c>
    </x:row>
    <x:row r="104">
      <x:c r="A104" s="51" t="str">
        <x:v>EEG-0069</x:v>
      </x:c>
      <x:c r="B104" s="155" t="str">
        <x:v>大类目录</x:v>
      </x:c>
      <x:c r="C104" s="155" t="str">
        <x:v>06_Motor_and_Interaction</x:v>
      </x:c>
      <x:c r="D104" s="155" t="str">
        <x:v>SSVEP 拼写/BCI 基准，不是疾病队列。</x:v>
      </x:c>
      <x:c r="E104" s="156" t="str">
        <x:v>数据集说明/论文与本轮临床队列规则</x:v>
      </x:c>
    </x:row>
    <x:row r="105">
      <x:c r="A105" s="45" t="str">
        <x:v>EEG-0069</x:v>
      </x:c>
      <x:c r="B105" s="81" t="str">
        <x:v>小类目录</x:v>
      </x:c>
      <x:c r="C105" s="81" t="str">
        <x:v>Interaction_and_Control</x:v>
      </x:c>
      <x:c r="D105" s="81" t="str">
        <x:v>SSVEP 拼写/BCI 基准，不是疾病队列。</x:v>
      </x:c>
      <x:c r="E105" s="46" t="str">
        <x:v>数据集说明/论文与本轮临床队列规则</x:v>
      </x:c>
    </x:row>
    <x:row r="106">
      <x:c r="A106" s="51" t="str">
        <x:v>EEG-0073</x:v>
      </x:c>
      <x:c r="B106" s="155" t="str">
        <x:v>大类目录</x:v>
      </x:c>
      <x:c r="C106" s="155" t="str">
        <x:v>06_Motor_and_Interaction</x:v>
      </x:c>
      <x:c r="D106" s="155" t="str">
        <x:v>ErrP 光标反馈任务，不含疾病队列证据。</x:v>
      </x:c>
      <x:c r="E106" s="156" t="str">
        <x:v>数据集说明/论文与本轮临床队列规则</x:v>
      </x:c>
    </x:row>
    <x:row r="107">
      <x:c r="A107" s="45" t="str">
        <x:v>EEG-0073</x:v>
      </x:c>
      <x:c r="B107" s="81" t="str">
        <x:v>小类目录</x:v>
      </x:c>
      <x:c r="C107" s="81" t="str">
        <x:v>Error_Related_BCI</x:v>
      </x:c>
      <x:c r="D107" s="81" t="str">
        <x:v>ErrP 光标反馈任务，不含疾病队列证据。</x:v>
      </x:c>
      <x:c r="E107" s="46" t="str">
        <x:v>数据集说明/论文与本轮临床队列规则</x:v>
      </x:c>
    </x:row>
    <x:row r="108">
      <x:c r="A108" s="51" t="str">
        <x:v>EEG-0077</x:v>
      </x:c>
      <x:c r="B108" s="155" t="str">
        <x:v>大类目录</x:v>
      </x:c>
      <x:c r="C108" s="155" t="str">
        <x:v>04_Cognition_and_Emotion</x:v>
      </x:c>
      <x:c r="D108" s="155" t="str">
        <x:v>彩色层状刺激的注意诱发电位实验，不是疾病队列。</x:v>
      </x:c>
      <x:c r="E108" s="156" t="str">
        <x:v>数据集说明/论文与本轮临床队列规则</x:v>
      </x:c>
    </x:row>
    <x:row r="109">
      <x:c r="A109" s="45" t="str">
        <x:v>EEG-0077</x:v>
      </x:c>
      <x:c r="B109" s="81" t="str">
        <x:v>小类目录</x:v>
      </x:c>
      <x:c r="C109" s="81" t="str">
        <x:v>Attention_and_ERP</x:v>
      </x:c>
      <x:c r="D109" s="81" t="str">
        <x:v>彩色层状刺激的注意诱发电位实验，不是疾病队列。</x:v>
      </x:c>
      <x:c r="E109" s="46" t="str">
        <x:v>数据集说明/论文与本轮临床队列规则</x:v>
      </x:c>
    </x:row>
    <x:row r="110">
      <x:c r="A110" s="51" t="str">
        <x:v>EEG-0082</x:v>
      </x:c>
      <x:c r="B110" s="155" t="str">
        <x:v>大类目录</x:v>
      </x:c>
      <x:c r="C110" s="155" t="str">
        <x:v>08_Health_and_Population</x:v>
      </x:c>
      <x:c r="D110" s="155" t="str">
        <x:v>脊髓体感诱发电位属于健康生理/方法学。</x:v>
      </x:c>
      <x:c r="E110" s="156" t="str">
        <x:v>数据集说明/论文与本轮临床队列规则</x:v>
      </x:c>
    </x:row>
    <x:row r="111">
      <x:c r="A111" s="45" t="str">
        <x:v>EEG-0082</x:v>
      </x:c>
      <x:c r="B111" s="81" t="str">
        <x:v>小类目录</x:v>
      </x:c>
      <x:c r="C111" s="81" t="str">
        <x:v>Sensory_Physiology</x:v>
      </x:c>
      <x:c r="D111" s="81" t="str">
        <x:v>脊髓体感诱发电位属于健康生理/方法学。</x:v>
      </x:c>
      <x:c r="E111" s="46" t="str">
        <x:v>数据集说明/论文与本轮临床队列规则</x:v>
      </x:c>
    </x:row>
    <x:row r="112">
      <x:c r="A112" s="51" t="str">
        <x:v>EEG-0086</x:v>
      </x:c>
      <x:c r="B112" s="155" t="str">
        <x:v>大类目录</x:v>
      </x:c>
      <x:c r="C112" s="155" t="str">
        <x:v>08_Health_and_Population</x:v>
      </x:c>
      <x:c r="D112" s="155" t="str">
        <x:v>MESA Sleep 是人群心代谢/睡眠队列，不是神经疾病。</x:v>
      </x:c>
      <x:c r="E112" s="156" t="str">
        <x:v>数据集说明/论文与本轮临床队列规则</x:v>
      </x:c>
    </x:row>
    <x:row r="113">
      <x:c r="A113" s="45" t="str">
        <x:v>EEG-0086</x:v>
      </x:c>
      <x:c r="B113" s="81" t="str">
        <x:v>小类目录</x:v>
      </x:c>
      <x:c r="C113" s="81" t="str">
        <x:v>Sleep_and_Cardiometabolic</x:v>
      </x:c>
      <x:c r="D113" s="81" t="str">
        <x:v>MESA Sleep 是人群心代谢/睡眠队列，不是神经疾病。</x:v>
      </x:c>
      <x:c r="E113" s="46" t="str">
        <x:v>数据集说明/论文与本轮临床队列规则</x:v>
      </x:c>
    </x:row>
    <x:row r="114">
      <x:c r="A114" s="51" t="str">
        <x:v>EEG-0090</x:v>
      </x:c>
      <x:c r="B114" s="155" t="str">
        <x:v>大类目录</x:v>
      </x:c>
      <x:c r="C114" s="155" t="str">
        <x:v>06_Motor_and_Interaction</x:v>
      </x:c>
      <x:c r="D114" s="155" t="str">
        <x:v>工业人机协作生理信号，不是疾病队列。</x:v>
      </x:c>
      <x:c r="E114" s="156" t="str">
        <x:v>数据集说明/论文与本轮临床队列规则</x:v>
      </x:c>
    </x:row>
    <x:row r="115">
      <x:c r="A115" s="45" t="str">
        <x:v>EEG-0090</x:v>
      </x:c>
      <x:c r="B115" s="81" t="str">
        <x:v>小类目录</x:v>
      </x:c>
      <x:c r="C115" s="81" t="str">
        <x:v>Human_Robot_Interaction</x:v>
      </x:c>
      <x:c r="D115" s="81" t="str">
        <x:v>工业人机协作生理信号，不是疾病队列。</x:v>
      </x:c>
      <x:c r="E115" s="46" t="str">
        <x:v>数据集说明/论文与本轮临床队列规则</x:v>
      </x:c>
    </x:row>
    <x:row r="116">
      <x:c r="A116" s="51" t="str">
        <x:v>EEG-0091</x:v>
      </x:c>
      <x:c r="B116" s="155" t="str">
        <x:v>大类目录</x:v>
      </x:c>
      <x:c r="C116" s="155" t="str">
        <x:v>04_Cognition_and_Emotion</x:v>
      </x:c>
      <x:c r="D116" s="155" t="str">
        <x:v>随机化视觉物体分类实验，不是疾病队列。</x:v>
      </x:c>
      <x:c r="E116" s="156" t="str">
        <x:v>数据集说明/论文与本轮临床队列规则</x:v>
      </x:c>
    </x:row>
    <x:row r="117">
      <x:c r="A117" s="45" t="str">
        <x:v>EEG-0091</x:v>
      </x:c>
      <x:c r="B117" s="81" t="str">
        <x:v>小类目录</x:v>
      </x:c>
      <x:c r="C117" s="81" t="str">
        <x:v>Visual_Object_Decoding</x:v>
      </x:c>
      <x:c r="D117" s="81" t="str">
        <x:v>随机化视觉物体分类实验，不是疾病队列。</x:v>
      </x:c>
      <x:c r="E117" s="46" t="str">
        <x:v>数据集说明/论文与本轮临床队列规则</x:v>
      </x:c>
    </x:row>
    <x:row r="118">
      <x:c r="A118" s="51" t="str">
        <x:v>EEG-0095</x:v>
      </x:c>
      <x:c r="B118" s="155" t="str">
        <x:v>大类目录</x:v>
      </x:c>
      <x:c r="C118" s="155" t="str">
        <x:v>06_Motor_and_Interaction</x:v>
      </x:c>
      <x:c r="D118" s="155" t="str">
        <x:v>P300 拼写器 BCI，健康/一般交互任务。</x:v>
      </x:c>
      <x:c r="E118" s="156" t="str">
        <x:v>数据集说明/论文与本轮临床队列规则</x:v>
      </x:c>
    </x:row>
    <x:row r="119">
      <x:c r="A119" s="45" t="str">
        <x:v>EEG-0095</x:v>
      </x:c>
      <x:c r="B119" s="81" t="str">
        <x:v>小类目录</x:v>
      </x:c>
      <x:c r="C119" s="81" t="str">
        <x:v>P300_BCI</x:v>
      </x:c>
      <x:c r="D119" s="81" t="str">
        <x:v>P300 拼写器 BCI，健康/一般交互任务。</x:v>
      </x:c>
      <x:c r="E119" s="46" t="str">
        <x:v>数据集说明/论文与本轮临床队列规则</x:v>
      </x:c>
    </x:row>
    <x:row r="120">
      <x:c r="A120" s="51" t="str">
        <x:v>EEG-0096</x:v>
      </x:c>
      <x:c r="B120" s="155" t="str">
        <x:v>大类目录</x:v>
      </x:c>
      <x:c r="C120" s="155" t="str">
        <x:v>04_Cognition_and_Emotion</x:v>
      </x:c>
      <x:c r="D120" s="155" t="str">
        <x:v>实时情绪标注数据，不是精神疾病队列。</x:v>
      </x:c>
      <x:c r="E120" s="156" t="str">
        <x:v>数据集说明/论文与本轮临床队列规则</x:v>
      </x:c>
    </x:row>
    <x:row r="121">
      <x:c r="A121" s="45" t="str">
        <x:v>EEG-0096</x:v>
      </x:c>
      <x:c r="B121" s="81" t="str">
        <x:v>小类目录</x:v>
      </x:c>
      <x:c r="C121" s="81" t="str">
        <x:v>Emotion</x:v>
      </x:c>
      <x:c r="D121" s="81" t="str">
        <x:v>实时情绪标注数据，不是精神疾病队列。</x:v>
      </x:c>
      <x:c r="E121" s="46" t="str">
        <x:v>数据集说明/论文与本轮临床队列规则</x:v>
      </x:c>
    </x:row>
    <x:row r="122">
      <x:c r="A122" s="51" t="str">
        <x:v>EEG-0097</x:v>
      </x:c>
      <x:c r="B122" s="155" t="str">
        <x:v>大类目录</x:v>
      </x:c>
      <x:c r="C122" s="155" t="str">
        <x:v>04_Cognition_and_Emotion</x:v>
      </x:c>
      <x:c r="D122" s="155" t="str">
        <x:v>动物/工具语义想象解码，不是疾病队列。</x:v>
      </x:c>
      <x:c r="E122" s="156" t="str">
        <x:v>数据集说明/论文与本轮临床队列规则</x:v>
      </x:c>
    </x:row>
    <x:row r="123">
      <x:c r="A123" s="45" t="str">
        <x:v>EEG-0097</x:v>
      </x:c>
      <x:c r="B123" s="81" t="str">
        <x:v>小类目录</x:v>
      </x:c>
      <x:c r="C123" s="81" t="str">
        <x:v>Language_and_Semantics</x:v>
      </x:c>
      <x:c r="D123" s="81" t="str">
        <x:v>动物/工具语义想象解码，不是疾病队列。</x:v>
      </x:c>
      <x:c r="E123" s="46" t="str">
        <x:v>数据集说明/论文与本轮临床队列规则</x:v>
      </x:c>
    </x:row>
    <x:row r="124">
      <x:c r="A124" s="51" t="str">
        <x:v>EEG-0101</x:v>
      </x:c>
      <x:c r="B124" s="155" t="str">
        <x:v>大类目录</x:v>
      </x:c>
      <x:c r="C124" s="155" t="str">
        <x:v>04_Cognition_and_Emotion</x:v>
      </x:c>
      <x:c r="D124" s="155" t="str">
        <x:v>视觉诱发电位数据；已下载树中还缺 EEG 文件，且不是疾病队列。</x:v>
      </x:c>
      <x:c r="E124" s="156" t="str">
        <x:v>数据集说明/论文与本轮临床队列规则</x:v>
      </x:c>
    </x:row>
    <x:row r="125">
      <x:c r="A125" s="45" t="str">
        <x:v>EEG-0101</x:v>
      </x:c>
      <x:c r="B125" s="81" t="str">
        <x:v>小类目录</x:v>
      </x:c>
      <x:c r="C125" s="81" t="str">
        <x:v>Visual_Perception</x:v>
      </x:c>
      <x:c r="D125" s="81" t="str">
        <x:v>视觉诱发电位数据；已下载树中还缺 EEG 文件，且不是疾病队列。</x:v>
      </x:c>
      <x:c r="E125" s="46" t="str">
        <x:v>数据集说明/论文与本轮临床队列规则</x:v>
      </x:c>
    </x:row>
    <x:row r="126">
      <x:c r="A126" s="51" t="str">
        <x:v>EEG-0519</x:v>
      </x:c>
      <x:c r="B126" s="155" t="str">
        <x:v>大类目录</x:v>
      </x:c>
      <x:c r="C126" s="155" t="str">
        <x:v>08_Health_and_Population</x:v>
      </x:c>
      <x:c r="D126" s="155" t="str">
        <x:v>CHBMP 是健康成人规范数据库。</x:v>
      </x:c>
      <x:c r="E126" s="156" t="str">
        <x:v>数据集说明/论文与本轮临床队列规则</x:v>
      </x:c>
    </x:row>
    <x:row r="127">
      <x:c r="A127" s="45" t="str">
        <x:v>EEG-0519</x:v>
      </x:c>
      <x:c r="B127" s="81" t="str">
        <x:v>小类目录</x:v>
      </x:c>
      <x:c r="C127" s="81" t="str">
        <x:v>Lifespan_and_Normative</x:v>
      </x:c>
      <x:c r="D127" s="81" t="str">
        <x:v>CHBMP 是健康成人规范数据库。</x:v>
      </x:c>
      <x:c r="E127" s="46" t="str">
        <x:v>数据集说明/论文与本轮临床队列规则</x:v>
      </x:c>
    </x:row>
    <x:row r="128">
      <x:c r="A128" s="51" t="str">
        <x:v>EEG-0520</x:v>
      </x:c>
      <x:c r="B128" s="155" t="str">
        <x:v>大类目录</x:v>
      </x:c>
      <x:c r="C128" s="155" t="str">
        <x:v>08_Health_and_Population</x:v>
      </x:c>
      <x:c r="D128" s="155" t="str">
        <x:v>婴儿首年发育/规范性 EEG。</x:v>
      </x:c>
      <x:c r="E128" s="156" t="str">
        <x:v>数据集说明/论文与本轮临床队列规则</x:v>
      </x:c>
    </x:row>
    <x:row r="129">
      <x:c r="A129" s="45" t="str">
        <x:v>EEG-0520</x:v>
      </x:c>
      <x:c r="B129" s="81" t="str">
        <x:v>小类目录</x:v>
      </x:c>
      <x:c r="C129" s="81" t="str">
        <x:v>Lifespan_and_Normative</x:v>
      </x:c>
      <x:c r="D129" s="81" t="str">
        <x:v>婴儿首年发育/规范性 EEG。</x:v>
      </x:c>
      <x:c r="E129" s="46" t="str">
        <x:v>数据集说明/论文与本轮临床队列规则</x:v>
      </x:c>
    </x:row>
    <x:row r="130">
      <x:c r="A130" s="51" t="str">
        <x:v>EEG-0521</x:v>
      </x:c>
      <x:c r="B130" s="155" t="str">
        <x:v>大类目录</x:v>
      </x:c>
      <x:c r="C130" s="155" t="str">
        <x:v>08_Health_and_Population</x:v>
      </x:c>
      <x:c r="D130" s="155" t="str">
        <x:v>健康老年步行/移动 EEG。</x:v>
      </x:c>
      <x:c r="E130" s="156" t="str">
        <x:v>数据集说明/论文与本轮临床队列规则</x:v>
      </x:c>
    </x:row>
    <x:row r="131">
      <x:c r="A131" s="45" t="str">
        <x:v>EEG-0521</x:v>
      </x:c>
      <x:c r="B131" s="81" t="str">
        <x:v>小类目录</x:v>
      </x:c>
      <x:c r="C131" s="81" t="str">
        <x:v>Lifespan_and_Normative</x:v>
      </x:c>
      <x:c r="D131" s="81" t="str">
        <x:v>健康老年步行/移动 EEG。</x:v>
      </x:c>
      <x:c r="E131" s="46" t="str">
        <x:v>数据集说明/论文与本轮临床队列规则</x:v>
      </x:c>
    </x:row>
    <x:row r="132">
      <x:c r="A132" s="51" t="str">
        <x:v>EEG-0522</x:v>
      </x:c>
      <x:c r="B132" s="155" t="str">
        <x:v>大类目录</x:v>
      </x:c>
      <x:c r="C132" s="155" t="str">
        <x:v>08_Health_and_Population</x:v>
      </x:c>
      <x:c r="D132" s="155" t="str">
        <x:v>MIPDB 是健康发育数据库。</x:v>
      </x:c>
      <x:c r="E132" s="156" t="str">
        <x:v>数据集说明/论文与本轮临床队列规则</x:v>
      </x:c>
    </x:row>
    <x:row r="133">
      <x:c r="A133" s="45" t="str">
        <x:v>EEG-0522</x:v>
      </x:c>
      <x:c r="B133" s="81" t="str">
        <x:v>小类目录</x:v>
      </x:c>
      <x:c r="C133" s="81" t="str">
        <x:v>Lifespan_and_Normative</x:v>
      </x:c>
      <x:c r="D133" s="81" t="str">
        <x:v>MIPDB 是健康发育数据库。</x:v>
      </x:c>
      <x:c r="E133" s="46" t="str">
        <x:v>数据集说明/论文与本轮临床队列规则</x:v>
      </x:c>
    </x:row>
    <x:row r="134">
      <x:c r="A134" s="51" t="str">
        <x:v>EEG-0524</x:v>
      </x:c>
      <x:c r="B134" s="155" t="str">
        <x:v>大类目录</x:v>
      </x:c>
      <x:c r="C134" s="155" t="str">
        <x:v>07_General-purpose</x:v>
      </x:c>
      <x:c r="D134" s="155" t="str">
        <x:v>身份识别/脑纹基准，不属于疾病或医疗队列。</x:v>
      </x:c>
      <x:c r="E134" s="156" t="str">
        <x:v>数据集说明/论文与本轮临床队列规则</x:v>
      </x:c>
    </x:row>
    <x:row r="135">
      <x:c r="A135" s="45" t="str">
        <x:v>EEG-0524</x:v>
      </x:c>
      <x:c r="B135" s="81" t="str">
        <x:v>小类目录</x:v>
      </x:c>
      <x:c r="C135" s="81" t="str">
        <x:v>Biometrics_and_Identity</x:v>
      </x:c>
      <x:c r="D135" s="81" t="str">
        <x:v>身份识别/脑纹基准，不属于疾病或医疗队列。</x:v>
      </x:c>
      <x:c r="E135" s="46" t="str">
        <x:v>数据集说明/论文与本轮临床队列规则</x:v>
      </x:c>
    </x:row>
    <x:row r="136">
      <x:c r="A136" s="51" t="str">
        <x:v>EEG-0345</x:v>
      </x:c>
      <x:c r="B136" s="155" t="str">
        <x:v>大类目录</x:v>
      </x:c>
      <x:c r="C136" s="155" t="str">
        <x:v>08_Health_and_Population</x:v>
      </x:c>
      <x:c r="D136" s="155" t="str">
        <x:v>HBN 是儿童青少年健康与精神健康表型队列。</x:v>
      </x:c>
      <x:c r="E136" s="156" t="str">
        <x:v>数据集说明/论文与本轮临床队列规则</x:v>
      </x:c>
    </x:row>
    <x:row r="137">
      <x:c r="A137" s="45" t="str">
        <x:v>EEG-0345</x:v>
      </x:c>
      <x:c r="B137" s="81" t="str">
        <x:v>小类目录</x:v>
      </x:c>
      <x:c r="C137" s="81" t="str">
        <x:v>Developmental_Clinical_Cohort</x:v>
      </x:c>
      <x:c r="D137" s="81" t="str">
        <x:v>HBN 是儿童青少年健康与精神健康表型队列。</x:v>
      </x:c>
      <x:c r="E137" s="46" t="str">
        <x:v>数据集说明/论文与本轮临床队列规则</x:v>
      </x:c>
    </x:row>
    <x:row r="138">
      <x:c r="A138" s="51" t="str">
        <x:v>EEG-0493</x:v>
      </x:c>
      <x:c r="B138" s="155" t="str">
        <x:v>大类目录</x:v>
      </x:c>
      <x:c r="C138" s="155" t="str">
        <x:v>02_Healthcare_and_Disease</x:v>
      </x:c>
      <x:c r="D138" s="155" t="str">
        <x:v>ADSZ 含阿尔茨海默病和精神分裂症病例。</x:v>
      </x:c>
      <x:c r="E138" s="156" t="str">
        <x:v>数据集说明/论文与本轮临床队列规则</x:v>
      </x:c>
    </x:row>
    <x:row r="139">
      <x:c r="A139" s="45" t="str">
        <x:v>EEG-0493</x:v>
      </x:c>
      <x:c r="B139" s="81" t="str">
        <x:v>小类目录</x:v>
      </x:c>
      <x:c r="C139" s="81" t="str">
        <x:v>Cross_Diagnostic_Clinical</x:v>
      </x:c>
      <x:c r="D139" s="81" t="str">
        <x:v>ADSZ 含阿尔茨海默病和精神分裂症病例。</x:v>
      </x:c>
      <x:c r="E139" s="46" t="str">
        <x:v>数据集说明/论文与本轮临床队列规则</x:v>
      </x:c>
    </x:row>
    <x:row r="140">
      <x:c r="A140" s="51" t="str">
        <x:v>EEG-0064</x:v>
      </x:c>
      <x:c r="B140" s="155" t="str">
        <x:v>规范数据集名称</x:v>
      </x:c>
      <x:c r="C140" s="155" t="str">
        <x:v>bigP3BCI</x:v>
      </x:c>
      <x:c r="D140" s="155" t="str">
        <x:v>原名称把大型 P300 BCI 汇编误写成单一 ALS 眼动拼写数据。</x:v>
      </x:c>
      <x:c r="E140" s="156" t="str">
        <x:v>PhysioNet bigP3BCI v1.0.0</x:v>
      </x:c>
    </x:row>
    <x:row r="141">
      <x:c r="A141" s="45" t="str">
        <x:v>EEG-0064</x:v>
      </x:c>
      <x:c r="B141" s="81" t="str">
        <x:v>受试者数</x:v>
      </x:c>
      <x:c r="C141" s="81" t="str">
        <x:v>336 个 study-participant 条目（20 项研究表内合计；跨研究唯一人数未声明）</x:v>
      </x:c>
      <x:c r="D141" s="81" t="str">
        <x:v>不能把研究内条目数当作全局唯一受试者。</x:v>
      </x:c>
      <x:c r="E141" s="46" t="str">
        <x:v>PhysioNet bigP3BCI Table 1</x:v>
      </x:c>
    </x:row>
    <x:row r="142">
      <x:c r="A142" s="51" t="str">
        <x:v>EEG-0064</x:v>
      </x:c>
      <x:c r="B142" s="155" t="str">
        <x:v>稳定标识（DOI/OpenNeuro/BNCI/仓库ID）</x:v>
      </x:c>
      <x:c r="C142" s="155" t="str">
        <x:v>PhysioNet:bigp3bci:v1.0.0 | DOI:10.13026/0byy-ry86</x:v>
      </x:c>
      <x:c r="D142" s="155" t="str">
        <x:v>补官方稳定标识。</x:v>
      </x:c>
      <x:c r="E142" s="156" t="str">
        <x:v>PhysioNet</x:v>
      </x:c>
    </x:row>
    <x:row r="143">
      <x:c r="A143" s="45" t="str">
        <x:v>EEG-0064</x:v>
      </x:c>
      <x:c r="B143" s="81" t="str">
        <x:v>下载/申请入口</x:v>
      </x:c>
      <x:c r="C143" s="81" t="str">
        <x:v>https://physionet.org/content/bigp3bci/1.0.0/</x:v>
      </x:c>
      <x:c r="D143" s="81" t="str">
        <x:v>改为官方入口。</x:v>
      </x:c>
      <x:c r="E143" s="46" t="str">
        <x:v>PhysioNet</x:v>
      </x:c>
    </x:row>
    <x:row r="144">
      <x:c r="A144" s="51" t="str">
        <x:v>EEG-0065</x:v>
      </x:c>
      <x:c r="B144" s="155" t="str">
        <x:v>受试者数</x:v>
      </x:c>
      <x:c r="C144" s="155" t="str">
        <x:v>176（6 ALS + 170 healthy）</x:v>
      </x:c>
      <x:c r="D144" s="155" t="str">
        <x:v>Scientific Data 数据描述给出的总数是 176，不是 178。</x:v>
      </x:c>
      <x:c r="E144" s="156" t="str">
        <x:v>PMC11193709 / Scientific Data</x:v>
      </x:c>
    </x:row>
    <x:row r="145">
      <x:c r="A145" s="45" t="str">
        <x:v>EEG-0086</x:v>
      </x:c>
      <x:c r="B145" s="81" t="str">
        <x:v>受试者数</x:v>
      </x:c>
      <x:c r="C145" s="81" t="str">
        <x:v>2,056 个含原始 PSG/EEG 的参与者（父睡眠检查 2,237 人）</x:v>
      </x:c>
      <x:c r="D145" s="81" t="str">
        <x:v>按实际可用原始 PSG 文件口径。</x:v>
      </x:c>
      <x:c r="E145" s="46" t="str">
        <x:v>NSRR MESA polysomnography introduction</x:v>
      </x:c>
    </x:row>
    <x:row r="146">
      <x:c r="A146" s="51" t="str">
        <x:v>EEG-0126</x:v>
      </x:c>
      <x:c r="B146" s="155" t="str">
        <x:v>受试者数</x:v>
      </x:c>
      <x:c r="C146" s="155" t="str">
        <x:v>343 个含原始 PSG/EEG 的参与者</x:v>
      </x:c>
      <x:c r="D146" s="155" t="str">
        <x:v>原表 373 不是当前原始 PSG 文件口径。</x:v>
      </x:c>
      <x:c r="E146" s="156" t="str">
        <x:v>NSRR HomePAP polysomnography introduction</x:v>
      </x:c>
    </x:row>
    <x:row r="147">
      <x:c r="A147" s="45" t="str">
        <x:v>EEG-0135</x:v>
      </x:c>
      <x:c r="B147" s="81" t="str">
        <x:v>受试者数</x:v>
      </x:c>
      <x:c r="C147" s="81" t="str">
        <x:v>2,907（Visit 1）；1,026 为重复随访 Visit 2，不相加为唯一人数</x:v>
      </x:c>
      <x:c r="D147" s="81" t="str">
        <x:v>区分基线唯一参与者与重复随访。</x:v>
      </x:c>
      <x:c r="E147" s="46" t="str">
        <x:v>NSRR MrOS polysomnography introduction</x:v>
      </x:c>
    </x:row>
    <x:row r="148">
      <x:c r="A148" s="51" t="str">
        <x:v>EEG-0142</x:v>
      </x:c>
      <x:c r="B148" s="155" t="str">
        <x:v>受试者数</x:v>
      </x:c>
      <x:c r="C148" s="155" t="str">
        <x:v>5,793（Visit 1）；2,651 为重复随访 Visit 2，不相加为唯一人数</x:v>
      </x:c>
      <x:c r="D148" s="155" t="str">
        <x:v>区分基线唯一参与者与重复随访。</x:v>
      </x:c>
      <x:c r="E148" s="156" t="str">
        <x:v>NSRR SHHS polysomnography introduction</x:v>
      </x:c>
    </x:row>
    <x:row r="149">
      <x:c r="A149" s="45" t="str">
        <x:v>EEG-0050</x:v>
      </x:c>
      <x:c r="B149" s="81" t="str">
        <x:v>Raw/Processed</x:v>
      </x:c>
      <x:c r="C149" s="81" t="str">
        <x:v>下载内容仅含眼动/瞳孔数据；未发现 EEG 信号</x:v>
      </x:c>
      <x:c r="D149" s="81" t="str">
        <x:v>服务器文件审计未发现 EEG，应从原始 EEG 总量中排除。</x:v>
      </x:c>
      <x:c r="E149" s="46" t="str">
        <x:v>2026-07-31 下载审计</x:v>
      </x:c>
    </x:row>
    <x:row r="150">
      <x:c r="A150" s="52" t="str">
        <x:v>EEG-0101</x:v>
      </x:c>
      <x:c r="B150" s="157" t="str">
        <x:v>核验结论</x:v>
      </x:c>
      <x:c r="C150" s="157" t="str">
        <x:v>视觉 ERP 项目；当前已下载树未发现 EEG 记录，且不属于疾病类</x:v>
      </x:c>
      <x:c r="D150" s="157" t="str">
        <x:v>分类与下载内容同时纠正。</x:v>
      </x:c>
      <x:c r="E150" s="158" t="str">
        <x:v>2026-07-31 下载审计</x:v>
      </x:c>
    </x:row>
  </x:sheetData>
  <x:pageMargins left="0.7" right="0.7" top="0.75" bottom="0.75" header="0.3" footer="0.3"/>
  <x:tableParts count="1">
    <x:tablePart xmlns:r="http://schemas.openxmlformats.org/officeDocument/2006/relationships" r:id="R5c70153de447469b"/>
  </x:tableParts>
</x:worksheet>
</file>

<file path=xl/worksheets/sheet12.xml><?xml version="1.0" encoding="utf-8"?>
<x:worksheet xmlns:x="http://schemas.openxmlformats.org/spreadsheetml/2006/main">
  <x:sheetFormatPr defaultRowHeight="15"/>
  <x:cols>
    <x:col min="1" max="1" width="13" hidden="0" customWidth="1"/>
    <x:col min="2" max="2" width="18" hidden="0" customWidth="1"/>
    <x:col min="3" max="3" width="38" hidden="0" customWidth="1"/>
    <x:col min="4" max="4" width="16" hidden="0" customWidth="1"/>
    <x:col min="5" max="5" width="18" hidden="0" customWidth="1"/>
    <x:col min="6" max="6" width="16" hidden="0" customWidth="1"/>
    <x:col min="7" max="7" width="17" hidden="0" customWidth="1"/>
    <x:col min="8" max="8" width="27" hidden="0" customWidth="1"/>
    <x:col min="9" max="9" width="58" hidden="0" customWidth="1"/>
  </x:cols>
  <x:sheetData>
    <x:row r="1" ht="34" customHeight="1">
      <x:c r="A1" s="165" t="str">
        <x:v>已下载与预计规模复核（raw EEG 主口径）</x:v>
      </x:c>
      <x:c r="B1" s="165"/>
      <x:c r="C1" s="165"/>
      <x:c r="D1" s="165"/>
      <x:c r="E1" s="165"/>
      <x:c r="F1" s="165"/>
      <x:c r="G1" s="165"/>
      <x:c r="H1" s="165"/>
    </x:row>
    <x:row r="3" ht="32" customHeight="1">
      <x:c r="A3" s="109" t="str">
        <x:v>指标</x:v>
      </x:c>
      <x:c r="B3" s="110" t="str">
        <x:v>疾病/临床</x:v>
      </x:c>
      <x:c r="C3" s="110" t="str">
        <x:v>健康/人群</x:v>
      </x:c>
      <x:c r="D3" s="110" t="str">
        <x:v>合计</x:v>
      </x:c>
      <x:c r="E3" s="111" t="str">
        <x:v>说明</x:v>
      </x:c>
    </x:row>
    <x:row r="4">
      <x:c r="A4" s="130" t="str">
        <x:v>当前 raw EEG 单元</x:v>
      </x:c>
      <x:c r="B4" s="131" t="n">
        <x:v>53</x:v>
      </x:c>
      <x:c r="C4" s="131" t="n">
        <x:v>4</x:v>
      </x:c>
      <x:c r="D4" s="131" t="n">
        <x:v>57</x:v>
      </x:c>
      <x:c r="E4" s="132" t="str">
        <x:v>TUH 子集与 TUEG 父库不重复相加</x:v>
      </x:c>
    </x:row>
    <x:row r="5">
      <x:c r="A5" s="45" t="str">
        <x:v>当前受试者行计数</x:v>
      </x:c>
      <x:c r="B5" s="81" t="n">
        <x:v>21818</x:v>
      </x:c>
      <x:c r="C5" s="81" t="n">
        <x:v>332</x:v>
      </x:c>
      <x:c r="D5" s="81" t="n">
        <x:v>22150</x:v>
      </x:c>
      <x:c r="E5" s="46" t="str">
        <x:v>不是跨独立数据集的全球唯一人数</x:v>
      </x:c>
    </x:row>
    <x:row r="6">
      <x:c r="A6" s="133" t="str">
        <x:v>当前 raw EEG 时长(h)</x:v>
      </x:c>
      <x:c r="B6" s="166" t="n">
        <x:v>43396.3433622311</x:v>
      </x:c>
      <x:c r="C6" s="166" t="n">
        <x:v>231.47570455555547</x:v>
      </x:c>
      <x:c r="D6" s="166" t="n">
        <x:v>43627.81906678666</x:v>
      </x:c>
      <x:c r="E6" s="68" t="str">
        <x:v>文件/容器审计；TUEG 时长为发布统计口径</x:v>
      </x:c>
    </x:row>
    <x:row r="7">
      <x:c r="A7" s="45" t="str">
        <x:v>新增计划受试者行计数</x:v>
      </x:c>
      <x:c r="B7" s="167" t="n">
        <x:v>3511</x:v>
      </x:c>
      <x:c r="C7" s="167" t="n">
        <x:v>16572</x:v>
      </x:c>
      <x:c r="D7" s="167" t="n">
        <x:v>20083</x:v>
      </x:c>
      <x:c r="E7" s="46" t="str">
        <x:v>11 个新增数据集；MNC 为约数</x:v>
      </x:c>
    </x:row>
    <x:row r="8">
      <x:c r="A8" s="133" t="str">
        <x:v>新增可文献核验时长(h)</x:v>
      </x:c>
      <x:c r="B8" s="166" t="n">
        <x:v>116</x:v>
      </x:c>
      <x:c r="C8" s="166" t="n">
        <x:v>22</x:v>
      </x:c>
      <x:c r="D8" s="166" t="n">
        <x:v>138</x:v>
      </x:c>
      <x:c r="E8" s="68" t="str">
        <x:v>仅 EEG-Bench 4 项有总时长；其余不估算</x:v>
      </x:c>
    </x:row>
    <x:row r="9">
      <x:c r="A9" s="45" t="str">
        <x:v>预计受试者行计数</x:v>
      </x:c>
      <x:c r="B9" s="167" t="n">
        <x:v>25329</x:v>
      </x:c>
      <x:c r="C9" s="167" t="n">
        <x:v>16904</x:v>
      </x:c>
      <x:c r="D9" s="167" t="n">
        <x:v>42233</x:v>
      </x:c>
      <x:c r="E9" s="46" t="str">
        <x:v>当前 raw + 11 新增</x:v>
      </x:c>
    </x:row>
    <x:row r="10">
      <x:c r="A10" s="133" t="str">
        <x:v>预计总时长下界(h)</x:v>
      </x:c>
      <x:c r="B10" s="166" t="n">
        <x:v>43512.3433622311</x:v>
      </x:c>
      <x:c r="C10" s="166" t="n">
        <x:v>253.47570455555547</x:v>
      </x:c>
      <x:c r="D10" s="166" t="n">
        <x:v>43765.81906678666</x:v>
      </x:c>
      <x:c r="E10" s="68" t="str">
        <x:v>真实值更高；未知 PSG 总时长按 0 加入下界</x:v>
      </x:c>
    </x:row>
    <x:row r="11">
      <x:c r="A11" s="45" t="str">
        <x:v>直接观察受试者下界</x:v>
      </x:c>
      <x:c r="B11" s="81"/>
      <x:c r="C11" s="81"/>
      <x:c r="D11" s="81" t="n">
        <x:v>21132</x:v>
      </x:c>
      <x:c r="E11" s="46" t="str">
        <x:v>49/57 行有直接观察人数；其余用目录/论文，TUEG 用发布人数</x:v>
      </x:c>
    </x:row>
    <x:row r="12">
      <x:c r="A12" s="133" t="str">
        <x:v>processed-only 单列</x:v>
      </x:c>
      <x:c r="B12" s="134"/>
      <x:c r="C12" s="134"/>
      <x:c r="D12" s="134" t="str">
        <x:v>80 / 88.9 h</x:v>
      </x:c>
      <x:c r="E12" s="68" t="str">
        <x:v>BEED 仅有 processed features/protocol；不计入 raw EEG 主指标。</x:v>
      </x:c>
    </x:row>
    <x:row r="13">
      <x:c r="A13" s="47" t="str">
        <x:v>无 EEG signal 排除</x:v>
      </x:c>
      <x:c r="B13" s="82"/>
      <x:c r="C13" s="82"/>
      <x:c r="D13" s="82" t="str">
        <x:v>EEG-0050、EEG-0101</x:v>
      </x:c>
      <x:c r="E13" s="48" t="str">
        <x:v>当前下载内容未发现 EEG signal。</x:v>
      </x:c>
    </x:row>
    <x:row r="16" ht="32" customHeight="1">
      <x:c r="A16" s="179" t="str">
        <x:v>ID</x:v>
      </x:c>
      <x:c r="B16" s="180" t="str">
        <x:v>队列属性</x:v>
      </x:c>
      <x:c r="C16" s="180" t="str">
        <x:v>数据集</x:v>
      </x:c>
      <x:c r="D16" s="180" t="str">
        <x:v>计入 raw 总量</x:v>
      </x:c>
      <x:c r="E16" s="180" t="str">
        <x:v>受试者行计数</x:v>
      </x:c>
      <x:c r="F16" s="180" t="str">
        <x:v>直接观察人数</x:v>
      </x:c>
      <x:c r="G16" s="180" t="str">
        <x:v>raw 时长(h)</x:v>
      </x:c>
      <x:c r="H16" s="180" t="str">
        <x:v>时长证据</x:v>
      </x:c>
      <x:c r="I16" s="181" t="str">
        <x:v>下载复核说明</x:v>
      </x:c>
    </x:row>
    <x:row r="17">
      <x:c r="A17" s="118" t="str">
        <x:v>EEG-0005</x:v>
      </x:c>
      <x:c r="B17" s="119" t="str">
        <x:v>疾病/临床</x:v>
      </x:c>
      <x:c r="C17" s="119" t="str">
        <x:v>A dataset of neonatal EEG recordings with seizure annotations</x:v>
      </x:c>
      <x:c r="D17" s="119" t="str">
        <x:v>计入</x:v>
      </x:c>
      <x:c r="E17" s="119" t="n">
        <x:v>79</x:v>
      </x:c>
      <x:c r="F17" s="119"/>
      <x:c r="G17" s="119" t="n">
        <x:v>111.89583333333333</x:v>
      </x:c>
      <x:c r="H17" s="119" t="str">
        <x:v>ACTUAL_DOWNLOADED_SCOPE_PARTIAL</x:v>
      </x:c>
      <x:c r="I17" s="120" t="str">
        <x:v>2026-07-31 文件级审计确认 EEG signal present</x:v>
      </x:c>
    </x:row>
    <x:row r="18">
      <x:c r="A18" s="182" t="str">
        <x:v>EEG-0006</x:v>
      </x:c>
      <x:c r="B18" s="183" t="str">
        <x:v>疾病/临床</x:v>
      </x:c>
      <x:c r="C18" s="183" t="str">
        <x:v>American Epilepsy Society Seizure Prediction Challenge</x:v>
      </x:c>
      <x:c r="D18" s="183" t="str">
        <x:v>计入</x:v>
      </x:c>
      <x:c r="E18" s="183" t="n">
        <x:v>7</x:v>
      </x:c>
      <x:c r="F18" s="183" t="n">
        <x:v>7</x:v>
      </x:c>
      <x:c r="G18" s="183" t="n">
        <x:v>1333.6666666666667</x:v>
      </x:c>
      <x:c r="H18" s="183" t="str">
        <x:v>ACTUAL_DOWNLOADED_SCOPE_EXACT</x:v>
      </x:c>
      <x:c r="I18" s="184" t="str">
        <x:v>2026-07-31 文件级审计确认 EEG signal present</x:v>
      </x:c>
    </x:row>
    <x:row r="19">
      <x:c r="A19" s="185" t="str">
        <x:v>EEG-0007</x:v>
      </x:c>
      <x:c r="B19" s="186" t="str">
        <x:v>疾病/临床</x:v>
      </x:c>
      <x:c r="C19" s="186" t="str">
        <x:v>BEED</x:v>
      </x:c>
      <x:c r="D19" s="186" t="str">
        <x:v>排除/单列</x:v>
      </x:c>
      <x:c r="E19" s="186" t="n">
        <x:v>80</x:v>
      </x:c>
      <x:c r="F19" s="186"/>
      <x:c r="G19" s="186"/>
      <x:c r="H19" s="186" t="str">
        <x:v>DOCUMENTED_PROTOCOL</x:v>
      </x:c>
      <x:c r="I19" s="187" t="str">
        <x:v>已下载 processed features；无可复核 raw EEG</x:v>
      </x:c>
    </x:row>
    <x:row r="20">
      <x:c r="A20" s="182" t="str">
        <x:v>EEG-0008</x:v>
      </x:c>
      <x:c r="B20" s="183" t="str">
        <x:v>疾病/临床</x:v>
      </x:c>
      <x:c r="C20" s="183" t="str">
        <x:v>Bonn EEG Seizure Dataset</x:v>
      </x:c>
      <x:c r="D20" s="183" t="str">
        <x:v>计入</x:v>
      </x:c>
      <x:c r="E20" s="183" t="n">
        <x:v>10</x:v>
      </x:c>
      <x:c r="F20" s="183" t="n">
        <x:v>10</x:v>
      </x:c>
      <x:c r="G20" s="183" t="n">
        <x:v>3.277620976774251</x:v>
      </x:c>
      <x:c r="H20" s="183" t="str">
        <x:v>ACTUAL_DOWNLOADED_SCOPE_EXACT</x:v>
      </x:c>
      <x:c r="I20" s="184" t="str">
        <x:v>2026-07-31 文件级审计确认 EEG signal present</x:v>
      </x:c>
    </x:row>
    <x:row r="21">
      <x:c r="A21" s="45" t="str">
        <x:v>EEG-0009</x:v>
      </x:c>
      <x:c r="B21" s="81" t="str">
        <x:v>疾病/临床</x:v>
      </x:c>
      <x:c r="C21" s="81" t="str">
        <x:v>CHB-MIT</x:v>
      </x:c>
      <x:c r="D21" s="81" t="str">
        <x:v>计入</x:v>
      </x:c>
      <x:c r="E21" s="81" t="n">
        <x:v>24</x:v>
      </x:c>
      <x:c r="F21" s="81" t="n">
        <x:v>24</x:v>
      </x:c>
      <x:c r="G21" s="81" t="n">
        <x:v>982.9352777777777</x:v>
      </x:c>
      <x:c r="H21" s="81" t="str">
        <x:v>ACTUAL_DOWNLOADED_SCOPE_EXACT</x:v>
      </x:c>
      <x:c r="I21" s="46" t="str">
        <x:v>2026-07-31 文件级审计确认 EEG signal present</x:v>
      </x:c>
    </x:row>
    <x:row r="22">
      <x:c r="A22" s="182" t="str">
        <x:v>EEG-0010</x:v>
      </x:c>
      <x:c r="B22" s="183" t="str">
        <x:v>疾病/临床</x:v>
      </x:c>
      <x:c r="C22" s="183" t="str">
        <x:v>Criteria for defining interictal epileptiform discharges in EEG: a clinical validation study</x:v>
      </x:c>
      <x:c r="D22" s="183" t="str">
        <x:v>计入</x:v>
      </x:c>
      <x:c r="E22" s="183" t="n">
        <x:v>100</x:v>
      </x:c>
      <x:c r="F22" s="183"/>
      <x:c r="G22" s="183" t="n">
        <x:v>0.35083333333333333</x:v>
      </x:c>
      <x:c r="H22" s="183" t="str">
        <x:v>ACTUAL_DOWNLOADED_SCOPE_EXACT</x:v>
      </x:c>
      <x:c r="I22" s="184" t="str">
        <x:v>2026-07-31 文件级审计确认 EEG signal present</x:v>
      </x:c>
    </x:row>
    <x:row r="23">
      <x:c r="A23" s="45" t="str">
        <x:v>EEG-0013</x:v>
      </x:c>
      <x:c r="B23" s="81" t="str">
        <x:v>疾病/临床</x:v>
      </x:c>
      <x:c r="C23" s="81" t="str">
        <x:v>HFO (High-Frequency Oscillations)</x:v>
      </x:c>
      <x:c r="D23" s="81" t="str">
        <x:v>计入</x:v>
      </x:c>
      <x:c r="E23" s="81" t="n">
        <x:v>30</x:v>
      </x:c>
      <x:c r="F23" s="81" t="n">
        <x:v>30</x:v>
      </x:c>
      <x:c r="G23" s="81" t="n">
        <x:v>89.00694444444444</x:v>
      </x:c>
      <x:c r="H23" s="81" t="str">
        <x:v>ACTUAL_DOWNLOADED_SCOPE_EXACT</x:v>
      </x:c>
      <x:c r="I23" s="46" t="str">
        <x:v>2026-07-31 文件级审计确认 EEG signal present</x:v>
      </x:c>
    </x:row>
    <x:row r="24">
      <x:c r="A24" s="182" t="str">
        <x:v>EEG-0014</x:v>
      </x:c>
      <x:c r="B24" s="183" t="str">
        <x:v>疾病/临床</x:v>
      </x:c>
      <x:c r="C24" s="183" t="str">
        <x:v>HMS Harmful Brain Activity Classification</x:v>
      </x:c>
      <x:c r="D24" s="183" t="str">
        <x:v>计入</x:v>
      </x:c>
      <x:c r="E24" s="183" t="n">
        <x:v>1951</x:v>
      </x:c>
      <x:c r="F24" s="183" t="n">
        <x:v>1951</x:v>
      </x:c>
      <x:c r="G24" s="183" t="n">
        <x:v>390.16</x:v>
      </x:c>
      <x:c r="H24" s="183" t="str">
        <x:v>ACTUAL_DOWNLOADED_SCOPE_EXACT</x:v>
      </x:c>
      <x:c r="I24" s="184" t="str">
        <x:v>2026-07-31 文件级审计确认 EEG signal present</x:v>
      </x:c>
    </x:row>
    <x:row r="25">
      <x:c r="A25" s="45" t="str">
        <x:v>EEG-0015</x:v>
      </x:c>
      <x:c r="B25" s="81" t="str">
        <x:v>疾病/临床</x:v>
      </x:c>
      <x:c r="C25" s="81" t="str">
        <x:v>HUP iEEG Epilepsy Dataset</x:v>
      </x:c>
      <x:c r="D25" s="81" t="str">
        <x:v>计入</x:v>
      </x:c>
      <x:c r="E25" s="81" t="n">
        <x:v>58</x:v>
      </x:c>
      <x:c r="F25" s="81" t="n">
        <x:v>58</x:v>
      </x:c>
      <x:c r="G25" s="81" t="n">
        <x:v>49.769444444444446</x:v>
      </x:c>
      <x:c r="H25" s="81" t="str">
        <x:v>ACTUAL_DOWNLOADED_SCOPE_EXACT</x:v>
      </x:c>
      <x:c r="I25" s="46" t="str">
        <x:v>2026-07-31 文件级审计确认 EEG signal present</x:v>
      </x:c>
    </x:row>
    <x:row r="26">
      <x:c r="A26" s="182" t="str">
        <x:v>EEG-0016</x:v>
      </x:c>
      <x:c r="B26" s="183" t="str">
        <x:v>疾病/临床</x:v>
      </x:c>
      <x:c r="C26" s="183" t="str">
        <x:v>vEpiSet (Interictal Epileptiform Discharge EEG Dataset)</x:v>
      </x:c>
      <x:c r="D26" s="183" t="str">
        <x:v>计入</x:v>
      </x:c>
      <x:c r="E26" s="183" t="n">
        <x:v>84</x:v>
      </x:c>
      <x:c r="F26" s="183" t="n">
        <x:v>84</x:v>
      </x:c>
      <x:c r="G26" s="183" t="n">
        <x:v>28.241666666666667</x:v>
      </x:c>
      <x:c r="H26" s="183" t="str">
        <x:v>ACTUAL_DOWNLOADED_SCOPE_EXACT</x:v>
      </x:c>
      <x:c r="I26" s="184" t="str">
        <x:v>2026-07-31 文件级审计确认 EEG signal present</x:v>
      </x:c>
    </x:row>
    <x:row r="27">
      <x:c r="A27" s="45" t="str">
        <x:v>EEG-0017</x:v>
      </x:c>
      <x:c r="B27" s="81" t="str">
        <x:v>疾病/临床</x:v>
      </x:c>
      <x:c r="C27" s="81" t="str">
        <x:v>Intracranial entrainment reveals statistical learning across levels of abstraction</x:v>
      </x:c>
      <x:c r="D27" s="81" t="str">
        <x:v>计入</x:v>
      </x:c>
      <x:c r="E27" s="81" t="n">
        <x:v>8</x:v>
      </x:c>
      <x:c r="F27" s="81" t="n">
        <x:v>8</x:v>
      </x:c>
      <x:c r="G27" s="81" t="n">
        <x:v>1.2263498263888888</x:v>
      </x:c>
      <x:c r="H27" s="81" t="str">
        <x:v>ACTUAL_DOWNLOADED_SCOPE_EXACT</x:v>
      </x:c>
      <x:c r="I27" s="46" t="str">
        <x:v>2026-07-31 文件级审计确认 EEG signal present</x:v>
      </x:c>
    </x:row>
    <x:row r="28">
      <x:c r="A28" s="182" t="str">
        <x:v>EEG-0018</x:v>
      </x:c>
      <x:c r="B28" s="183" t="str">
        <x:v>疾病/临床</x:v>
      </x:c>
      <x:c r="C28" s="183" t="str">
        <x:v>Kaggle UPenn and Mayo Clinic Seizure Detection</x:v>
      </x:c>
      <x:c r="D28" s="183" t="str">
        <x:v>计入</x:v>
      </x:c>
      <x:c r="E28" s="183" t="n">
        <x:v>12</x:v>
      </x:c>
      <x:c r="F28" s="183" t="n">
        <x:v>12</x:v>
      </x:c>
      <x:c r="G28" s="183" t="n">
        <x:v>16.350194145529045</x:v>
      </x:c>
      <x:c r="H28" s="183" t="str">
        <x:v>ACTUAL_DOWNLOADED_SCOPE_EXACT</x:v>
      </x:c>
      <x:c r="I28" s="184" t="str">
        <x:v>2026-07-31 文件级审计确认 EEG signal present</x:v>
      </x:c>
    </x:row>
    <x:row r="29">
      <x:c r="A29" s="45" t="str">
        <x:v>EEG-0030</x:v>
      </x:c>
      <x:c r="B29" s="81" t="str">
        <x:v>疾病/临床</x:v>
      </x:c>
      <x:c r="C29" s="81" t="str">
        <x:v>OpenNeuro ds003029 Epilepsy iEEG Multicenter</x:v>
      </x:c>
      <x:c r="D29" s="81" t="str">
        <x:v>计入</x:v>
      </x:c>
      <x:c r="E29" s="81" t="n">
        <x:v>35</x:v>
      </x:c>
      <x:c r="F29" s="81" t="n">
        <x:v>35</x:v>
      </x:c>
      <x:c r="G29" s="81" t="n">
        <x:v>7.958339006721048</x:v>
      </x:c>
      <x:c r="H29" s="81" t="str">
        <x:v>ACTUAL_DOWNLOADED_SCOPE_EXACT</x:v>
      </x:c>
      <x:c r="I29" s="46" t="str">
        <x:v>2026-07-31 文件级审计确认 EEG signal present</x:v>
      </x:c>
    </x:row>
    <x:row r="30">
      <x:c r="A30" s="182" t="str">
        <x:v>EEG-0031</x:v>
      </x:c>
      <x:c r="B30" s="183" t="str">
        <x:v>疾病/临床</x:v>
      </x:c>
      <x:c r="C30" s="183" t="str">
        <x:v>SeizeIT2</x:v>
      </x:c>
      <x:c r="D30" s="183" t="str">
        <x:v>计入</x:v>
      </x:c>
      <x:c r="E30" s="183" t="n">
        <x:v>125</x:v>
      </x:c>
      <x:c r="F30" s="183" t="n">
        <x:v>125</x:v>
      </x:c>
      <x:c r="G30" s="183" t="n">
        <x:v>11626.24888888889</x:v>
      </x:c>
      <x:c r="H30" s="183" t="str">
        <x:v>ACTUAL_DOWNLOADED_SCOPE_EXACT</x:v>
      </x:c>
      <x:c r="I30" s="184" t="str">
        <x:v>2026-07-31 文件级审计确认 EEG signal present</x:v>
      </x:c>
    </x:row>
    <x:row r="31">
      <x:c r="A31" s="45" t="str">
        <x:v>EEG-0032</x:v>
      </x:c>
      <x:c r="B31" s="81" t="str">
        <x:v>疾病/临床</x:v>
      </x:c>
      <x:c r="C31" s="81" t="str">
        <x:v>Siena Scalp EEG</x:v>
      </x:c>
      <x:c r="D31" s="81" t="str">
        <x:v>计入</x:v>
      </x:c>
      <x:c r="E31" s="81" t="n">
        <x:v>14</x:v>
      </x:c>
      <x:c r="F31" s="81" t="n">
        <x:v>14</x:v>
      </x:c>
      <x:c r="G31" s="81" t="n">
        <x:v>141.02055555555555</x:v>
      </x:c>
      <x:c r="H31" s="81" t="str">
        <x:v>ACTUAL_DOWNLOADED_SCOPE_EXACT</x:v>
      </x:c>
      <x:c r="I31" s="46" t="str">
        <x:v>2026-07-31 文件级审计确认 EEG signal present</x:v>
      </x:c>
    </x:row>
    <x:row r="32">
      <x:c r="A32" s="185" t="str">
        <x:v>EEG-0033</x:v>
      </x:c>
      <x:c r="B32" s="186" t="str">
        <x:v>疾病/临床</x:v>
      </x:c>
      <x:c r="C32" s="186" t="str">
        <x:v>TUEP (TUH Epilepsy)</x:v>
      </x:c>
      <x:c r="D32" s="186" t="str">
        <x:v>排除/单列</x:v>
      </x:c>
      <x:c r="E32" s="186" t="n">
        <x:v>200</x:v>
      </x:c>
      <x:c r="F32" s="186" t="n">
        <x:v>200</x:v>
      </x:c>
      <x:c r="G32" s="186" t="n">
        <x:v>626.7663888888889</x:v>
      </x:c>
      <x:c r="H32" s="186" t="str">
        <x:v>ACTUAL_DOWNLOADED_SCOPE_EXACT</x:v>
      </x:c>
      <x:c r="I32" s="187" t="str">
        <x:v>已下载，但与 TUEG 父库重叠；总量不重复相加</x:v>
      </x:c>
    </x:row>
    <x:row r="33">
      <x:c r="A33" s="185" t="str">
        <x:v>EEG-0034</x:v>
      </x:c>
      <x:c r="B33" s="186" t="str">
        <x:v>疾病/临床</x:v>
      </x:c>
      <x:c r="C33" s="186" t="str">
        <x:v>TUEV (TUH Events)</x:v>
      </x:c>
      <x:c r="D33" s="186" t="str">
        <x:v>排除/单列</x:v>
      </x:c>
      <x:c r="E33" s="186" t="n">
        <x:v>370</x:v>
      </x:c>
      <x:c r="F33" s="186" t="n">
        <x:v>370</x:v>
      </x:c>
      <x:c r="G33" s="186" t="n">
        <x:v>148.7447222222222</x:v>
      </x:c>
      <x:c r="H33" s="186" t="str">
        <x:v>ACTUAL_DOWNLOADED_SCOPE_EXACT</x:v>
      </x:c>
      <x:c r="I33" s="187" t="str">
        <x:v>已下载，但与 TUEG 父库重叠；总量不重复相加</x:v>
      </x:c>
    </x:row>
    <x:row r="34">
      <x:c r="A34" s="185" t="str">
        <x:v>EEG-0035</x:v>
      </x:c>
      <x:c r="B34" s="186" t="str">
        <x:v>疾病/临床</x:v>
      </x:c>
      <x:c r="C34" s="186" t="str">
        <x:v>TUSL (TUH Slowing)</x:v>
      </x:c>
      <x:c r="D34" s="186" t="str">
        <x:v>排除/单列</x:v>
      </x:c>
      <x:c r="E34" s="186" t="n">
        <x:v>38</x:v>
      </x:c>
      <x:c r="F34" s="186" t="n">
        <x:v>38</x:v>
      </x:c>
      <x:c r="G34" s="186" t="n">
        <x:v>27.59638888888889</x:v>
      </x:c>
      <x:c r="H34" s="186" t="str">
        <x:v>ACTUAL_DOWNLOADED_SCOPE_EXACT</x:v>
      </x:c>
      <x:c r="I34" s="187" t="str">
        <x:v>已下载，但与 TUEG 父库重叠；总量不重复相加</x:v>
      </x:c>
    </x:row>
    <x:row r="35">
      <x:c r="A35" s="185" t="str">
        <x:v>EEG-0036</x:v>
      </x:c>
      <x:c r="B35" s="186" t="str">
        <x:v>疾病/临床</x:v>
      </x:c>
      <x:c r="C35" s="186" t="str">
        <x:v>TUSZ (TUH Seizure)</x:v>
      </x:c>
      <x:c r="D35" s="186" t="str">
        <x:v>排除/单列</x:v>
      </x:c>
      <x:c r="E35" s="186" t="n">
        <x:v>675</x:v>
      </x:c>
      <x:c r="F35" s="186" t="n">
        <x:v>675</x:v>
      </x:c>
      <x:c r="G35" s="186" t="n">
        <x:v>1474.7872222222222</x:v>
      </x:c>
      <x:c r="H35" s="186" t="str">
        <x:v>ACTUAL_DOWNLOADED_SCOPE_EXACT</x:v>
      </x:c>
      <x:c r="I35" s="187" t="str">
        <x:v>已下载，但与 TUEG 父库重叠；总量不重复相加</x:v>
      </x:c>
    </x:row>
    <x:row r="36">
      <x:c r="A36" s="182" t="str">
        <x:v>EEG-0039</x:v>
      </x:c>
      <x:c r="B36" s="183" t="str">
        <x:v>疾病/临床</x:v>
      </x:c>
      <x:c r="C36" s="183" t="str">
        <x:v>AD-Auditory</x:v>
      </x:c>
      <x:c r="D36" s="183" t="str">
        <x:v>计入</x:v>
      </x:c>
      <x:c r="E36" s="183" t="n">
        <x:v>35</x:v>
      </x:c>
      <x:c r="F36" s="183" t="n">
        <x:v>35</x:v>
      </x:c>
      <x:c r="G36" s="183" t="n">
        <x:v>5.2027777777777775</x:v>
      </x:c>
      <x:c r="H36" s="183" t="str">
        <x:v>ACTUAL_DOWNLOADED_SCOPE_EXACT</x:v>
      </x:c>
      <x:c r="I36" s="184" t="str">
        <x:v>2026-07-31 文件级审计确认 EEG signal present</x:v>
      </x:c>
    </x:row>
    <x:row r="37">
      <x:c r="A37" s="45" t="str">
        <x:v>EEG-0040</x:v>
      </x:c>
      <x:c r="B37" s="81" t="str">
        <x:v>疾病/临床</x:v>
      </x:c>
      <x:c r="C37" s="81" t="str">
        <x:v>AD65 (Alzheimer/FTD)</x:v>
      </x:c>
      <x:c r="D37" s="81" t="str">
        <x:v>计入</x:v>
      </x:c>
      <x:c r="E37" s="81" t="n">
        <x:v>88</x:v>
      </x:c>
      <x:c r="F37" s="81" t="n">
        <x:v>88</x:v>
      </x:c>
      <x:c r="G37" s="81" t="n">
        <x:v>39.00595000000006</x:v>
      </x:c>
      <x:c r="H37" s="81" t="str">
        <x:v>ACTUAL_DOWNLOADED_SCOPE_EXACT</x:v>
      </x:c>
      <x:c r="I37" s="46" t="str">
        <x:v>2026-07-31 文件级审计确认 EEG signal present</x:v>
      </x:c>
    </x:row>
    <x:row r="38">
      <x:c r="A38" s="182" t="str">
        <x:v>EEG-0041</x:v>
      </x:c>
      <x:c r="B38" s="183" t="str">
        <x:v>疾病/临床</x:v>
      </x:c>
      <x:c r="C38" s="183" t="str">
        <x:v>Alzheimer Risk Classification Sample-enrichment EEG</x:v>
      </x:c>
      <x:c r="D38" s="183" t="str">
        <x:v>计入</x:v>
      </x:c>
      <x:c r="E38" s="183" t="n">
        <x:v>138</x:v>
      </x:c>
      <x:c r="F38" s="183" t="n">
        <x:v>138</x:v>
      </x:c>
      <x:c r="G38" s="183" t="n">
        <x:v>3.9115555555555552</x:v>
      </x:c>
      <x:c r="H38" s="183" t="str">
        <x:v>ACTUAL_DOWNLOADED_SCOPE_EXACT</x:v>
      </x:c>
      <x:c r="I38" s="184" t="str">
        <x:v>2026-07-31 文件级审计确认 EEG signal present</x:v>
      </x:c>
    </x:row>
    <x:row r="39">
      <x:c r="A39" s="45" t="str">
        <x:v>EEG-0042</x:v>
      </x:c>
      <x:c r="B39" s="81" t="str">
        <x:v>疾病/临床</x:v>
      </x:c>
      <x:c r="C39" s="81" t="str">
        <x:v>APAVA</x:v>
      </x:c>
      <x:c r="D39" s="81" t="str">
        <x:v>计入</x:v>
      </x:c>
      <x:c r="E39" s="81" t="n">
        <x:v>23</x:v>
      </x:c>
      <x:c r="F39" s="81" t="n">
        <x:v>23</x:v>
      </x:c>
      <x:c r="G39" s="81" t="n">
        <x:v>0.9208333333333333</x:v>
      </x:c>
      <x:c r="H39" s="81" t="str">
        <x:v>ACTUAL_DOWNLOADED_SCOPE_EXACT</x:v>
      </x:c>
      <x:c r="I39" s="46" t="str">
        <x:v>2026-07-31 文件级审计确认 EEG signal present</x:v>
      </x:c>
    </x:row>
    <x:row r="40">
      <x:c r="A40" s="182" t="str">
        <x:v>EEG-0044</x:v>
      </x:c>
      <x:c r="B40" s="183" t="str">
        <x:v>疾病/临床</x:v>
      </x:c>
      <x:c r="C40" s="183" t="str">
        <x:v>Dementia Photo-stimulation Open-eyes EEG</x:v>
      </x:c>
      <x:c r="D40" s="183" t="str">
        <x:v>计入</x:v>
      </x:c>
      <x:c r="E40" s="183" t="n">
        <x:v>88</x:v>
      </x:c>
      <x:c r="F40" s="183" t="n">
        <x:v>88</x:v>
      </x:c>
      <x:c r="G40" s="183" t="n">
        <x:v>14.963480000000004</x:v>
      </x:c>
      <x:c r="H40" s="183" t="str">
        <x:v>ACTUAL_DOWNLOADED_SCOPE_EXACT</x:v>
      </x:c>
      <x:c r="I40" s="184" t="str">
        <x:v>2026-07-31 文件级审计确认 EEG signal present</x:v>
      </x:c>
    </x:row>
    <x:row r="41">
      <x:c r="A41" s="45" t="str">
        <x:v>EEG-0045</x:v>
      </x:c>
      <x:c r="B41" s="81" t="str">
        <x:v>疾病/临床</x:v>
      </x:c>
      <x:c r="C41" s="81" t="str">
        <x:v>EEG p-adic quantum potential accurately identifies depression, schizophrenia and cognitive decline</x:v>
      </x:c>
      <x:c r="D41" s="81" t="str">
        <x:v>计入</x:v>
      </x:c>
      <x:c r="E41" s="81" t="n">
        <x:v>230</x:v>
      </x:c>
      <x:c r="F41" s="81" t="n">
        <x:v>230</x:v>
      </x:c>
      <x:c r="G41" s="81" t="n">
        <x:v>84.29973722222223</x:v>
      </x:c>
      <x:c r="H41" s="81" t="str">
        <x:v>ACTUAL_DOWNLOADED_SCOPE_EXACT</x:v>
      </x:c>
      <x:c r="I41" s="46" t="str">
        <x:v>2026-07-31 文件级审计确认 EEG signal present</x:v>
      </x:c>
    </x:row>
    <x:row r="42">
      <x:c r="A42" s="182" t="str">
        <x:v>EEG-0047</x:v>
      </x:c>
      <x:c r="B42" s="183" t="str">
        <x:v>疾病/临床</x:v>
      </x:c>
      <x:c r="C42" s="183" t="str">
        <x:v>Resting-state high-density EEG using EGI GES 300 for healthy elders, SCD, MCI and Alzheimer's disease</x:v>
      </x:c>
      <x:c r="D42" s="183" t="str">
        <x:v>计入</x:v>
      </x:c>
      <x:c r="E42" s="183" t="n">
        <x:v>230</x:v>
      </x:c>
      <x:c r="F42" s="183" t="n">
        <x:v>4</x:v>
      </x:c>
      <x:c r="G42" s="183" t="n">
        <x:v>1.5</x:v>
      </x:c>
      <x:c r="H42" s="183" t="str">
        <x:v>ACTUAL_DOWNLOADED_SCOPE_EXACT</x:v>
      </x:c>
      <x:c r="I42" s="184" t="str">
        <x:v>2026-07-31 文件级审计确认 EEG signal present</x:v>
      </x:c>
    </x:row>
    <x:row r="43">
      <x:c r="A43" s="45" t="str">
        <x:v>EEG-0048</x:v>
      </x:c>
      <x:c r="B43" s="81" t="str">
        <x:v>疾病/临床</x:v>
      </x:c>
      <x:c r="C43" s="81" t="str">
        <x:v>Adult ADHD EEG</x:v>
      </x:c>
      <x:c r="D43" s="81" t="str">
        <x:v>计入</x:v>
      </x:c>
      <x:c r="E43" s="81" t="n">
        <x:v>79</x:v>
      </x:c>
      <x:c r="F43" s="81" t="n">
        <x:v>79</x:v>
      </x:c>
      <x:c r="G43" s="81" t="n">
        <x:v>7.111111111111111</x:v>
      </x:c>
      <x:c r="H43" s="81" t="str">
        <x:v>ACTUAL_DOWNLOADED_SCOPE_EXACT</x:v>
      </x:c>
      <x:c r="I43" s="46" t="str">
        <x:v>2026-07-31 文件级审计确认 EEG signal present</x:v>
      </x:c>
    </x:row>
    <x:row r="44">
      <x:c r="A44" s="185" t="str">
        <x:v>EEG-0050</x:v>
      </x:c>
      <x:c r="B44" s="186" t="str">
        <x:v>疾病/临床</x:v>
      </x:c>
      <x:c r="C44" s="186" t="str">
        <x:v>Autism Detection Dataset</x:v>
      </x:c>
      <x:c r="D44" s="186" t="str">
        <x:v>排除/单列</x:v>
      </x:c>
      <x:c r="E44" s="186" t="n">
        <x:v>75</x:v>
      </x:c>
      <x:c r="F44" s="186"/>
      <x:c r="G44" s="186"/>
      <x:c r="H44" s="186" t="str">
        <x:v>NO_EEG_SIGNAL_IN_DOWNLOAD</x:v>
      </x:c>
      <x:c r="I44" s="187" t="str">
        <x:v>已下载内容未发现 EEG 信号；从 raw EEG 总量排除</x:v>
      </x:c>
    </x:row>
    <x:row r="45">
      <x:c r="A45" s="45" t="str">
        <x:v>EEG-0052</x:v>
      </x:c>
      <x:c r="B45" s="81" t="str">
        <x:v>疾病/临床</x:v>
      </x:c>
      <x:c r="C45" s="81" t="str">
        <x:v>Depression resting (BDI)</x:v>
      </x:c>
      <x:c r="D45" s="81" t="str">
        <x:v>计入</x:v>
      </x:c>
      <x:c r="E45" s="81" t="n">
        <x:v>122</x:v>
      </x:c>
      <x:c r="F45" s="81" t="n">
        <x:v>122</x:v>
      </x:c>
      <x:c r="G45" s="81" t="n">
        <x:v>23.359657777777795</x:v>
      </x:c>
      <x:c r="H45" s="81" t="str">
        <x:v>ACTUAL_DOWNLOADED_SCOPE_EXACT</x:v>
      </x:c>
      <x:c r="I45" s="46" t="str">
        <x:v>2026-07-31 文件级审计确认 EEG signal present</x:v>
      </x:c>
    </x:row>
    <x:row r="46">
      <x:c r="A46" s="182" t="str">
        <x:v>EEG-0054</x:v>
      </x:c>
      <x:c r="B46" s="183" t="str">
        <x:v>疾病/临床</x:v>
      </x:c>
      <x:c r="C46" s="183" t="str">
        <x:v>EEG in schizophrenia</x:v>
      </x:c>
      <x:c r="D46" s="183" t="str">
        <x:v>计入</x:v>
      </x:c>
      <x:c r="E46" s="183" t="n">
        <x:v>28</x:v>
      </x:c>
      <x:c r="F46" s="183"/>
      <x:c r="G46" s="183" t="n">
        <x:v>8.0175</x:v>
      </x:c>
      <x:c r="H46" s="183" t="str">
        <x:v>ACTUAL_DOWNLOADED_SCOPE_EXACT</x:v>
      </x:c>
      <x:c r="I46" s="184" t="str">
        <x:v>2026-07-31 文件级审计确认 EEG signal present</x:v>
      </x:c>
    </x:row>
    <x:row r="47">
      <x:c r="A47" s="45" t="str">
        <x:v>EEG-0055</x:v>
      </x:c>
      <x:c r="B47" s="81" t="str">
        <x:v>疾病/临床</x:v>
      </x:c>
      <x:c r="C47" s="81" t="str">
        <x:v>FEPCR</x:v>
      </x:c>
      <x:c r="D47" s="81" t="str">
        <x:v>计入</x:v>
      </x:c>
      <x:c r="E47" s="81" t="n">
        <x:v>82</x:v>
      </x:c>
      <x:c r="F47" s="81" t="n">
        <x:v>82</x:v>
      </x:c>
      <x:c r="G47" s="81" t="n">
        <x:v>12.265277302055557</x:v>
      </x:c>
      <x:c r="H47" s="81" t="str">
        <x:v>ACTUAL_DOWNLOADED_SCOPE_EXACT</x:v>
      </x:c>
      <x:c r="I47" s="46" t="str">
        <x:v>2026-07-31 文件级审计确认 EEG signal present</x:v>
      </x:c>
    </x:row>
    <x:row r="48">
      <x:c r="A48" s="182" t="str">
        <x:v>EEG-0056</x:v>
      </x:c>
      <x:c r="B48" s="183" t="str">
        <x:v>疾病/临床</x:v>
      </x:c>
      <x:c r="C48" s="183" t="str">
        <x:v>Fribourg Ultimatum Game in Schizophrenia Study</x:v>
      </x:c>
      <x:c r="D48" s="183" t="str">
        <x:v>计入</x:v>
      </x:c>
      <x:c r="E48" s="183" t="n">
        <x:v>43</x:v>
      </x:c>
      <x:c r="F48" s="183" t="n">
        <x:v>43</x:v>
      </x:c>
      <x:c r="G48" s="183" t="n">
        <x:v>12.056666666666667</x:v>
      </x:c>
      <x:c r="H48" s="183" t="str">
        <x:v>ACTUAL_DOWNLOADED_SCOPE_PARTIAL</x:v>
      </x:c>
      <x:c r="I48" s="184" t="str">
        <x:v>2026-07-31 文件级审计确认 EEG signal present</x:v>
      </x:c>
    </x:row>
    <x:row r="49">
      <x:c r="A49" s="45" t="str">
        <x:v>EEG-0057</x:v>
      </x:c>
      <x:c r="B49" s="81" t="str">
        <x:v>疾病/临床</x:v>
      </x:c>
      <x:c r="C49" s="81" t="str">
        <x:v>MDD (Mumtaz)</x:v>
      </x:c>
      <x:c r="D49" s="81" t="str">
        <x:v>计入</x:v>
      </x:c>
      <x:c r="E49" s="81" t="n">
        <x:v>64</x:v>
      </x:c>
      <x:c r="F49" s="81"/>
      <x:c r="G49" s="81" t="n">
        <x:v>20.555833333333332</x:v>
      </x:c>
      <x:c r="H49" s="81" t="str">
        <x:v>ACTUAL_DOWNLOADED_SCOPE_EXACT</x:v>
      </x:c>
      <x:c r="I49" s="46" t="str">
        <x:v>2026-07-31 文件级审计确认 EEG signal present</x:v>
      </x:c>
    </x:row>
    <x:row r="50">
      <x:c r="A50" s="182" t="str">
        <x:v>EEG-0059</x:v>
      </x:c>
      <x:c r="B50" s="183" t="str">
        <x:v>疾病/临床</x:v>
      </x:c>
      <x:c r="C50" s="183" t="str">
        <x:v>Power Spectral Density-Based Resting-State EEG Classification of First-Episode Psychosis</x:v>
      </x:c>
      <x:c r="D50" s="183" t="str">
        <x:v>计入</x:v>
      </x:c>
      <x:c r="E50" s="183" t="n">
        <x:v>72</x:v>
      </x:c>
      <x:c r="F50" s="183" t="n">
        <x:v>72</x:v>
      </x:c>
      <x:c r="G50" s="183" t="n">
        <x:v>6.05</x:v>
      </x:c>
      <x:c r="H50" s="183" t="str">
        <x:v>ACTUAL_DOWNLOADED_SCOPE_EXACT</x:v>
      </x:c>
      <x:c r="I50" s="184" t="str">
        <x:v>2026-07-31 文件级审计确认 EEG signal present</x:v>
      </x:c>
    </x:row>
    <x:row r="51">
      <x:c r="A51" s="45" t="str">
        <x:v>EEG-0060</x:v>
      </x:c>
      <x:c r="B51" s="81" t="str">
        <x:v>疾病/临床</x:v>
      </x:c>
      <x:c r="C51" s="81" t="str">
        <x:v>Schizophrenia-81</x:v>
      </x:c>
      <x:c r="D51" s="81" t="str">
        <x:v>计入</x:v>
      </x:c>
      <x:c r="E51" s="81" t="n">
        <x:v>81</x:v>
      </x:c>
      <x:c r="F51" s="81" t="n">
        <x:v>81</x:v>
      </x:c>
      <x:c r="G51" s="81" t="n">
        <x:v>9.605833333333333</x:v>
      </x:c>
      <x:c r="H51" s="81" t="str">
        <x:v>ACTUAL_DOWNLOADED_SCOPE_EXACT</x:v>
      </x:c>
      <x:c r="I51" s="46" t="str">
        <x:v>2026-07-31 文件级审计确认 EEG signal present</x:v>
      </x:c>
    </x:row>
    <x:row r="52">
      <x:c r="A52" s="182" t="str">
        <x:v>EEG-0061</x:v>
      </x:c>
      <x:c r="B52" s="183" t="str">
        <x:v>疾病/临床</x:v>
      </x:c>
      <x:c r="C52" s="183" t="str">
        <x:v>TDBRAIN</x:v>
      </x:c>
      <x:c r="D52" s="183" t="str">
        <x:v>计入</x:v>
      </x:c>
      <x:c r="E52" s="183" t="n">
        <x:v>1464</x:v>
      </x:c>
      <x:c r="F52" s="183" t="n">
        <x:v>1464</x:v>
      </x:c>
      <x:c r="G52" s="183" t="n">
        <x:v>120.51638888888888</x:v>
      </x:c>
      <x:c r="H52" s="183" t="str">
        <x:v>ACTUAL_DOWNLOADED_SCOPE_EXACT</x:v>
      </x:c>
      <x:c r="I52" s="184" t="str">
        <x:v>2026-07-31 文件级审计确认 EEG signal present</x:v>
      </x:c>
    </x:row>
    <x:row r="53">
      <x:c r="A53" s="45" t="str">
        <x:v>EEG-0062</x:v>
      </x:c>
      <x:c r="B53" s="81" t="str">
        <x:v>疾病/临床</x:v>
      </x:c>
      <x:c r="C53" s="81" t="str">
        <x:v>Acute Mild TBI DPX Cognitive-control EEG</x:v>
      </x:c>
      <x:c r="D53" s="81" t="str">
        <x:v>计入</x:v>
      </x:c>
      <x:c r="E53" s="81" t="n">
        <x:v>91</x:v>
      </x:c>
      <x:c r="F53" s="81" t="n">
        <x:v>91</x:v>
      </x:c>
      <x:c r="G53" s="81" t="n">
        <x:v>124.27265277777778</x:v>
      </x:c>
      <x:c r="H53" s="81" t="str">
        <x:v>ACTUAL_DOWNLOADED_SCOPE_PARTIAL</x:v>
      </x:c>
      <x:c r="I53" s="46" t="str">
        <x:v>2026-07-31 文件级审计确认 EEG signal present</x:v>
      </x:c>
    </x:row>
    <x:row r="54">
      <x:c r="A54" s="182" t="str">
        <x:v>EEG-0063</x:v>
      </x:c>
      <x:c r="B54" s="183" t="str">
        <x:v>疾病/临床</x:v>
      </x:c>
      <x:c r="C54" s="183" t="str">
        <x:v>Clinical BCI Challenge WCCI 2020 (Stroke Motor Attempt)</x:v>
      </x:c>
      <x:c r="D54" s="183" t="str">
        <x:v>计入</x:v>
      </x:c>
      <x:c r="E54" s="183" t="n">
        <x:v>50</x:v>
      </x:c>
      <x:c r="F54" s="183" t="n">
        <x:v>10</x:v>
      </x:c>
      <x:c r="G54" s="183" t="n">
        <x:v>2.6666666666666665</x:v>
      </x:c>
      <x:c r="H54" s="183" t="str">
        <x:v>ACTUAL_DOWNLOADED_SCOPE_EXACT</x:v>
      </x:c>
      <x:c r="I54" s="184" t="str">
        <x:v>2026-07-31 文件级审计确认 EEG signal present</x:v>
      </x:c>
    </x:row>
    <x:row r="55">
      <x:c r="A55" s="45" t="str">
        <x:v>EEG-0064</x:v>
      </x:c>
      <x:c r="B55" s="81" t="str">
        <x:v>疾病/临床</x:v>
      </x:c>
      <x:c r="C55" s="81" t="str">
        <x:v>bigP3BCI</x:v>
      </x:c>
      <x:c r="D55" s="81" t="str">
        <x:v>计入</x:v>
      </x:c>
      <x:c r="E55" s="81" t="n">
        <x:v>178</x:v>
      </x:c>
      <x:c r="F55" s="81"/>
      <x:c r="G55" s="81" t="n">
        <x:v>267.14497044443334</x:v>
      </x:c>
      <x:c r="H55" s="81" t="str">
        <x:v>ACTUAL_DOWNLOADED_SCOPE_EXACT</x:v>
      </x:c>
      <x:c r="I55" s="46" t="str">
        <x:v>2026-07-31 文件级审计确认 EEG signal present</x:v>
      </x:c>
    </x:row>
    <x:row r="56">
      <x:c r="A56" s="182" t="str">
        <x:v>EEG-0065</x:v>
      </x:c>
      <x:c r="B56" s="183" t="str">
        <x:v>疾病/临床</x:v>
      </x:c>
      <x:c r="C56" s="183" t="str">
        <x:v>ALS-Spelling (EEG-ET)</x:v>
      </x:c>
      <x:c r="D56" s="183" t="str">
        <x:v>计入</x:v>
      </x:c>
      <x:c r="E56" s="183" t="n">
        <x:v>178</x:v>
      </x:c>
      <x:c r="F56" s="183"/>
      <x:c r="G56" s="183" t="n">
        <x:v>66.32305555555556</x:v>
      </x:c>
      <x:c r="H56" s="183" t="str">
        <x:v>ACTUAL_DOWNLOADED_SCOPE_EXACT</x:v>
      </x:c>
      <x:c r="I56" s="184" t="str">
        <x:v>2026-07-31 文件级审计确认 EEG signal present</x:v>
      </x:c>
    </x:row>
    <x:row r="57">
      <x:c r="A57" s="45" t="str">
        <x:v>EEG-0070</x:v>
      </x:c>
      <x:c r="B57" s="81" t="str">
        <x:v>疾病/临床</x:v>
      </x:c>
      <x:c r="C57" s="81" t="str">
        <x:v>BNCI 006-2014 (SCP training in stroke)</x:v>
      </x:c>
      <x:c r="D57" s="81" t="str">
        <x:v>计入</x:v>
      </x:c>
      <x:c r="E57" s="81" t="n">
        <x:v>2</x:v>
      </x:c>
      <x:c r="F57" s="81" t="n">
        <x:v>2</x:v>
      </x:c>
      <x:c r="G57" s="81" t="n">
        <x:v>21.875555555555554</x:v>
      </x:c>
      <x:c r="H57" s="81" t="str">
        <x:v>ACTUAL_DOWNLOADED_SCOPE_EXACT</x:v>
      </x:c>
      <x:c r="I57" s="46" t="str">
        <x:v>2026-07-31 文件级审计确认 EEG signal present</x:v>
      </x:c>
    </x:row>
    <x:row r="58">
      <x:c r="A58" s="182" t="str">
        <x:v>EEG-0071</x:v>
      </x:c>
      <x:c r="B58" s="183" t="str">
        <x:v>疾病/临床</x:v>
      </x:c>
      <x:c r="C58" s="183" t="str">
        <x:v>BNCI 008-2014 (P300 speller, ALS)</x:v>
      </x:c>
      <x:c r="D58" s="183" t="str">
        <x:v>计入</x:v>
      </x:c>
      <x:c r="E58" s="183" t="n">
        <x:v>8</x:v>
      </x:c>
      <x:c r="F58" s="183" t="n">
        <x:v>8</x:v>
      </x:c>
      <x:c r="G58" s="183" t="n">
        <x:v>3.018263888888889</x:v>
      </x:c>
      <x:c r="H58" s="183" t="str">
        <x:v>ACTUAL_DOWNLOADED_SCOPE_EXACT</x:v>
      </x:c>
      <x:c r="I58" s="184" t="str">
        <x:v>2026-07-31 文件级审计确认 EEG signal present</x:v>
      </x:c>
    </x:row>
    <x:row r="59">
      <x:c r="A59" s="45" t="str">
        <x:v>EEG-0074</x:v>
      </x:c>
      <x:c r="B59" s="81" t="str">
        <x:v>疾病/临床</x:v>
      </x:c>
      <x:c r="C59" s="81" t="str">
        <x:v>CCEP ECoG Dataset across age 4-51</x:v>
      </x:c>
      <x:c r="D59" s="81" t="str">
        <x:v>计入</x:v>
      </x:c>
      <x:c r="E59" s="81" t="n">
        <x:v>74</x:v>
      </x:c>
      <x:c r="F59" s="81" t="n">
        <x:v>74</x:v>
      </x:c>
      <x:c r="G59" s="81" t="n">
        <x:v>89.39102118458145</x:v>
      </x:c>
      <x:c r="H59" s="81" t="str">
        <x:v>ACTUAL_DOWNLOADED_SCOPE_EXACT</x:v>
      </x:c>
      <x:c r="I59" s="46" t="str">
        <x:v>2026-07-31 文件级审计确认 EEG signal present</x:v>
      </x:c>
    </x:row>
    <x:row r="60">
      <x:c r="A60" s="182" t="str">
        <x:v>EEG-0075</x:v>
      </x:c>
      <x:c r="B60" s="183" t="str">
        <x:v>疾病/临床</x:v>
      </x:c>
      <x:c r="C60" s="183" t="str">
        <x:v>Dataset of electrophysiological signals (EEG, ECG, EMG) during Music therapy with adult burn patients in the Intensive Care Unit.</x:v>
      </x:c>
      <x:c r="D60" s="183" t="str">
        <x:v>计入</x:v>
      </x:c>
      <x:c r="E60" s="183" t="n">
        <x:v>9</x:v>
      </x:c>
      <x:c r="F60" s="183" t="n">
        <x:v>9</x:v>
      </x:c>
      <x:c r="G60" s="183" t="n">
        <x:v>10.940555555555555</x:v>
      </x:c>
      <x:c r="H60" s="183" t="str">
        <x:v>ACTUAL_DOWNLOADED_SCOPE_PARTIAL</x:v>
      </x:c>
      <x:c r="I60" s="184" t="str">
        <x:v>2026-07-31 文件级审计确认 EEG signal present</x:v>
      </x:c>
    </x:row>
    <x:row r="61">
      <x:c r="A61" s="45" t="str">
        <x:v>EEG-0078</x:v>
      </x:c>
      <x:c r="B61" s="81" t="str">
        <x:v>疾病/临床</x:v>
      </x:c>
      <x:c r="C61" s="81" t="str">
        <x:v>EEG: 3-Stim Auditory Oddball and Rest in Parkinson’s</x:v>
      </x:c>
      <x:c r="D61" s="81" t="str">
        <x:v>计入</x:v>
      </x:c>
      <x:c r="E61" s="81" t="n">
        <x:v>50</x:v>
      </x:c>
      <x:c r="F61" s="81" t="n">
        <x:v>50</x:v>
      </x:c>
      <x:c r="G61" s="81" t="n">
        <x:v>12.759916666666669</x:v>
      </x:c>
      <x:c r="H61" s="81" t="str">
        <x:v>ACTUAL_DOWNLOADED_SCOPE_EXACT</x:v>
      </x:c>
      <x:c r="I61" s="46" t="str">
        <x:v>2026-07-31 文件级审计确认 EEG signal present</x:v>
      </x:c>
    </x:row>
    <x:row r="62">
      <x:c r="A62" s="182" t="str">
        <x:v>EEG-0079</x:v>
      </x:c>
      <x:c r="B62" s="183" t="str">
        <x:v>疾病/临床</x:v>
      </x:c>
      <x:c r="C62" s="183" t="str">
        <x:v>EEG: Reinforcement Learning in Parkinson’s</x:v>
      </x:c>
      <x:c r="D62" s="183" t="str">
        <x:v>计入</x:v>
      </x:c>
      <x:c r="E62" s="183" t="n">
        <x:v>56</x:v>
      </x:c>
      <x:c r="F62" s="183" t="n">
        <x:v>56</x:v>
      </x:c>
      <x:c r="G62" s="183" t="n">
        <x:v>35.38127777777776</x:v>
      </x:c>
      <x:c r="H62" s="183" t="str">
        <x:v>ACTUAL_DOWNLOADED_SCOPE_EXACT</x:v>
      </x:c>
      <x:c r="I62" s="184" t="str">
        <x:v>2026-07-31 文件级审计确认 EEG signal present</x:v>
      </x:c>
    </x:row>
    <x:row r="63">
      <x:c r="A63" s="45" t="str">
        <x:v>EEG-0080</x:v>
      </x:c>
      <x:c r="B63" s="81" t="str">
        <x:v>疾病/临床</x:v>
      </x:c>
      <x:c r="C63" s="81" t="str">
        <x:v>EEG: Simon Conflict in Parkinson's</x:v>
      </x:c>
      <x:c r="D63" s="81" t="str">
        <x:v>计入</x:v>
      </x:c>
      <x:c r="E63" s="81" t="n">
        <x:v>56</x:v>
      </x:c>
      <x:c r="F63" s="81" t="n">
        <x:v>56</x:v>
      </x:c>
      <x:c r="G63" s="81" t="n">
        <x:v>48.53486111111113</x:v>
      </x:c>
      <x:c r="H63" s="81" t="str">
        <x:v>ACTUAL_DOWNLOADED_SCOPE_EXACT</x:v>
      </x:c>
      <x:c r="I63" s="46" t="str">
        <x:v>2026-07-31 文件级审计确认 EEG signal present</x:v>
      </x:c>
    </x:row>
    <x:row r="64">
      <x:c r="A64" s="182" t="str">
        <x:v>EEG-0081</x:v>
      </x:c>
      <x:c r="B64" s="183" t="str">
        <x:v>疾病/临床</x:v>
      </x:c>
      <x:c r="C64" s="183" t="str">
        <x:v>EEG: Three-Stim Auditory Oddball and Rest in Acute and Chronic TBI</x:v>
      </x:c>
      <x:c r="D64" s="183" t="str">
        <x:v>计入</x:v>
      </x:c>
      <x:c r="E64" s="183" t="n">
        <x:v>96</x:v>
      </x:c>
      <x:c r="F64" s="183" t="n">
        <x:v>91</x:v>
      </x:c>
      <x:c r="G64" s="183" t="n">
        <x:v>140.79954166666658</x:v>
      </x:c>
      <x:c r="H64" s="183" t="str">
        <x:v>ACTUAL_DOWNLOADED_SCOPE_PARTIAL</x:v>
      </x:c>
      <x:c r="I64" s="184" t="str">
        <x:v>2026-07-31 文件级审计确认 EEG signal present</x:v>
      </x:c>
    </x:row>
    <x:row r="65">
      <x:c r="A65" s="45" t="str">
        <x:v>EEG-0082</x:v>
      </x:c>
      <x:c r="B65" s="81" t="str">
        <x:v>健康/人群</x:v>
      </x:c>
      <x:c r="C65" s="81" t="str">
        <x:v>Human Spinal-cord Somatosensory Evoked Potentials EEG</x:v>
      </x:c>
      <x:c r="D65" s="81" t="str">
        <x:v>计入</x:v>
      </x:c>
      <x:c r="E65" s="81" t="n">
        <x:v>40</x:v>
      </x:c>
      <x:c r="F65" s="81" t="n">
        <x:v>40</x:v>
      </x:c>
      <x:c r="G65" s="81" t="n">
        <x:v>43.48990400000004</x:v>
      </x:c>
      <x:c r="H65" s="81" t="str">
        <x:v>ACTUAL_DOWNLOADED_SCOPE_EXACT</x:v>
      </x:c>
      <x:c r="I65" s="46" t="str">
        <x:v>2026-07-31 文件级审计确认 EEG signal present</x:v>
      </x:c>
    </x:row>
    <x:row r="66">
      <x:c r="A66" s="182" t="str">
        <x:v>EEG-0083</x:v>
      </x:c>
      <x:c r="B66" s="183" t="str">
        <x:v>疾病/临床</x:v>
      </x:c>
      <x:c r="C66" s="183" t="str">
        <x:v>Intraoperative Medianus-tibialis Stimulation EEG</x:v>
      </x:c>
      <x:c r="D66" s="183" t="str">
        <x:v>计入</x:v>
      </x:c>
      <x:c r="E66" s="183" t="n">
        <x:v>18</x:v>
      </x:c>
      <x:c r="F66" s="183" t="n">
        <x:v>18</x:v>
      </x:c>
      <x:c r="G66" s="183" t="n">
        <x:v>11.763055555555555</x:v>
      </x:c>
      <x:c r="H66" s="183" t="str">
        <x:v>ACTUAL_DOWNLOADED_SCOPE_EXACT</x:v>
      </x:c>
      <x:c r="I66" s="184" t="str">
        <x:v>2026-07-31 文件级审计确认 EEG signal present</x:v>
      </x:c>
    </x:row>
    <x:row r="67">
      <x:c r="A67" s="45" t="str">
        <x:v>EEG-0084</x:v>
      </x:c>
      <x:c r="B67" s="81" t="str">
        <x:v>疾病/临床</x:v>
      </x:c>
      <x:c r="C67" s="81" t="str">
        <x:v>Liu2024</x:v>
      </x:c>
      <x:c r="D67" s="81" t="str">
        <x:v>计入</x:v>
      </x:c>
      <x:c r="E67" s="81" t="n">
        <x:v>50</x:v>
      </x:c>
      <x:c r="F67" s="81" t="n">
        <x:v>50</x:v>
      </x:c>
      <x:c r="G67" s="81" t="n">
        <x:v>4.444444444444445</x:v>
      </x:c>
      <x:c r="H67" s="81" t="str">
        <x:v>ACTUAL_DOWNLOADED_SCOPE_PARTIAL</x:v>
      </x:c>
      <x:c r="I67" s="46" t="str">
        <x:v>2026-07-31 文件级审计确认 EEG signal present</x:v>
      </x:c>
    </x:row>
    <x:row r="68">
      <x:c r="A68" s="182" t="str">
        <x:v>EEG-0085</x:v>
      </x:c>
      <x:c r="B68" s="183" t="str">
        <x:v>疾病/临床</x:v>
      </x:c>
      <x:c r="C68" s="183" t="str">
        <x:v>Lower-Limb-MI (stroke)</x:v>
      </x:c>
      <x:c r="D68" s="183" t="str">
        <x:v>计入</x:v>
      </x:c>
      <x:c r="E68" s="183" t="n">
        <x:v>27</x:v>
      </x:c>
      <x:c r="F68" s="183" t="n">
        <x:v>27</x:v>
      </x:c>
      <x:c r="G68" s="183" t="n">
        <x:v>33.448055555555555</x:v>
      </x:c>
      <x:c r="H68" s="183" t="str">
        <x:v>ACTUAL_DOWNLOADED_SCOPE_EXACT</x:v>
      </x:c>
      <x:c r="I68" s="184" t="str">
        <x:v>2026-07-31 文件级审计确认 EEG signal present</x:v>
      </x:c>
    </x:row>
    <x:row r="69">
      <x:c r="A69" s="45" t="str">
        <x:v>EEG-0087</x:v>
      </x:c>
      <x:c r="B69" s="81" t="str">
        <x:v>疾病/临床</x:v>
      </x:c>
      <x:c r="C69" s="81" t="str">
        <x:v>Ultra High-Density EEG of Interictal Migraine and Controls</x:v>
      </x:c>
      <x:c r="D69" s="81" t="str">
        <x:v>计入</x:v>
      </x:c>
      <x:c r="E69" s="81" t="n">
        <x:v>39</x:v>
      </x:c>
      <x:c r="F69" s="81" t="n">
        <x:v>39</x:v>
      </x:c>
      <x:c r="G69" s="81" t="n">
        <x:v>21.232222222222223</x:v>
      </x:c>
      <x:c r="H69" s="81" t="str">
        <x:v>ACTUAL_DOWNLOADED_SCOPE_PARTIAL</x:v>
      </x:c>
      <x:c r="I69" s="46" t="str">
        <x:v>2026-07-31 文件级审计确认 EEG signal present</x:v>
      </x:c>
    </x:row>
    <x:row r="70">
      <x:c r="A70" s="182" t="str">
        <x:v>EEG-0089</x:v>
      </x:c>
      <x:c r="B70" s="183" t="str">
        <x:v>疾病/临床</x:v>
      </x:c>
      <x:c r="C70" s="183" t="str">
        <x:v>Mu and Beta Oscillatory Changes during a motor task following Rehabilitation in Chronic MCA Stroke: Insights from EEG</x:v>
      </x:c>
      <x:c r="D70" s="183" t="str">
        <x:v>计入</x:v>
      </x:c>
      <x:c r="E70" s="183" t="n">
        <x:v>17</x:v>
      </x:c>
      <x:c r="F70" s="183"/>
      <x:c r="G70" s="183" t="n">
        <x:v>12.290877777777778</x:v>
      </x:c>
      <x:c r="H70" s="183" t="str">
        <x:v>ACTUAL_DOWNLOADED_SCOPE_PARTIAL</x:v>
      </x:c>
      <x:c r="I70" s="184" t="str">
        <x:v>2026-07-31 文件级审计确认 EEG signal present</x:v>
      </x:c>
    </x:row>
    <x:row r="71">
      <x:c r="A71" s="45" t="str">
        <x:v>EEG-0092</x:v>
      </x:c>
      <x:c r="B71" s="81" t="str">
        <x:v>疾病/临床</x:v>
      </x:c>
      <x:c r="C71" s="81" t="str">
        <x:v>PD-EEG Resting-State &amp; Walking EEG</x:v>
      </x:c>
      <x:c r="D71" s="81" t="str">
        <x:v>计入</x:v>
      </x:c>
      <x:c r="E71" s="81" t="n">
        <x:v>144</x:v>
      </x:c>
      <x:c r="F71" s="81" t="n">
        <x:v>144</x:v>
      </x:c>
      <x:c r="G71" s="81" t="n">
        <x:v>19.488683333333334</x:v>
      </x:c>
      <x:c r="H71" s="81" t="str">
        <x:v>ACTUAL_DOWNLOADED_SCOPE_EXACT</x:v>
      </x:c>
      <x:c r="I71" s="46" t="str">
        <x:v>2026-07-31 文件级审计确认 EEG signal present</x:v>
      </x:c>
    </x:row>
    <x:row r="72">
      <x:c r="A72" s="182" t="str">
        <x:v>EEG-0094</x:v>
      </x:c>
      <x:c r="B72" s="183" t="str">
        <x:v>疾病/临床</x:v>
      </x:c>
      <x:c r="C72" s="183" t="str">
        <x:v>PD31 (Parkinson)</x:v>
      </x:c>
      <x:c r="D72" s="183" t="str">
        <x:v>计入</x:v>
      </x:c>
      <x:c r="E72" s="183" t="n">
        <x:v>31</x:v>
      </x:c>
      <x:c r="F72" s="183" t="n">
        <x:v>31</x:v>
      </x:c>
      <x:c r="G72" s="183" t="n">
        <x:v>2.517777777777778</x:v>
      </x:c>
      <x:c r="H72" s="183" t="str">
        <x:v>ACTUAL_DOWNLOADED_SCOPE_EXACT</x:v>
      </x:c>
      <x:c r="I72" s="184" t="str">
        <x:v>2026-07-31 文件级审计确认 EEG signal present</x:v>
      </x:c>
    </x:row>
    <x:row r="73">
      <x:c r="A73" s="45" t="str">
        <x:v>EEG-0098</x:v>
      </x:c>
      <x:c r="B73" s="81" t="str">
        <x:v>疾病/临床</x:v>
      </x:c>
      <x:c r="C73" s="81" t="str">
        <x:v>Tinnitus Acoustic Therapy EEG Database</x:v>
      </x:c>
      <x:c r="D73" s="81" t="str">
        <x:v>计入</x:v>
      </x:c>
      <x:c r="E73" s="81" t="n">
        <x:v>89</x:v>
      </x:c>
      <x:c r="F73" s="81" t="n">
        <x:v>14</x:v>
      </x:c>
      <x:c r="G73" s="81" t="n">
        <x:v>8.41</x:v>
      </x:c>
      <x:c r="H73" s="81" t="str">
        <x:v>ACTUAL_DOWNLOADED_SCOPE_PARTIAL</x:v>
      </x:c>
      <x:c r="I73" s="46" t="str">
        <x:v>2026-07-31 文件级审计确认 EEG signal present</x:v>
      </x:c>
    </x:row>
    <x:row r="74">
      <x:c r="A74" s="182" t="str">
        <x:v>EEG-0100</x:v>
      </x:c>
      <x:c r="B74" s="183" t="str">
        <x:v>疾病/临床</x:v>
      </x:c>
      <x:c r="C74" s="183" t="str">
        <x:v>UNMDataset</x:v>
      </x:c>
      <x:c r="D74" s="183" t="str">
        <x:v>计入</x:v>
      </x:c>
      <x:c r="E74" s="183" t="n">
        <x:v>28</x:v>
      </x:c>
      <x:c r="F74" s="183"/>
      <x:c r="G74" s="183" t="n">
        <x:v>1.4660000000000002</x:v>
      </x:c>
      <x:c r="H74" s="183" t="str">
        <x:v>ACTUAL_DOWNLOADED_SCOPE_PARTIAL</x:v>
      </x:c>
      <x:c r="I74" s="184" t="str">
        <x:v>2026-07-31 文件级审计确认 EEG signal present</x:v>
      </x:c>
    </x:row>
    <x:row r="75">
      <x:c r="A75" s="185" t="str">
        <x:v>EEG-0107</x:v>
      </x:c>
      <x:c r="B75" s="186" t="str">
        <x:v>疾病/临床</x:v>
      </x:c>
      <x:c r="C75" s="186" t="str">
        <x:v>TUAB (TUH Abnormal)</x:v>
      </x:c>
      <x:c r="D75" s="186" t="str">
        <x:v>排除/单列</x:v>
      </x:c>
      <x:c r="E75" s="186" t="n">
        <x:v>2329</x:v>
      </x:c>
      <x:c r="F75" s="186" t="n">
        <x:v>2329</x:v>
      </x:c>
      <x:c r="G75" s="186" t="n">
        <x:v>1141.0022222222221</x:v>
      </x:c>
      <x:c r="H75" s="186" t="str">
        <x:v>ACTUAL_DOWNLOADED_SCOPE_EXACT</x:v>
      </x:c>
      <x:c r="I75" s="187" t="str">
        <x:v>已下载，但与 TUEG 父库重叠；总量不重复相加</x:v>
      </x:c>
    </x:row>
    <x:row r="76">
      <x:c r="A76" s="182" t="str">
        <x:v>EEG-0520</x:v>
      </x:c>
      <x:c r="B76" s="183" t="str">
        <x:v>健康/人群</x:v>
      </x:c>
      <x:c r="C76" s="183" t="str">
        <x:v>Infant First-year Resting EEG Dataset</x:v>
      </x:c>
      <x:c r="D76" s="183" t="str">
        <x:v>计入</x:v>
      </x:c>
      <x:c r="E76" s="183" t="n">
        <x:v>103</x:v>
      </x:c>
      <x:c r="F76" s="183" t="n">
        <x:v>103</x:v>
      </x:c>
      <x:c r="G76" s="183" t="n">
        <x:v>22.83888888888889</x:v>
      </x:c>
      <x:c r="H76" s="183" t="str">
        <x:v>ACTUAL_DOWNLOADED_SCOPE_EXACT</x:v>
      </x:c>
      <x:c r="I76" s="184" t="str">
        <x:v>2026-07-31 文件级审计确认 EEG signal present</x:v>
      </x:c>
    </x:row>
    <x:row r="77">
      <x:c r="A77" s="45" t="str">
        <x:v>EEG-0521</x:v>
      </x:c>
      <x:c r="B77" s="81" t="str">
        <x:v>健康/人群</x:v>
      </x:c>
      <x:c r="C77" s="81" t="str">
        <x:v>Mind in Motion Older Adults Walking EEG</x:v>
      </x:c>
      <x:c r="D77" s="81" t="str">
        <x:v>计入</x:v>
      </x:c>
      <x:c r="E77" s="81" t="n">
        <x:v>71</x:v>
      </x:c>
      <x:c r="F77" s="81" t="n">
        <x:v>71</x:v>
      </x:c>
      <x:c r="G77" s="81" t="n">
        <x:v>61.09685944444434</x:v>
      </x:c>
      <x:c r="H77" s="81" t="str">
        <x:v>ACTUAL_DOWNLOADED_SCOPE_EXACT</x:v>
      </x:c>
      <x:c r="I77" s="46" t="str">
        <x:v>2026-07-31 文件级审计确认 EEG signal present</x:v>
      </x:c>
    </x:row>
    <x:row r="78">
      <x:c r="A78" s="182" t="str">
        <x:v>EEG-0522</x:v>
      </x:c>
      <x:c r="B78" s="183" t="str">
        <x:v>健康/人群</x:v>
      </x:c>
      <x:c r="C78" s="183" t="str">
        <x:v>MIPDB</x:v>
      </x:c>
      <x:c r="D78" s="183" t="str">
        <x:v>计入</x:v>
      </x:c>
      <x:c r="E78" s="183" t="n">
        <x:v>118</x:v>
      </x:c>
      <x:c r="F78" s="183" t="n">
        <x:v>118</x:v>
      </x:c>
      <x:c r="G78" s="183" t="n">
        <x:v>104.0500522222222</x:v>
      </x:c>
      <x:c r="H78" s="183" t="str">
        <x:v>ACTUAL_DOWNLOADED_SCOPE_EXACT</x:v>
      </x:c>
      <x:c r="I78" s="184" t="str">
        <x:v>2026-07-31 文件级审计确认 EEG signal present</x:v>
      </x:c>
    </x:row>
    <x:row r="79">
      <x:c r="A79" s="45" t="str">
        <x:v>EEG-0523</x:v>
      </x:c>
      <x:c r="B79" s="81" t="str">
        <x:v>疾病/临床</x:v>
      </x:c>
      <x:c r="C79" s="81" t="str">
        <x:v>SFARI_EEG multi-paradigm dataset</x:v>
      </x:c>
      <x:c r="D79" s="81" t="str">
        <x:v>计入</x:v>
      </x:c>
      <x:c r="E79" s="81" t="n">
        <x:v>136</x:v>
      </x:c>
      <x:c r="F79" s="81" t="n">
        <x:v>136</x:v>
      </x:c>
      <x:c r="G79" s="81" t="n">
        <x:v>229.42268934461805</x:v>
      </x:c>
      <x:c r="H79" s="81" t="str">
        <x:v>ACTUAL_DOWNLOADED_SCOPE_EXACT</x:v>
      </x:c>
      <x:c r="I79" s="46" t="str">
        <x:v>2026-07-31 文件级审计确认 EEG signal present</x:v>
      </x:c>
    </x:row>
    <x:row r="80">
      <x:c r="A80" s="188" t="str">
        <x:v>EEG-0582</x:v>
      </x:c>
      <x:c r="B80" s="189" t="str">
        <x:v>疾病/临床</x:v>
      </x:c>
      <x:c r="C80" s="189" t="str">
        <x:v>TUEG (TUH EEG Corpus)</x:v>
      </x:c>
      <x:c r="D80" s="189" t="str">
        <x:v>计入</x:v>
      </x:c>
      <x:c r="E80" s="189" t="n">
        <x:v>14987</x:v>
      </x:c>
      <x:c r="F80" s="189"/>
      <x:c r="G80" s="189" t="n">
        <x:v>27077.3</x:v>
      </x:c>
      <x:c r="H80" s="189" t="str">
        <x:v>未核验</x:v>
      </x:c>
      <x:c r="I80" s="190" t="str">
        <x:v>TUEG v2.0.2 下载成功；人数/时长采用发布统计口径</x:v>
      </x:c>
    </x:row>
  </x:sheetData>
  <x:mergeCells>
    <x:mergeCell ref="A1:H1"/>
  </x:mergeCells>
  <x:pageMargins left="0.7" right="0.7" top="0.75" bottom="0.75" header="0.3" footer="0.3"/>
  <x:tableParts count="1">
    <x:tablePart xmlns:r="http://schemas.openxmlformats.org/officeDocument/2006/relationships" r:id="R919f1892253848ee"/>
  </x:tableParts>
</x:worksheet>
</file>

<file path=xl/worksheets/sheet13.xml><?xml version="1.0" encoding="utf-8"?>
<x:worksheet xmlns:x="http://schemas.openxmlformats.org/spreadsheetml/2006/main">
  <x:sheetFormatPr defaultRowHeight="15"/>
  <x:cols>
    <x:col min="1" max="1" width="29" hidden="0" customWidth="1"/>
    <x:col min="2" max="2" width="65" hidden="0" customWidth="1"/>
    <x:col min="3" max="3" width="82" hidden="0" customWidth="1"/>
  </x:cols>
  <x:sheetData>
    <x:row r="1" ht="32" customHeight="1">
      <x:c r="A1" s="149" t="str">
        <x:v>来源</x:v>
      </x:c>
      <x:c r="B1" s="150" t="str">
        <x:v>URL</x:v>
      </x:c>
      <x:c r="C1" s="151" t="str">
        <x:v>支持的结论</x:v>
      </x:c>
    </x:row>
    <x:row r="2">
      <x:c r="A2" s="152" t="str">
        <x:v>EEG-Bench paper</x:v>
      </x:c>
      <x:c r="B2" s="191" t="str">
        <x:v>https://arxiv.org/abs/2512.08959</x:v>
      </x:c>
      <x:c r="C2" s="154" t="str">
        <x:v>14 个临床 EEG 基准的 subjects/recordings/total length；用于新增 4 个未收录任务。</x:v>
      </x:c>
    </x:row>
    <x:row r="3">
      <x:c r="A3" s="45" t="str">
        <x:v>EEG-Bench repository</x:v>
      </x:c>
      <x:c r="B3" s="192" t="str">
        <x:v>https://github.com/ETH-DISCO/EEG-Bench</x:v>
      </x:c>
      <x:c r="C3" s="46" t="str">
        <x:v>访问与可复现接口；仓库不是原始数据所有者。</x:v>
      </x:c>
    </x:row>
    <x:row r="4">
      <x:c r="A4" s="51" t="str">
        <x:v>Albrecht2019 data card</x:v>
      </x:c>
      <x:c r="B4" s="193" t="str">
        <x:v>https://huggingface.co/datasets/jalauer/Albrecht2019</x:v>
      </x:c>
      <x:c r="C4" s="156" t="str">
        <x:v>78 participants, 64 channels, 1000 Hz, PDDL。</x:v>
      </x:c>
    </x:row>
    <x:row r="5">
      <x:c r="A5" s="45" t="str">
        <x:v>Gruendler2009 data card</x:v>
      </x:c>
      <x:c r="B5" s="192" t="str">
        <x:v>https://huggingface.co/datasets/jalauer/Gruendler2009</x:v>
      </x:c>
      <x:c r="C5" s="46" t="str">
        <x:v>46 undergraduates；OCI-R 高低分，不是确诊 OCD。</x:v>
      </x:c>
    </x:row>
    <x:row r="6">
      <x:c r="A6" s="51" t="str">
        <x:v>Singh2020 data card</x:v>
      </x:c>
      <x:c r="B6" s="193" t="str">
        <x:v>https://huggingface.co/datasets/jalauer/Singh2020</x:v>
      </x:c>
      <x:c r="C6" s="156" t="str">
        <x:v>39 participants, 64 channels, 500 Hz。</x:v>
      </x:c>
    </x:row>
    <x:row r="7">
      <x:c r="A7" s="45" t="str">
        <x:v>Singh2021 data card</x:v>
      </x:c>
      <x:c r="B7" s="192" t="str">
        <x:v>https://huggingface.co/datasets/jalauer/Singh2021</x:v>
      </x:c>
      <x:c r="C7" s="46" t="str">
        <x:v>83 PD + 37 controls；129 recordings。</x:v>
      </x:c>
    </x:row>
    <x:row r="8">
      <x:c r="A8" s="51" t="str">
        <x:v>HCHS/SOL official</x:v>
      </x:c>
      <x:c r="B8" s="193" t="str">
        <x:v>https://sleepdata.org/datasets/hchs/pages/polysomnography-introduction.md</x:v>
      </x:c>
      <x:c r="C8" s="156" t="str">
        <x:v>12,088 raw PSG/EEG participants。</x:v>
      </x:c>
    </x:row>
    <x:row r="9">
      <x:c r="A9" s="45" t="str">
        <x:v>HAASSA official</x:v>
      </x:c>
      <x:c r="B9" s="192" t="str">
        <x:v>https://sleepdata.org/datasets/haassa/pages/polysomnography-introduction.md</x:v>
      </x:c>
      <x:c r="C9" s="46" t="str">
        <x:v>717 raw PSG subjects。</x:v>
      </x:c>
    </x:row>
    <x:row r="10">
      <x:c r="A10" s="51" t="str">
        <x:v>ApoE official</x:v>
      </x:c>
      <x:c r="B10" s="193" t="str">
        <x:v>https://sleepdata.org/datasets/apoe</x:v>
      </x:c>
      <x:c r="C10" s="156" t="str">
        <x:v>712 EDF/EEG subjects, EEG 256 Hz。</x:v>
      </x:c>
    </x:row>
    <x:row r="11">
      <x:c r="A11" s="45" t="str">
        <x:v>nuMoM2b official</x:v>
      </x:c>
      <x:c r="B11" s="192" t="str">
        <x:v>https://sleepdata.org/datasets/numom2b/pages/polysomnography-introduction.md</x:v>
      </x:c>
      <x:c r="C11" s="46" t="str">
        <x:v>Visit 1 3,009；Visit 3 2,332 repeated follow-up。</x:v>
      </x:c>
    </x:row>
    <x:row r="12">
      <x:c r="A12" s="51" t="str">
        <x:v>MNC official</x:v>
      </x:c>
      <x:c r="B12" s="193" t="str">
        <x:v>https://sleepdata.org/datasets/mnc</x:v>
      </x:c>
      <x:c r="C12" s="156" t="str">
        <x:v>约 3,000 normal/abnormal sleep records。</x:v>
      </x:c>
    </x:row>
    <x:row r="13">
      <x:c r="A13" s="45" t="str">
        <x:v>CPS official</x:v>
      </x:c>
      <x:c r="B13" s="192" t="str">
        <x:v>https://physionet.org/content/cps-dataset-sleep/1.0.0/</x:v>
      </x:c>
      <x:c r="C13" s="46" t="str">
        <x:v>113 clinical PSG；raw EEG channels；credentialed access。</x:v>
      </x:c>
    </x:row>
    <x:row r="14">
      <x:c r="A14" s="51" t="str">
        <x:v>LOFT-HF official</x:v>
      </x:c>
      <x:c r="B14" s="193" t="str">
        <x:v>https://sleepdata.org/datasets/lofthf/pages/README.md</x:v>
      </x:c>
      <x:c r="C14" s="156" t="str">
        <x:v>161 baseline PSG participants + 31 follow-up。</x:v>
      </x:c>
    </x:row>
    <x:row r="15">
      <x:c r="A15" s="45" t="str">
        <x:v>MESA official</x:v>
      </x:c>
      <x:c r="B15" s="192" t="str">
        <x:v>https://sleepdata.org/datasets/mesa/pages/polysomnography-introduction.md</x:v>
      </x:c>
      <x:c r="C15" s="46" t="str">
        <x:v>2,056 raw PSG participants。</x:v>
      </x:c>
    </x:row>
    <x:row r="16">
      <x:c r="A16" s="51" t="str">
        <x:v>SHHS official</x:v>
      </x:c>
      <x:c r="B16" s="193" t="str">
        <x:v>https://sleepdata.org/datasets/shhs/pages/05-polysomnography-introduction.md</x:v>
      </x:c>
      <x:c r="C16" s="156" t="str">
        <x:v>5,793 Visit 1 + 2,651 Visit 2。</x:v>
      </x:c>
    </x:row>
    <x:row r="17">
      <x:c r="A17" s="45" t="str">
        <x:v>MrOS official</x:v>
      </x:c>
      <x:c r="B17" s="192" t="str">
        <x:v>https://sleepdata.org/datasets/mros/pages/polysomnography-introduction.md</x:v>
      </x:c>
      <x:c r="C17" s="46" t="str">
        <x:v>2,907 Visit 1 + 1,026 Visit 2。</x:v>
      </x:c>
    </x:row>
    <x:row r="18">
      <x:c r="A18" s="51" t="str">
        <x:v>HomePAP official</x:v>
      </x:c>
      <x:c r="B18" s="193" t="str">
        <x:v>https://sleepdata.org/datasets/homepap/pages/polysomnography-introduction.md</x:v>
      </x:c>
      <x:c r="C18" s="156" t="str">
        <x:v>343 raw PSG participants。</x:v>
      </x:c>
    </x:row>
    <x:row r="19">
      <x:c r="A19" s="45" t="str">
        <x:v>bigP3BCI official</x:v>
      </x:c>
      <x:c r="B19" s="192" t="str">
        <x:v>https://physionet.org/content/bigp3bci/1.0.0/</x:v>
      </x:c>
      <x:c r="C19" s="46" t="str">
        <x:v>20 studies；研究内 participant entries 与全局唯一人数须区分。</x:v>
      </x:c>
    </x:row>
    <x:row r="20">
      <x:c r="A20" s="52" t="str">
        <x:v>WHO depression</x:v>
      </x:c>
      <x:c r="B20" s="194" t="str">
        <x:v>https://www.who.int/news-room/fact-sheets/detail/depression</x:v>
      </x:c>
      <x:c r="C20" s="158" t="str">
        <x:v>抑郁是常见精神障碍；归疾病/临床，但普通情绪诱发任务不等同抑郁。</x:v>
      </x:c>
    </x:row>
  </x:sheetData>
  <x:pageMargins left="0.7" right="0.7" top="0.75" bottom="0.75" header="0.3" footer="0.3"/>
  <x:tableParts count="1">
    <x:tablePart xmlns:r="http://schemas.openxmlformats.org/officeDocument/2006/relationships" r:id="Ra96d73ebcea74674"/>
  </x:tableParts>
</x:worksheet>
</file>

<file path=xl/worksheets/sheet14.xml><?xml version="1.0" encoding="utf-8"?>
<x:worksheet xmlns:x="http://schemas.openxmlformats.org/spreadsheetml/2006/main">
  <x:sheetFormatPr defaultRowHeight="15"/>
  <x:cols>
    <x:col min="1" max="1" width="13" hidden="0" customWidth="1"/>
    <x:col min="2" max="2" width="18" hidden="0" customWidth="1"/>
    <x:col min="3" max="3" width="29" hidden="0" customWidth="1"/>
    <x:col min="4" max="4" width="37" hidden="0" customWidth="1"/>
    <x:col min="5" max="5" width="45" hidden="0" customWidth="1"/>
    <x:col min="6" max="6" width="34" hidden="0" customWidth="1"/>
    <x:col min="7" max="7" width="17" hidden="0" customWidth="1"/>
    <x:col min="8" max="8" width="20" hidden="0" customWidth="1"/>
    <x:col min="9" max="9" width="22" hidden="0" customWidth="1"/>
    <x:col min="10" max="10" width="44" hidden="0" customWidth="1"/>
    <x:col min="11" max="11" width="24" hidden="0" customWidth="1"/>
    <x:col min="12" max="12" width="44" hidden="0" customWidth="1"/>
    <x:col min="13" max="13" width="35" hidden="0" customWidth="1"/>
    <x:col min="14" max="14" width="10" hidden="0" customWidth="1"/>
  </x:cols>
  <x:sheetData>
    <x:row r="1" ht="32" customHeight="1">
      <x:c r="A1" s="281" t="str">
        <x:v>ID</x:v>
      </x:c>
      <x:c r="B1" s="282" t="str">
        <x:v>队列属性</x:v>
      </x:c>
      <x:c r="C1" s="282" t="str">
        <x:v>二级分类</x:v>
      </x:c>
      <x:c r="D1" s="282" t="str">
        <x:v>数据集</x:v>
      </x:c>
      <x:c r="E1" s="282" t="str">
        <x:v>任务</x:v>
      </x:c>
      <x:c r="F1" s="282" t="str">
        <x:v>受试者口径</x:v>
      </x:c>
      <x:c r="G1" s="282" t="str">
        <x:v>受试者数</x:v>
      </x:c>
      <x:c r="H1" s="282" t="str">
        <x:v>当前 raw EEG 时长(h)</x:v>
      </x:c>
      <x:c r="I1" s="282" t="str">
        <x:v>文献/最佳可用时长(h)</x:v>
      </x:c>
      <x:c r="J1" s="282" t="str">
        <x:v>当前下载复核</x:v>
      </x:c>
      <x:c r="K1" s="282" t="str">
        <x:v>访问</x:v>
      </x:c>
      <x:c r="L1" s="282" t="str">
        <x:v>入口</x:v>
      </x:c>
      <x:c r="M1" s="282" t="str">
        <x:v>稳定标识</x:v>
      </x:c>
      <x:c r="N1" s="283" t="str">
        <x:v>新增</x:v>
      </x:c>
    </x:row>
    <x:row r="2">
      <x:c r="A2" s="293" t="str">
        <x:v>EEG-0005</x:v>
      </x:c>
      <x:c r="B2" s="294" t="str">
        <x:v>疾病/临床</x:v>
      </x:c>
      <x:c r="C2" s="294" t="str">
        <x:v>Epilepsy_and_Abnormalities</x:v>
      </x:c>
      <x:c r="D2" s="294" t="str">
        <x:v>A dataset of neonatal EEG recordings with seizure annotations</x:v>
      </x:c>
      <x:c r="E2" s="294" t="str">
        <x:v>seizure annotation；neonatal seizure annotation / seizure detection</x:v>
      </x:c>
      <x:c r="F2" s="294" t="str">
        <x:v>79</x:v>
      </x:c>
      <x:c r="G2" s="294" t="n">
        <x:v>79</x:v>
      </x:c>
      <x:c r="H2" s="294" t="n">
        <x:v>111.89583333333333</x:v>
      </x:c>
      <x:c r="I2" s="294" t="n">
        <x:v>111.89583333333333</x:v>
      </x:c>
      <x:c r="J2" s="294" t="str">
        <x:v>2026-07-31 文件级审计确认 EEG signal present</x:v>
      </x:c>
      <x:c r="K2" s="294" t="str">
        <x:v>DOWNLOAD_PUBLIC</x:v>
      </x:c>
      <x:c r="L2" s="294" t="str">
        <x:v>https://zenodo.org/records/4940267</x:v>
      </x:c>
      <x:c r="M2" s="294" t="str">
        <x:v>Zenodo:4940267 | DOI:10.1038/sdata.2019.39 | Zenodo:2547147</x:v>
      </x:c>
      <x:c r="N2" s="295" t="str">
        <x:v>否</x:v>
      </x:c>
    </x:row>
    <x:row r="3">
      <x:c r="A3" s="240" t="str">
        <x:v>EEG-0006</x:v>
      </x:c>
      <x:c r="B3" s="230" t="str">
        <x:v>疾病/临床</x:v>
      </x:c>
      <x:c r="C3" s="230" t="str">
        <x:v>Epilepsy_and_Abnormalities</x:v>
      </x:c>
      <x:c r="D3" s="230" t="str">
        <x:v>American Epilepsy Society Seizure Prediction Challenge</x:v>
      </x:c>
      <x:c r="E3" s="230" t="str">
        <x:v>preictal vs interictal seizure prediction</x:v>
      </x:c>
      <x:c r="F3" s="230" t="str">
        <x:v>未给出</x:v>
      </x:c>
      <x:c r="G3" s="230" t="n">
        <x:v>7</x:v>
      </x:c>
      <x:c r="H3" s="230" t="n">
        <x:v>1333.6666666666667</x:v>
      </x:c>
      <x:c r="I3" s="230" t="n">
        <x:v>1333.6666666666667</x:v>
      </x:c>
      <x:c r="J3" s="230" t="str">
        <x:v>2026-07-31 文件级审计确认 EEG signal present</x:v>
      </x:c>
      <x:c r="K3" s="230" t="str">
        <x:v>DOWNLOAD_PUBLIC</x:v>
      </x:c>
      <x:c r="L3" s="230" t="str">
        <x:v>https://www.kaggle.com/c/seizure-prediction</x:v>
      </x:c>
      <x:c r="M3" s="230"/>
      <x:c r="N3" s="241" t="str">
        <x:v>否</x:v>
      </x:c>
    </x:row>
    <x:row r="4">
      <x:c r="A4" s="296" t="str">
        <x:v>EEG-0007</x:v>
      </x:c>
      <x:c r="B4" s="297" t="str">
        <x:v>疾病/临床</x:v>
      </x:c>
      <x:c r="C4" s="297" t="str">
        <x:v>Epilepsy_and_Abnormalities</x:v>
      </x:c>
      <x:c r="D4" s="297" t="str">
        <x:v>BEED</x:v>
      </x:c>
      <x:c r="E4" s="297" t="str">
        <x:v>epileptic seizure / interictal EEG classification</x:v>
      </x:c>
      <x:c r="F4" s="297" t="str">
        <x:v>未给出</x:v>
      </x:c>
      <x:c r="G4" s="297" t="n">
        <x:v>80</x:v>
      </x:c>
      <x:c r="H4" s="297"/>
      <x:c r="I4" s="297" t="n">
        <x:v>88.88888888888889</x:v>
      </x:c>
      <x:c r="J4" s="297" t="str">
        <x:v>已下载 processed features；无可复核 raw EEG</x:v>
      </x:c>
      <x:c r="K4" s="297" t="str">
        <x:v>DOWNLOAD_PUBLIC</x:v>
      </x:c>
      <x:c r="L4" s="297" t="str">
        <x:v>https://github.com/renan-cunha/BEED</x:v>
      </x:c>
      <x:c r="M4" s="297"/>
      <x:c r="N4" s="298" t="str">
        <x:v>否</x:v>
      </x:c>
    </x:row>
    <x:row r="5">
      <x:c r="A5" s="240" t="str">
        <x:v>EEG-0008</x:v>
      </x:c>
      <x:c r="B5" s="230" t="str">
        <x:v>疾病/临床</x:v>
      </x:c>
      <x:c r="C5" s="230" t="str">
        <x:v>Epilepsy_and_Abnormalities</x:v>
      </x:c>
      <x:c r="D5" s="230" t="str">
        <x:v>Bonn EEG Seizure Dataset</x:v>
      </x:c>
      <x:c r="E5" s="230" t="str">
        <x:v>seizure vs non-seizure / epilepsy classification；Epileptic seizure classification</x:v>
      </x:c>
      <x:c r="F5" s="230" t="str">
        <x:v>未给出</x:v>
      </x:c>
      <x:c r="G5" s="230" t="n">
        <x:v>10</x:v>
      </x:c>
      <x:c r="H5" s="230" t="n">
        <x:v>3.277620976774251</x:v>
      </x:c>
      <x:c r="I5" s="230" t="n">
        <x:v>3.277620976774251</x:v>
      </x:c>
      <x:c r="J5" s="230" t="str">
        <x:v>2026-07-31 文件级审计确认 EEG signal present</x:v>
      </x:c>
      <x:c r="K5" s="230" t="str">
        <x:v>DOWNLOAD_PUBLIC</x:v>
      </x:c>
      <x:c r="L5" s="230" t="str">
        <x:v>https://www.ukbonn.de/epileptologie/arbeitsgruppen/ag-lehnertz-neurophysik/downloads/</x:v>
      </x:c>
      <x:c r="M5" s="230"/>
      <x:c r="N5" s="241" t="str">
        <x:v>否</x:v>
      </x:c>
    </x:row>
    <x:row r="6">
      <x:c r="A6" s="296" t="str">
        <x:v>EEG-0009</x:v>
      </x:c>
      <x:c r="B6" s="297" t="str">
        <x:v>疾病/临床</x:v>
      </x:c>
      <x:c r="C6" s="297" t="str">
        <x:v>Epilepsy_and_Abnormalities</x:v>
      </x:c>
      <x:c r="D6" s="297" t="str">
        <x:v>CHB-MIT</x:v>
      </x:c>
      <x:c r="E6" s="297" t="str">
        <x:v>Seizure detection (binary); no seizure-type classification (dataset does not include seizure types)</x:v>
      </x:c>
      <x:c r="F6" s="297" t="str">
        <x:v>22 subjects (5M/17F; ages 1.5-22); 23 standard cases + chb24 (added Dec 2010)</x:v>
      </x:c>
      <x:c r="G6" s="297" t="n">
        <x:v>24</x:v>
      </x:c>
      <x:c r="H6" s="297" t="n">
        <x:v>982.9352777777777</x:v>
      </x:c>
      <x:c r="I6" s="297" t="n">
        <x:v>982.9352777777777</x:v>
      </x:c>
      <x:c r="J6" s="297" t="str">
        <x:v>2026-07-31 文件级审计确认 EEG signal present</x:v>
      </x:c>
      <x:c r="K6" s="297" t="str">
        <x:v>DOWNLOAD_PUBLIC</x:v>
      </x:c>
      <x:c r="L6" s="297" t="str">
        <x:v>https://physionet.org/content/chbmit/1.0.0/</x:v>
      </x:c>
      <x:c r="M6" s="297" t="str">
        <x:v>PhysioNet:chbmit</x:v>
      </x:c>
      <x:c r="N6" s="298" t="str">
        <x:v>否</x:v>
      </x:c>
    </x:row>
    <x:row r="7">
      <x:c r="A7" s="240" t="str">
        <x:v>EEG-0010</x:v>
      </x:c>
      <x:c r="B7" s="230" t="str">
        <x:v>疾病/临床</x:v>
      </x:c>
      <x:c r="C7" s="230" t="str">
        <x:v>Epilepsy_and_Abnormalities</x:v>
      </x:c>
      <x:c r="D7" s="230" t="str">
        <x:v>Criteria for defining interictal epileptiform discharges in EEG: a clinical validation study</x:v>
      </x:c>
      <x:c r="E7" s="230" t="str">
        <x:v>EEG interictal epileptiform discharge</x:v>
      </x:c>
      <x:c r="F7" s="230" t="str">
        <x:v>100</x:v>
      </x:c>
      <x:c r="G7" s="230" t="n">
        <x:v>100</x:v>
      </x:c>
      <x:c r="H7" s="230" t="n">
        <x:v>0.35083333333333333</x:v>
      </x:c>
      <x:c r="I7" s="230" t="n">
        <x:v>0.35083333333333333</x:v>
      </x:c>
      <x:c r="J7" s="230" t="str">
        <x:v>2026-07-31 文件级审计确认 EEG signal present</x:v>
      </x:c>
      <x:c r="K7" s="230" t="str">
        <x:v>DOWNLOAD_PUBLIC</x:v>
      </x:c>
      <x:c r="L7" s="230" t="str">
        <x:v>https://zenodo.org/records/4688758</x:v>
      </x:c>
      <x:c r="M7" s="230" t="str">
        <x:v>Zenodo:4688758 | DOI:10.1212/WNL.0000000000009439</x:v>
      </x:c>
      <x:c r="N7" s="241" t="str">
        <x:v>否</x:v>
      </x:c>
    </x:row>
    <x:row r="8">
      <x:c r="A8" s="296" t="str">
        <x:v>EEG-0011</x:v>
      </x:c>
      <x:c r="B8" s="297" t="str">
        <x:v>疾病/临床</x:v>
      </x:c>
      <x:c r="C8" s="297" t="str">
        <x:v>Epilepsy_and_Abnormalities</x:v>
      </x:c>
      <x:c r="D8" s="297" t="str">
        <x:v>EPILEPSIAE European Epilepsy Database</x:v>
      </x:c>
      <x:c r="E8" s="297" t="str">
        <x:v>seizure detection / prediction; long-term epilepsy monitoring</x:v>
      </x:c>
      <x:c r="F8" s="297" t="str">
        <x:v>未给出</x:v>
      </x:c>
      <x:c r="G8" s="297"/>
      <x:c r="H8" s="297"/>
      <x:c r="I8" s="297"/>
      <x:c r="J8" s="297" t="str">
        <x:v>未纳入现有服务器疾病目录审计</x:v>
      </x:c>
      <x:c r="K8" s="297" t="str">
        <x:v>DOWNLOAD_APPLICATION_REQUIRED</x:v>
      </x:c>
      <x:c r="L8" s="297" t="str">
        <x:v>https://www.epilepsiae.eu/</x:v>
      </x:c>
      <x:c r="M8" s="297"/>
      <x:c r="N8" s="298" t="str">
        <x:v>否</x:v>
      </x:c>
    </x:row>
    <x:row r="9">
      <x:c r="A9" s="240" t="str">
        <x:v>EEG-0012</x:v>
      </x:c>
      <x:c r="B9" s="230" t="str">
        <x:v>疾病/临床</x:v>
      </x:c>
      <x:c r="C9" s="230" t="str">
        <x:v>Epilepsy_and_Abnormalities</x:v>
      </x:c>
      <x:c r="D9" s="230" t="str">
        <x:v>Harvard EEG Database</x:v>
      </x:c>
      <x:c r="E9" s="230" t="str">
        <x:v>large-scale clinical EEG for abnormality, epilepsy, encephalopathy, prognosis</x:v>
      </x:c>
      <x:c r="F9" s="230" t="str">
        <x:v>100,000+</x:v>
      </x:c>
      <x:c r="G9" s="230"/>
      <x:c r="H9" s="230"/>
      <x:c r="I9" s="230"/>
      <x:c r="J9" s="230" t="str">
        <x:v>未纳入现有服务器疾病目录审计</x:v>
      </x:c>
      <x:c r="K9" s="230" t="str">
        <x:v>DOWNLOAD_APPLICATION_REQUIRED</x:v>
      </x:c>
      <x:c r="L9" s="230" t="str">
        <x:v>https://bdsp.io/content/harvard-eeg-db/</x:v>
      </x:c>
      <x:c r="M9" s="230"/>
      <x:c r="N9" s="241" t="str">
        <x:v>否</x:v>
      </x:c>
    </x:row>
    <x:row r="10">
      <x:c r="A10" s="296" t="str">
        <x:v>EEG-0013</x:v>
      </x:c>
      <x:c r="B10" s="297" t="str">
        <x:v>疾病/临床</x:v>
      </x:c>
      <x:c r="C10" s="297" t="str">
        <x:v>Epilepsy_and_Abnormalities</x:v>
      </x:c>
      <x:c r="D10" s="297" t="str">
        <x:v>HFO (High-Frequency Oscillations)</x:v>
      </x:c>
      <x:c r="E10" s="297" t="str">
        <x:v>Scalp HFO (ripple) detection in pediatric epilepsy</x:v>
      </x:c>
      <x:c r="F10" s="297" t="str">
        <x:v>30</x:v>
      </x:c>
      <x:c r="G10" s="297" t="n">
        <x:v>30</x:v>
      </x:c>
      <x:c r="H10" s="297" t="n">
        <x:v>89.00694444444444</x:v>
      </x:c>
      <x:c r="I10" s="297" t="n">
        <x:v>89.00694444444444</x:v>
      </x:c>
      <x:c r="J10" s="297" t="str">
        <x:v>2026-07-31 文件级审计确认 EEG signal present</x:v>
      </x:c>
      <x:c r="K10" s="297" t="str">
        <x:v>DOWNLOAD_PUBLIC</x:v>
      </x:c>
      <x:c r="L10" s="297" t="str">
        <x:v>https://openneuro.org/datasets/ds003555</x:v>
      </x:c>
      <x:c r="M10" s="297" t="str">
        <x:v>OpenNeuro:ds003555 | BNCI:256-2000</x:v>
      </x:c>
      <x:c r="N10" s="298" t="str">
        <x:v>否</x:v>
      </x:c>
    </x:row>
    <x:row r="11">
      <x:c r="A11" s="240" t="str">
        <x:v>EEG-0014</x:v>
      </x:c>
      <x:c r="B11" s="230" t="str">
        <x:v>疾病/临床</x:v>
      </x:c>
      <x:c r="C11" s="230" t="str">
        <x:v>Epilepsy_and_Abnormalities</x:v>
      </x:c>
      <x:c r="D11" s="230" t="str">
        <x:v>HMS Harmful Brain Activity Classification</x:v>
      </x:c>
      <x:c r="E11" s="230" t="str">
        <x:v>seizure / LPD / GPD / LRDA / GRDA / other</x:v>
      </x:c>
      <x:c r="F11" s="230" t="str">
        <x:v>1950</x:v>
      </x:c>
      <x:c r="G11" s="230" t="n">
        <x:v>1951</x:v>
      </x:c>
      <x:c r="H11" s="230" t="n">
        <x:v>390.16</x:v>
      </x:c>
      <x:c r="I11" s="230" t="n">
        <x:v>390.16</x:v>
      </x:c>
      <x:c r="J11" s="230" t="str">
        <x:v>2026-07-31 文件级审计确认 EEG signal present</x:v>
      </x:c>
      <x:c r="K11" s="230" t="str">
        <x:v>DOWNLOAD_APPLICATION_REQUIRED</x:v>
      </x:c>
      <x:c r="L11" s="230" t="str">
        <x:v>https://www.kaggle.com/competitions/hms-harmful-brain-activity-classification/data</x:v>
      </x:c>
      <x:c r="M11" s="230"/>
      <x:c r="N11" s="241" t="str">
        <x:v>否</x:v>
      </x:c>
    </x:row>
    <x:row r="12">
      <x:c r="A12" s="296" t="str">
        <x:v>EEG-0015</x:v>
      </x:c>
      <x:c r="B12" s="297" t="str">
        <x:v>疾病/临床</x:v>
      </x:c>
      <x:c r="C12" s="297" t="str">
        <x:v>Epilepsy_and_Abnormalities</x:v>
      </x:c>
      <x:c r="D12" s="297" t="str">
        <x:v>HUP iEEG Epilepsy Dataset</x:v>
      </x:c>
      <x:c r="E12" s="297" t="str">
        <x:v>drug-resistant epilepsy iEEG / seizure localization research</x:v>
      </x:c>
      <x:c r="F12" s="297" t="str">
        <x:v>未给出</x:v>
      </x:c>
      <x:c r="G12" s="297" t="n">
        <x:v>58</x:v>
      </x:c>
      <x:c r="H12" s="297" t="n">
        <x:v>49.769444444444446</x:v>
      </x:c>
      <x:c r="I12" s="297" t="n">
        <x:v>49.769444444444446</x:v>
      </x:c>
      <x:c r="J12" s="297" t="str">
        <x:v>2026-07-31 文件级审计确认 EEG signal present</x:v>
      </x:c>
      <x:c r="K12" s="297" t="str">
        <x:v>DOWNLOAD_PUBLIC</x:v>
      </x:c>
      <x:c r="L12" s="297" t="str">
        <x:v>https://openneuro.org/datasets/ds004100</x:v>
      </x:c>
      <x:c r="M12" s="297" t="str">
        <x:v>OpenNeuro:ds004100</x:v>
      </x:c>
      <x:c r="N12" s="298" t="str">
        <x:v>否</x:v>
      </x:c>
    </x:row>
    <x:row r="13">
      <x:c r="A13" s="240" t="str">
        <x:v>EEG-0016</x:v>
      </x:c>
      <x:c r="B13" s="230" t="str">
        <x:v>疾病/临床</x:v>
      </x:c>
      <x:c r="C13" s="230" t="str">
        <x:v>Epilepsy_and_Abnormalities</x:v>
      </x:c>
      <x:c r="D13" s="230" t="str">
        <x:v>vEpiSet (Interictal Epileptiform Discharge EEG Dataset)</x:v>
      </x:c>
      <x:c r="E13" s="230" t="str">
        <x:v>interictal epileptiform discharge detection；epilepsy event classification；spatial distribution analysis；Epilepsy (IED)；Interictal epileptiform discharge (IED) detection</x:v>
      </x:c>
      <x:c r="F13" s="230" t="str">
        <x:v>84 (52 IED + 32 normal)</x:v>
      </x:c>
      <x:c r="G13" s="230" t="n">
        <x:v>84</x:v>
      </x:c>
      <x:c r="H13" s="230" t="n">
        <x:v>28.241666666666667</x:v>
      </x:c>
      <x:c r="I13" s="230" t="n">
        <x:v>28.241666666666667</x:v>
      </x:c>
      <x:c r="J13" s="230" t="str">
        <x:v>2026-07-31 文件级审计确认 EEG signal present</x:v>
      </x:c>
      <x:c r="K13" s="230" t="str">
        <x:v>DOWNLOAD_PUBLIC</x:v>
      </x:c>
      <x:c r="L13" s="230" t="str">
        <x:v>https://springernature.figshare.com/articles/dataset/28069568</x:v>
      </x:c>
      <x:c r="M13" s="230" t="str">
        <x:v>Figshare:28069568 | DOI:10.6084/m9.figshare.28069568</x:v>
      </x:c>
      <x:c r="N13" s="241" t="str">
        <x:v>否</x:v>
      </x:c>
    </x:row>
    <x:row r="14">
      <x:c r="A14" s="296" t="str">
        <x:v>EEG-0017</x:v>
      </x:c>
      <x:c r="B14" s="297" t="str">
        <x:v>疾病/临床</x:v>
      </x:c>
      <x:c r="C14" s="297" t="str">
        <x:v>Epilepsy_and_Abnormalities</x:v>
      </x:c>
      <x:c r="D14" s="297" t="str">
        <x:v>Intracranial entrainment reveals statistical learning across levels of abstraction</x:v>
      </x:c>
      <x:c r="E14" s="297" t="str">
        <x:v>epilepsy/seizure</x:v>
      </x:c>
      <x:c r="F14" s="297" t="str">
        <x:v>8</x:v>
      </x:c>
      <x:c r="G14" s="297" t="n">
        <x:v>8</x:v>
      </x:c>
      <x:c r="H14" s="297" t="n">
        <x:v>1.2263498263888888</x:v>
      </x:c>
      <x:c r="I14" s="297" t="n">
        <x:v>1.2263498263888888</x:v>
      </x:c>
      <x:c r="J14" s="297" t="str">
        <x:v>2026-07-31 文件级审计确认 EEG signal present</x:v>
      </x:c>
      <x:c r="K14" s="297" t="str">
        <x:v>DOWNLOAD_PUBLIC</x:v>
      </x:c>
      <x:c r="L14" s="297" t="str">
        <x:v>https://zenodo.org/records/8018664</x:v>
      </x:c>
      <x:c r="M14" s="297" t="str">
        <x:v>Zenodo:8018664 | DOI:10.1162/jocn_a_02012</x:v>
      </x:c>
      <x:c r="N14" s="298" t="str">
        <x:v>否</x:v>
      </x:c>
    </x:row>
    <x:row r="15">
      <x:c r="A15" s="240" t="str">
        <x:v>EEG-0018</x:v>
      </x:c>
      <x:c r="B15" s="230" t="str">
        <x:v>疾病/临床</x:v>
      </x:c>
      <x:c r="C15" s="230" t="str">
        <x:v>Epilepsy_and_Abnormalities</x:v>
      </x:c>
      <x:c r="D15" s="230" t="str">
        <x:v>Kaggle UPenn and Mayo Clinic Seizure Detection</x:v>
      </x:c>
      <x:c r="E15" s="230" t="str">
        <x:v>seizure vs non-seizure detection from intracranial EEG clips</x:v>
      </x:c>
      <x:c r="F15" s="230" t="str">
        <x:v>4</x:v>
      </x:c>
      <x:c r="G15" s="230" t="n">
        <x:v>12</x:v>
      </x:c>
      <x:c r="H15" s="230" t="n">
        <x:v>16.350194145529045</x:v>
      </x:c>
      <x:c r="I15" s="230" t="n">
        <x:v>16.350194145529045</x:v>
      </x:c>
      <x:c r="J15" s="230" t="str">
        <x:v>2026-07-31 文件级审计确认 EEG signal present</x:v>
      </x:c>
      <x:c r="K15" s="230" t="str">
        <x:v>DOWNLOAD_PUBLIC</x:v>
      </x:c>
      <x:c r="L15" s="230" t="str">
        <x:v>https://www.kaggle.com/c/seizure-detection/data</x:v>
      </x:c>
      <x:c r="M15" s="230"/>
      <x:c r="N15" s="241" t="str">
        <x:v>否</x:v>
      </x:c>
    </x:row>
    <x:row r="16">
      <x:c r="A16" s="296" t="str">
        <x:v>EEG-0020</x:v>
      </x:c>
      <x:c r="B16" s="297" t="str">
        <x:v>疾病/临床</x:v>
      </x:c>
      <x:c r="C16" s="297" t="str">
        <x:v>Epilepsy_and_Abnormalities</x:v>
      </x:c>
      <x:c r="D16" s="297" t="str">
        <x:v>MORGOTH HEP</x:v>
      </x:c>
      <x:c r="E16" s="297" t="str">
        <x:v>1-second spike detection external validation</x:v>
      </x:c>
      <x:c r="F16" s="297" t="str">
        <x:v>143</x:v>
      </x:c>
      <x:c r="G16" s="297"/>
      <x:c r="H16" s="297"/>
      <x:c r="I16" s="297"/>
      <x:c r="J16" s="297" t="str">
        <x:v>未纳入现有服务器疾病目录审计</x:v>
      </x:c>
      <x:c r="K16" s="297" t="str">
        <x:v>DOWNLOAD_PUBLIC</x:v>
      </x:c>
      <x:c r="L16" s="297" t="str">
        <x:v>https://bdsp.io/content/morgoth1/1.0.0/</x:v>
      </x:c>
      <x:c r="M16" s="297"/>
      <x:c r="N16" s="298" t="str">
        <x:v>否</x:v>
      </x:c>
    </x:row>
    <x:row r="17">
      <x:c r="A17" s="240" t="str">
        <x:v>EEG-0021</x:v>
      </x:c>
      <x:c r="B17" s="230" t="str">
        <x:v>疾病/临床</x:v>
      </x:c>
      <x:c r="C17" s="230" t="str">
        <x:v>Epilepsy_and_Abnormalities</x:v>
      </x:c>
      <x:c r="D17" s="230" t="str">
        <x:v>MORGOTH IIIC-Test</x:v>
      </x:c>
      <x:c r="E17" s="230" t="str">
        <x:v>seizure and 4 IIIC pattern classification: seizure, LPD, GPD, LRDA, GRDA</x:v>
      </x:c>
      <x:c r="F17" s="230" t="str">
        <x:v>758</x:v>
      </x:c>
      <x:c r="G17" s="230"/>
      <x:c r="H17" s="230"/>
      <x:c r="I17" s="230"/>
      <x:c r="J17" s="230" t="str">
        <x:v>未纳入现有服务器疾病目录审计</x:v>
      </x:c>
      <x:c r="K17" s="230" t="str">
        <x:v>DOWNLOAD_PUBLIC</x:v>
      </x:c>
      <x:c r="L17" s="230" t="str">
        <x:v>https://bdsp.io/content/morgoth1/1.0.0/</x:v>
      </x:c>
      <x:c r="M17" s="230"/>
      <x:c r="N17" s="241" t="str">
        <x:v>否</x:v>
      </x:c>
    </x:row>
    <x:row r="18">
      <x:c r="A18" s="296" t="str">
        <x:v>EEG-0022</x:v>
      </x:c>
      <x:c r="B18" s="297" t="str">
        <x:v>疾病/临床</x:v>
      </x:c>
      <x:c r="C18" s="297" t="str">
        <x:v>Epilepsy_and_Abnormalities</x:v>
      </x:c>
      <x:c r="D18" s="297" t="str">
        <x:v>MORGOTH IIIC-Train</x:v>
      </x:c>
      <x:c r="E18" s="297" t="str">
        <x:v>seizure and 4 IIIC pattern classification: seizure, LPD, GPD, LRDA, GRDA</x:v>
      </x:c>
      <x:c r="F18" s="297" t="str">
        <x:v>1,940</x:v>
      </x:c>
      <x:c r="G18" s="297"/>
      <x:c r="H18" s="297"/>
      <x:c r="I18" s="297"/>
      <x:c r="J18" s="297" t="str">
        <x:v>未纳入现有服务器疾病目录审计</x:v>
      </x:c>
      <x:c r="K18" s="297" t="str">
        <x:v>DOWNLOAD_PUBLIC</x:v>
      </x:c>
      <x:c r="L18" s="297" t="str">
        <x:v>https://bdsp.io/content/morgoth1/1.0.0/</x:v>
      </x:c>
      <x:c r="M18" s="297"/>
      <x:c r="N18" s="298" t="str">
        <x:v>否</x:v>
      </x:c>
    </x:row>
    <x:row r="19">
      <x:c r="A19" s="240" t="str">
        <x:v>EEG-0023</x:v>
      </x:c>
      <x:c r="B19" s="230" t="str">
        <x:v>疾病/临床</x:v>
      </x:c>
      <x:c r="C19" s="230" t="str">
        <x:v>Epilepsy_and_Abnormalities</x:v>
      </x:c>
      <x:c r="D19" s="230" t="str">
        <x:v>MORGOTH MoE-External</x:v>
      </x:c>
      <x:c r="E19" s="230" t="str">
        <x:v>multi-expert external validation: slowing, burst suppression, spike location, seizure+IIIC, awake/N1/N2</x:v>
      </x:c>
      <x:c r="F19" s="230" t="str">
        <x:v>409</x:v>
      </x:c>
      <x:c r="G19" s="230"/>
      <x:c r="H19" s="230"/>
      <x:c r="I19" s="230"/>
      <x:c r="J19" s="230" t="str">
        <x:v>未纳入现有服务器疾病目录审计</x:v>
      </x:c>
      <x:c r="K19" s="230" t="str">
        <x:v>DOWNLOAD_PUBLIC</x:v>
      </x:c>
      <x:c r="L19" s="230" t="str">
        <x:v>https://bdsp.io/content/morgoth1/1.0.0/</x:v>
      </x:c>
      <x:c r="M19" s="230"/>
      <x:c r="N19" s="241" t="str">
        <x:v>否</x:v>
      </x:c>
    </x:row>
    <x:row r="20">
      <x:c r="A20" s="296" t="str">
        <x:v>EEG-0024</x:v>
      </x:c>
      <x:c r="B20" s="297" t="str">
        <x:v>疾病/临床</x:v>
      </x:c>
      <x:c r="C20" s="297" t="str">
        <x:v>Epilepsy_and_Abnormalities</x:v>
      </x:c>
      <x:c r="D20" s="297" t="str">
        <x:v>MORGOTH MoE-Internal</x:v>
      </x:c>
      <x:c r="E20" s="297" t="str">
        <x:v>multi-expert internal validation: slowing, burst suppression, spike location, seizure+IIIC, awake/N1/N2</x:v>
      </x:c>
      <x:c r="F20" s="297" t="str">
        <x:v>1,841</x:v>
      </x:c>
      <x:c r="G20" s="297"/>
      <x:c r="H20" s="297"/>
      <x:c r="I20" s="297"/>
      <x:c r="J20" s="297" t="str">
        <x:v>未纳入现有服务器疾病目录审计</x:v>
      </x:c>
      <x:c r="K20" s="297" t="str">
        <x:v>DOWNLOAD_PUBLIC</x:v>
      </x:c>
      <x:c r="L20" s="297" t="str">
        <x:v>https://bdsp.io/content/morgoth1/1.0.0/</x:v>
      </x:c>
      <x:c r="M20" s="297"/>
      <x:c r="N20" s="298" t="str">
        <x:v>否</x:v>
      </x:c>
    </x:row>
    <x:row r="21">
      <x:c r="A21" s="240" t="str">
        <x:v>EEG-0025</x:v>
      </x:c>
      <x:c r="B21" s="230" t="str">
        <x:v>疾病/临床</x:v>
      </x:c>
      <x:c r="C21" s="230" t="str">
        <x:v>Epilepsy_and_Abnormalities</x:v>
      </x:c>
      <x:c r="D21" s="230" t="str">
        <x:v>MORGOTH ON</x:v>
      </x:c>
      <x:c r="E21" s="230" t="str">
        <x:v>slowing and spike location external validation</x:v>
      </x:c>
      <x:c r="F21" s="230" t="str">
        <x:v>100</x:v>
      </x:c>
      <x:c r="G21" s="230"/>
      <x:c r="H21" s="230"/>
      <x:c r="I21" s="230"/>
      <x:c r="J21" s="230" t="str">
        <x:v>未纳入现有服务器疾病目录审计</x:v>
      </x:c>
      <x:c r="K21" s="230" t="str">
        <x:v>DOWNLOAD_PUBLIC</x:v>
      </x:c>
      <x:c r="L21" s="230" t="str">
        <x:v>https://bdsp.io/content/morgoth1/1.0.0/</x:v>
      </x:c>
      <x:c r="M21" s="230"/>
      <x:c r="N21" s="241" t="str">
        <x:v>否</x:v>
      </x:c>
    </x:row>
    <x:row r="22">
      <x:c r="A22" s="296" t="str">
        <x:v>EEG-0026</x:v>
      </x:c>
      <x:c r="B22" s="297" t="str">
        <x:v>疾病/临床</x:v>
      </x:c>
      <x:c r="C22" s="297" t="str">
        <x:v>Epilepsy_and_Abnormalities</x:v>
      </x:c>
      <x:c r="D22" s="297" t="str">
        <x:v>MORGOTH SAI</x:v>
      </x:c>
      <x:c r="E22" s="297" t="str">
        <x:v>normal, slowing, spike location external validation</x:v>
      </x:c>
      <x:c r="F22" s="297" t="str">
        <x:v>100</x:v>
      </x:c>
      <x:c r="G22" s="297"/>
      <x:c r="H22" s="297"/>
      <x:c r="I22" s="297"/>
      <x:c r="J22" s="297" t="str">
        <x:v>未纳入现有服务器疾病目录审计</x:v>
      </x:c>
      <x:c r="K22" s="297" t="str">
        <x:v>DOWNLOAD_PUBLIC</x:v>
      </x:c>
      <x:c r="L22" s="297" t="str">
        <x:v>https://bdsp.io/content/morgoth1/1.0.0/</x:v>
      </x:c>
      <x:c r="M22" s="297"/>
      <x:c r="N22" s="298" t="str">
        <x:v>否</x:v>
      </x:c>
    </x:row>
    <x:row r="23">
      <x:c r="A23" s="240" t="str">
        <x:v>EEG-0027</x:v>
      </x:c>
      <x:c r="B23" s="230" t="str">
        <x:v>疾病/临床</x:v>
      </x:c>
      <x:c r="C23" s="230" t="str">
        <x:v>Epilepsy_and_Abnormalities</x:v>
      </x:c>
      <x:c r="D23" s="230" t="str">
        <x:v>MORGOTH SN2-Test</x:v>
      </x:c>
      <x:c r="E23" s="230" t="str">
        <x:v>1-second spike detection</x:v>
      </x:c>
      <x:c r="F23" s="230" t="str">
        <x:v>208</x:v>
      </x:c>
      <x:c r="G23" s="230"/>
      <x:c r="H23" s="230"/>
      <x:c r="I23" s="230"/>
      <x:c r="J23" s="230" t="str">
        <x:v>未纳入现有服务器疾病目录审计</x:v>
      </x:c>
      <x:c r="K23" s="230" t="str">
        <x:v>DOWNLOAD_PUBLIC</x:v>
      </x:c>
      <x:c r="L23" s="230" t="str">
        <x:v>https://bdsp.io/content/morgoth1/1.0.0/</x:v>
      </x:c>
      <x:c r="M23" s="230"/>
      <x:c r="N23" s="241" t="str">
        <x:v>否</x:v>
      </x:c>
    </x:row>
    <x:row r="24">
      <x:c r="A24" s="296" t="str">
        <x:v>EEG-0028</x:v>
      </x:c>
      <x:c r="B24" s="297" t="str">
        <x:v>疾病/临床</x:v>
      </x:c>
      <x:c r="C24" s="297" t="str">
        <x:v>Epilepsy_and_Abnormalities</x:v>
      </x:c>
      <x:c r="D24" s="297" t="str">
        <x:v>MORGOTH SN2-Train</x:v>
      </x:c>
      <x:c r="E24" s="297" t="str">
        <x:v>1-second spike detection</x:v>
      </x:c>
      <x:c r="F24" s="297" t="str">
        <x:v>4,886</x:v>
      </x:c>
      <x:c r="G24" s="297"/>
      <x:c r="H24" s="297"/>
      <x:c r="I24" s="297"/>
      <x:c r="J24" s="297" t="str">
        <x:v>未纳入现有服务器疾病目录审计</x:v>
      </x:c>
      <x:c r="K24" s="297" t="str">
        <x:v>DOWNLOAD_PUBLIC</x:v>
      </x:c>
      <x:c r="L24" s="297" t="str">
        <x:v>https://bdsp.io/content/morgoth1/1.0.0/</x:v>
      </x:c>
      <x:c r="M24" s="297"/>
      <x:c r="N24" s="298" t="str">
        <x:v>否</x:v>
      </x:c>
    </x:row>
    <x:row r="25">
      <x:c r="A25" s="240" t="str">
        <x:v>EEG-0030</x:v>
      </x:c>
      <x:c r="B25" s="230" t="str">
        <x:v>疾病/临床</x:v>
      </x:c>
      <x:c r="C25" s="230" t="str">
        <x:v>Epilepsy_and_Abnormalities</x:v>
      </x:c>
      <x:c r="D25" s="230" t="str">
        <x:v>OpenNeuro ds003029 Epilepsy iEEG Multicenter</x:v>
      </x:c>
      <x:c r="E25" s="230" t="str">
        <x:v>epileptiform activity / seizure-related iEEG analysis</x:v>
      </x:c>
      <x:c r="F25" s="230" t="str">
        <x:v>100</x:v>
      </x:c>
      <x:c r="G25" s="230" t="n">
        <x:v>35</x:v>
      </x:c>
      <x:c r="H25" s="230" t="n">
        <x:v>7.958339006721048</x:v>
      </x:c>
      <x:c r="I25" s="230" t="n">
        <x:v>7.958339006721048</x:v>
      </x:c>
      <x:c r="J25" s="230" t="str">
        <x:v>2026-07-31 文件级审计确认 EEG signal present</x:v>
      </x:c>
      <x:c r="K25" s="230" t="str">
        <x:v>DOWNLOAD_PUBLIC</x:v>
      </x:c>
      <x:c r="L25" s="230" t="str">
        <x:v>https://openneuro.org/datasets/ds003029</x:v>
      </x:c>
      <x:c r="M25" s="230" t="str">
        <x:v>OpenNeuro:ds003029</x:v>
      </x:c>
      <x:c r="N25" s="241" t="str">
        <x:v>否</x:v>
      </x:c>
    </x:row>
    <x:row r="26">
      <x:c r="A26" s="296" t="str">
        <x:v>EEG-0031</x:v>
      </x:c>
      <x:c r="B26" s="297" t="str">
        <x:v>疾病/临床</x:v>
      </x:c>
      <x:c r="C26" s="297" t="str">
        <x:v>Epilepsy_and_Abnormalities</x:v>
      </x:c>
      <x:c r="D26" s="297" t="str">
        <x:v>SeizeIT2</x:v>
      </x:c>
      <x:c r="E26" s="297" t="str">
        <x:v>seizure monitoring；wearable / behind-the-ear low-channel EEG</x:v>
      </x:c>
      <x:c r="F26" s="297" t="str">
        <x:v>125</x:v>
      </x:c>
      <x:c r="G26" s="297" t="n">
        <x:v>125</x:v>
      </x:c>
      <x:c r="H26" s="297" t="n">
        <x:v>11626.24888888889</x:v>
      </x:c>
      <x:c r="I26" s="297" t="n">
        <x:v>11626.24888888889</x:v>
      </x:c>
      <x:c r="J26" s="297" t="str">
        <x:v>2026-07-31 文件级审计确认 EEG signal present</x:v>
      </x:c>
      <x:c r="K26" s="297" t="str">
        <x:v>DOWNLOAD_PUBLIC</x:v>
      </x:c>
      <x:c r="L26" s="297" t="str">
        <x:v>https://openneuro.org/datasets/ds005873/versions/1.1.0</x:v>
      </x:c>
      <x:c r="M26" s="297" t="str">
        <x:v>OpenNeuro:ds005873</x:v>
      </x:c>
      <x:c r="N26" s="298" t="str">
        <x:v>否</x:v>
      </x:c>
    </x:row>
    <x:row r="27">
      <x:c r="A27" s="240" t="str">
        <x:v>EEG-0032</x:v>
      </x:c>
      <x:c r="B27" s="230" t="str">
        <x:v>疾病/临床</x:v>
      </x:c>
      <x:c r="C27" s="230" t="str">
        <x:v>Epilepsy_and_Abnormalities</x:v>
      </x:c>
      <x:c r="D27" s="230" t="str">
        <x:v>Siena Scalp EEG</x:v>
      </x:c>
      <x:c r="E27" s="230" t="str">
        <x:v>Seizure detection (focal epilepsy)</x:v>
      </x:c>
      <x:c r="F27" s="230" t="str">
        <x:v>14</x:v>
      </x:c>
      <x:c r="G27" s="230" t="n">
        <x:v>14</x:v>
      </x:c>
      <x:c r="H27" s="230" t="n">
        <x:v>141.02055555555555</x:v>
      </x:c>
      <x:c r="I27" s="230" t="n">
        <x:v>141.02055555555555</x:v>
      </x:c>
      <x:c r="J27" s="230" t="str">
        <x:v>2026-07-31 文件级审计确认 EEG signal present</x:v>
      </x:c>
      <x:c r="K27" s="230" t="str">
        <x:v>DOWNLOAD_PUBLIC</x:v>
      </x:c>
      <x:c r="L27" s="230" t="str">
        <x:v>https://physionet.org/content/siena-scalp-eeg/1.0.0/</x:v>
      </x:c>
      <x:c r="M27" s="230" t="str">
        <x:v>PhysioNet:siena-scalp-eeg</x:v>
      </x:c>
      <x:c r="N27" s="241" t="str">
        <x:v>否</x:v>
      </x:c>
    </x:row>
    <x:row r="28">
      <x:c r="A28" s="296" t="str">
        <x:v>EEG-0033</x:v>
      </x:c>
      <x:c r="B28" s="297" t="str">
        <x:v>疾病/临床</x:v>
      </x:c>
      <x:c r="C28" s="297" t="str">
        <x:v>Epilepsy_and_Abnormalities</x:v>
      </x:c>
      <x:c r="D28" s="297" t="str">
        <x:v>TUEP (TUH Epilepsy)</x:v>
      </x:c>
      <x:c r="E28" s="297" t="str">
        <x:v>Epilepsy vs non-epilepsy</x:v>
      </x:c>
      <x:c r="F28" s="297" t="str">
        <x:v>200 (~1,648 recordings)</x:v>
      </x:c>
      <x:c r="G28" s="297" t="n">
        <x:v>200</x:v>
      </x:c>
      <x:c r="H28" s="297" t="n">
        <x:v>626.7663888888889</x:v>
      </x:c>
      <x:c r="I28" s="297" t="n">
        <x:v>626.7663888888889</x:v>
      </x:c>
      <x:c r="J28" s="297" t="str">
        <x:v>已下载，但与 TUEG 父库重叠；总量不重复相加</x:v>
      </x:c>
      <x:c r="K28" s="297" t="str">
        <x:v>DOWNLOAD_APPLICATION_REQUIRED</x:v>
      </x:c>
      <x:c r="L28" s="297" t="str">
        <x:v>https://isip.piconepress.com/projects/nedc/html/tuh_eeg/</x:v>
      </x:c>
      <x:c r="M28" s="297" t="str">
        <x:v>TUH:TUEP:v3.1.0</x:v>
      </x:c>
      <x:c r="N28" s="298" t="str">
        <x:v>否</x:v>
      </x:c>
    </x:row>
    <x:row r="29">
      <x:c r="A29" s="240" t="str">
        <x:v>EEG-0034</x:v>
      </x:c>
      <x:c r="B29" s="230" t="str">
        <x:v>疾病/临床</x:v>
      </x:c>
      <x:c r="C29" s="230" t="str">
        <x:v>Epilepsy_and_Abnormalities</x:v>
      </x:c>
      <x:c r="D29" s="230" t="str">
        <x:v>TUEV (TUH Events)</x:v>
      </x:c>
      <x:c r="E29" s="230" t="str">
        <x:v>EEG event classification (6 classes: SPSW/GPED/PLED/EYEM/ARTF/BCKG)</x:v>
      </x:c>
      <x:c r="F29" s="230" t="str">
        <x:v>370 (518 recordings)</x:v>
      </x:c>
      <x:c r="G29" s="230" t="n">
        <x:v>370</x:v>
      </x:c>
      <x:c r="H29" s="230" t="n">
        <x:v>148.7447222222222</x:v>
      </x:c>
      <x:c r="I29" s="230" t="n">
        <x:v>148.7447222222222</x:v>
      </x:c>
      <x:c r="J29" s="230" t="str">
        <x:v>已下载，但与 TUEG 父库重叠；总量不重复相加</x:v>
      </x:c>
      <x:c r="K29" s="230" t="str">
        <x:v>DOWNLOAD_APPLICATION_REQUIRED</x:v>
      </x:c>
      <x:c r="L29" s="230" t="str">
        <x:v>https://isip.piconepress.com/projects/nedc/html/tuh_eeg/</x:v>
      </x:c>
      <x:c r="M29" s="230" t="str">
        <x:v>TUH:TUEV:v2.0.1</x:v>
      </x:c>
      <x:c r="N29" s="241" t="str">
        <x:v>否</x:v>
      </x:c>
    </x:row>
    <x:row r="30">
      <x:c r="A30" s="296" t="str">
        <x:v>EEG-0035</x:v>
      </x:c>
      <x:c r="B30" s="297" t="str">
        <x:v>疾病/临床</x:v>
      </x:c>
      <x:c r="C30" s="297" t="str">
        <x:v>Epilepsy_and_Abnormalities</x:v>
      </x:c>
      <x:c r="D30" s="297" t="str">
        <x:v>TUSL (TUH Slowing)</x:v>
      </x:c>
      <x:c r="E30" s="297" t="str">
        <x:v>EEG slowing vs seizure vs background (3-class)</x:v>
      </x:c>
      <x:c r="F30" s="297" t="str">
        <x:v>38 (112 files; 300 samples)</x:v>
      </x:c>
      <x:c r="G30" s="297" t="n">
        <x:v>38</x:v>
      </x:c>
      <x:c r="H30" s="297" t="n">
        <x:v>27.59638888888889</x:v>
      </x:c>
      <x:c r="I30" s="297" t="n">
        <x:v>27.59638888888889</x:v>
      </x:c>
      <x:c r="J30" s="297" t="str">
        <x:v>已下载，但与 TUEG 父库重叠；总量不重复相加</x:v>
      </x:c>
      <x:c r="K30" s="297" t="str">
        <x:v>DOWNLOAD_APPLICATION_REQUIRED</x:v>
      </x:c>
      <x:c r="L30" s="297" t="str">
        <x:v>https://isip.piconepress.com/projects/nedc/html/tuh_eeg/</x:v>
      </x:c>
      <x:c r="M30" s="297" t="str">
        <x:v>TUH:TUSL:v2.0.1</x:v>
      </x:c>
      <x:c r="N30" s="298" t="str">
        <x:v>否</x:v>
      </x:c>
    </x:row>
    <x:row r="31">
      <x:c r="A31" s="240" t="str">
        <x:v>EEG-0036</x:v>
      </x:c>
      <x:c r="B31" s="230" t="str">
        <x:v>疾病/临床</x:v>
      </x:c>
      <x:c r="C31" s="230" t="str">
        <x:v>Epilepsy_and_Abnormalities</x:v>
      </x:c>
      <x:c r="D31" s="230" t="str">
        <x:v>TUSZ (TUH Seizure)</x:v>
      </x:c>
      <x:c r="E31" s="230" t="str">
        <x:v>Seizure detection (start/stop/channel/type)</x:v>
      </x:c>
      <x:c r="F31" s="230" t="str">
        <x:v>675 (315 in core; 822 sessions)</x:v>
      </x:c>
      <x:c r="G31" s="230" t="n">
        <x:v>675</x:v>
      </x:c>
      <x:c r="H31" s="230" t="n">
        <x:v>1474.7872222222222</x:v>
      </x:c>
      <x:c r="I31" s="230" t="n">
        <x:v>1474.7872222222222</x:v>
      </x:c>
      <x:c r="J31" s="230" t="str">
        <x:v>已下载，但与 TUEG 父库重叠；总量不重复相加</x:v>
      </x:c>
      <x:c r="K31" s="230" t="str">
        <x:v>DOWNLOAD_APPLICATION_REQUIRED</x:v>
      </x:c>
      <x:c r="L31" s="230" t="str">
        <x:v>https://isip.piconepress.com/projects/nedc/html/tuh_eeg/</x:v>
      </x:c>
      <x:c r="M31" s="230" t="str">
        <x:v>TUH:TUSZ:v2.0.6</x:v>
      </x:c>
      <x:c r="N31" s="241" t="str">
        <x:v>否</x:v>
      </x:c>
    </x:row>
    <x:row r="32">
      <x:c r="A32" s="296" t="str">
        <x:v>EEG-0039</x:v>
      </x:c>
      <x:c r="B32" s="297" t="str">
        <x:v>疾病/临床</x:v>
      </x:c>
      <x:c r="C32" s="297" t="str">
        <x:v>Neurodegenerative_Disorders</x:v>
      </x:c>
      <x:c r="D32" s="297" t="str">
        <x:v>AD-Auditory</x:v>
      </x:c>
      <x:c r="E32" s="297" t="str">
        <x:v>AD / MCI / healthy control classification；auditory steady-state response / entrainment biomarkers</x:v>
      </x:c>
      <x:c r="F32" s="297" t="str">
        <x:v>未给出</x:v>
      </x:c>
      <x:c r="G32" s="297" t="n">
        <x:v>35</x:v>
      </x:c>
      <x:c r="H32" s="297" t="n">
        <x:v>5.2027777777777775</x:v>
      </x:c>
      <x:c r="I32" s="297" t="n">
        <x:v>5.2027777777777775</x:v>
      </x:c>
      <x:c r="J32" s="297" t="str">
        <x:v>2026-07-31 文件级审计确认 EEG signal present</x:v>
      </x:c>
      <x:c r="K32" s="297" t="str">
        <x:v>DOWNLOAD_PUBLIC</x:v>
      </x:c>
      <x:c r="L32" s="297" t="str">
        <x:v>https://openneuro.org/datasets/ds005048</x:v>
      </x:c>
      <x:c r="M32" s="297" t="str">
        <x:v>OpenNeuro:ds005048</x:v>
      </x:c>
      <x:c r="N32" s="298" t="str">
        <x:v>否</x:v>
      </x:c>
    </x:row>
    <x:row r="33">
      <x:c r="A33" s="240" t="str">
        <x:v>EEG-0040</x:v>
      </x:c>
      <x:c r="B33" s="230" t="str">
        <x:v>疾病/临床</x:v>
      </x:c>
      <x:c r="C33" s="230" t="str">
        <x:v>Neurodegenerative_Disorders</x:v>
      </x:c>
      <x:c r="D33" s="230" t="str">
        <x:v>AD65 (Alzheimer/FTD)</x:v>
      </x:c>
      <x:c r="E33" s="230" t="str">
        <x:v>Alzheimer vs frontotemporal dementia vs healthy (resting EC)</x:v>
      </x:c>
      <x:c r="F33" s="230" t="str">
        <x:v>88 (36 AD/23 FTD/29 CN)</x:v>
      </x:c>
      <x:c r="G33" s="230" t="n">
        <x:v>88</x:v>
      </x:c>
      <x:c r="H33" s="230" t="n">
        <x:v>39.00595000000006</x:v>
      </x:c>
      <x:c r="I33" s="230" t="n">
        <x:v>39.00595000000006</x:v>
      </x:c>
      <x:c r="J33" s="230" t="str">
        <x:v>2026-07-31 文件级审计确认 EEG signal present</x:v>
      </x:c>
      <x:c r="K33" s="230" t="str">
        <x:v>DOWNLOAD_PUBLIC</x:v>
      </x:c>
      <x:c r="L33" s="230" t="str">
        <x:v>https://openneuro.org/datasets/ds004504</x:v>
      </x:c>
      <x:c r="M33" s="230" t="str">
        <x:v>OpenNeuro:ds004504</x:v>
      </x:c>
      <x:c r="N33" s="241" t="str">
        <x:v>否</x:v>
      </x:c>
    </x:row>
    <x:row r="34">
      <x:c r="A34" s="296" t="str">
        <x:v>EEG-0041</x:v>
      </x:c>
      <x:c r="B34" s="297" t="str">
        <x:v>疾病/临床</x:v>
      </x:c>
      <x:c r="C34" s="297" t="str">
        <x:v>Neurodegenerative_Disorders</x:v>
      </x:c>
      <x:c r="D34" s="297" t="str">
        <x:v>Alzheimer Risk Classification Sample-enrichment EEG</x:v>
      </x:c>
      <x:c r="E34" s="297" t="str">
        <x:v>Alzheimer’s risk classification；sample enrichment；cognitive / resting EEG biomarkers</x:v>
      </x:c>
      <x:c r="F34" s="297" t="str">
        <x:v>44</x:v>
      </x:c>
      <x:c r="G34" s="297" t="n">
        <x:v>138</x:v>
      </x:c>
      <x:c r="H34" s="297" t="n">
        <x:v>3.9115555555555552</x:v>
      </x:c>
      <x:c r="I34" s="297" t="n">
        <x:v>3.9115555555555552</x:v>
      </x:c>
      <x:c r="J34" s="297" t="str">
        <x:v>2026-07-31 文件级审计确认 EEG signal present</x:v>
      </x:c>
      <x:c r="K34" s="297" t="str">
        <x:v>DOWNLOAD_PUBLIC</x:v>
      </x:c>
      <x:c r="L34" s="297" t="str">
        <x:v>https://openneuro.org/datasets/ds007427/versions/1.0.1</x:v>
      </x:c>
      <x:c r="M34" s="297" t="str">
        <x:v>OpenNeuro:ds007427</x:v>
      </x:c>
      <x:c r="N34" s="298" t="str">
        <x:v>否</x:v>
      </x:c>
    </x:row>
    <x:row r="35">
      <x:c r="A35" s="240" t="str">
        <x:v>EEG-0042</x:v>
      </x:c>
      <x:c r="B35" s="230" t="str">
        <x:v>疾病/临床</x:v>
      </x:c>
      <x:c r="C35" s="230" t="str">
        <x:v>Neurodegenerative_Disorders</x:v>
      </x:c>
      <x:c r="D35" s="230" t="str">
        <x:v>APAVA</x:v>
      </x:c>
      <x:c r="E35" s="230" t="str">
        <x:v>Alzheimer's disease classification (binary: Alzheimer's disease vs. healthy control); subject-independent and subject-dependent MedTS classification</x:v>
      </x:c>
      <x:c r="F35" s="230" t="str">
        <x:v>23.0</x:v>
      </x:c>
      <x:c r="G35" s="230" t="n">
        <x:v>23</x:v>
      </x:c>
      <x:c r="H35" s="230" t="n">
        <x:v>0.9208333333333333</x:v>
      </x:c>
      <x:c r="I35" s="230" t="n">
        <x:v>0.9208333333333333</x:v>
      </x:c>
      <x:c r="J35" s="230" t="str">
        <x:v>2026-07-31 文件级审计确认 EEG signal present</x:v>
      </x:c>
      <x:c r="K35" s="230" t="str">
        <x:v>DOWNLOAD_APPLICATION_REQUIRED</x:v>
      </x:c>
      <x:c r="L35" s="230" t="str"/>
      <x:c r="M35" s="230"/>
      <x:c r="N35" s="241" t="str">
        <x:v>否</x:v>
      </x:c>
    </x:row>
    <x:row r="36">
      <x:c r="A36" s="296" t="str">
        <x:v>EEG-0043</x:v>
      </x:c>
      <x:c r="B36" s="297" t="str">
        <x:v>疾病/临床</x:v>
      </x:c>
      <x:c r="C36" s="297" t="str">
        <x:v>Neurodegenerative_Disorders</x:v>
      </x:c>
      <x:c r="D36" s="297" t="str">
        <x:v>CAUEEG</x:v>
      </x:c>
      <x:c r="E36" s="297" t="str">
        <x:v>Dementia diagnosis (classification of normal / mild cognitive impairment (MCI) / dementia)</x:v>
      </x:c>
      <x:c r="F36" s="297" t="str">
        <x:v>1379.0</x:v>
      </x:c>
      <x:c r="G36" s="297"/>
      <x:c r="H36" s="297"/>
      <x:c r="I36" s="297"/>
      <x:c r="J36" s="297" t="str">
        <x:v>未纳入现有服务器疾病目录审计</x:v>
      </x:c>
      <x:c r="K36" s="297" t="str">
        <x:v>DOWNLOAD_PUBLIC</x:v>
      </x:c>
      <x:c r="L36" s="297" t="str">
        <x:v>https://github.com/ipis-mjkim/caueeg-dataset</x:v>
      </x:c>
      <x:c r="M36" s="297"/>
      <x:c r="N36" s="298" t="str">
        <x:v>否</x:v>
      </x:c>
    </x:row>
    <x:row r="37">
      <x:c r="A37" s="240" t="str">
        <x:v>EEG-0044</x:v>
      </x:c>
      <x:c r="B37" s="230" t="str">
        <x:v>疾病/临床</x:v>
      </x:c>
      <x:c r="C37" s="230" t="str">
        <x:v>Neurodegenerative_Disorders</x:v>
      </x:c>
      <x:c r="D37" s="230" t="str">
        <x:v>Dementia Photo-stimulation Open-eyes EEG</x:v>
      </x:c>
      <x:c r="E37" s="230" t="str">
        <x:v>open-eyes EEG in photo-stimulation setting</x:v>
      </x:c>
      <x:c r="F37" s="230" t="str">
        <x:v>88</x:v>
      </x:c>
      <x:c r="G37" s="230" t="n">
        <x:v>88</x:v>
      </x:c>
      <x:c r="H37" s="230" t="n">
        <x:v>14.963480000000004</x:v>
      </x:c>
      <x:c r="I37" s="230" t="n">
        <x:v>14.963480000000004</x:v>
      </x:c>
      <x:c r="J37" s="230" t="str">
        <x:v>2026-07-31 文件级审计确认 EEG signal present</x:v>
      </x:c>
      <x:c r="K37" s="230" t="str">
        <x:v>DOWNLOAD_PUBLIC</x:v>
      </x:c>
      <x:c r="L37" s="230" t="str">
        <x:v>https://openneuro.org/datasets/ds006036/versions/1.0.6</x:v>
      </x:c>
      <x:c r="M37" s="230" t="str">
        <x:v>OpenNeuro:ds006036</x:v>
      </x:c>
      <x:c r="N37" s="241" t="str">
        <x:v>否</x:v>
      </x:c>
    </x:row>
    <x:row r="38">
      <x:c r="A38" s="296" t="str">
        <x:v>EEG-0045</x:v>
      </x:c>
      <x:c r="B38" s="297" t="str">
        <x:v>疾病/临床</x:v>
      </x:c>
      <x:c r="C38" s="297" t="str">
        <x:v>Neurodegenerative_Disorders</x:v>
      </x:c>
      <x:c r="D38" s="297" t="str">
        <x:v>EEG p-adic quantum potential accurately identifies depression, schizophrenia and cognitive decline</x:v>
      </x:c>
      <x:c r="E38" s="297" t="str">
        <x:v>Resting-state；AD / MCI / healthy control / schizophrenia / depression classification；可构造 neurodegeneration vs psychiatric differential diagnosis</x:v>
      </x:c>
      <x:c r="F38" s="297" t="str">
        <x:v>230/249 (source-version scope differs; see duplicate evidence)</x:v>
      </x:c>
      <x:c r="G38" s="297" t="n">
        <x:v>230</x:v>
      </x:c>
      <x:c r="H38" s="297" t="n">
        <x:v>84.29973722222223</x:v>
      </x:c>
      <x:c r="I38" s="297" t="n">
        <x:v>84.29973722222223</x:v>
      </x:c>
      <x:c r="J38" s="297" t="str">
        <x:v>2026-07-31 文件级审计确认 EEG signal present</x:v>
      </x:c>
      <x:c r="K38" s="297" t="str">
        <x:v>DOWNLOAD_PUBLIC</x:v>
      </x:c>
      <x:c r="L38" s="297" t="str">
        <x:v>https://zenodo.org/records/7258868</x:v>
      </x:c>
      <x:c r="M38" s="297" t="str">
        <x:v>Zenodo:7258868 | DOI:10.1371/journal.pone.0255529 | DOI:10.5061/dryad.8gtht76pw</x:v>
      </x:c>
      <x:c r="N38" s="298" t="str">
        <x:v>否</x:v>
      </x:c>
    </x:row>
    <x:row r="39">
      <x:c r="A39" s="240" t="str">
        <x:v>EEG-0047</x:v>
      </x:c>
      <x:c r="B39" s="230" t="str">
        <x:v>疾病/临床</x:v>
      </x:c>
      <x:c r="C39" s="230" t="str">
        <x:v>Neurodegenerative_Disorders</x:v>
      </x:c>
      <x:c r="D39" s="230" t="str">
        <x:v>Resting-state high-density EEG using EGI GES 300 for healthy elders, SCD, MCI and Alzheimer's disease</x:v>
      </x:c>
      <x:c r="E39" s="230" t="str">
        <x:v>including 4 samples of resting-state EEG recording for Alzheimer's Disease (AD), Mild Cognitive Impairment (MCI), Subjective Cognitive Decline (SCD), and Healthy Controls (HC) using the HD-EEG EGI GES 300.</x:v>
      </x:c>
      <x:c r="F39" s="230" t="str">
        <x:v>230</x:v>
      </x:c>
      <x:c r="G39" s="230" t="n">
        <x:v>230</x:v>
      </x:c>
      <x:c r="H39" s="230" t="n">
        <x:v>1.5</x:v>
      </x:c>
      <x:c r="I39" s="230" t="n">
        <x:v>1.5</x:v>
      </x:c>
      <x:c r="J39" s="230" t="str">
        <x:v>2026-07-31 文件级审计确认 EEG signal present</x:v>
      </x:c>
      <x:c r="K39" s="230" t="str">
        <x:v>DOWNLOAD_APPLICATION_REQUIRED</x:v>
      </x:c>
      <x:c r="L39" s="230" t="str">
        <x:v>https://doi.org/10.5281/zenodo.4316608</x:v>
      </x:c>
      <x:c r="M39" s="230" t="str">
        <x:v>Zenodo:4316608 | DOI:10.3390/brainsci10060392,10.5281/zenodo.4316608</x:v>
      </x:c>
      <x:c r="N39" s="241" t="str">
        <x:v>否</x:v>
      </x:c>
    </x:row>
    <x:row r="40">
      <x:c r="A40" s="296" t="str">
        <x:v>EEG-0048</x:v>
      </x:c>
      <x:c r="B40" s="297" t="str">
        <x:v>疾病/临床</x:v>
      </x:c>
      <x:c r="C40" s="297" t="str">
        <x:v>Mental_and_Developmental_Disorders</x:v>
      </x:c>
      <x:c r="D40" s="297" t="str">
        <x:v>Adult ADHD EEG</x:v>
      </x:c>
      <x:c r="E40" s="297" t="str">
        <x:v>ADHD vs control (rest / cognitive / sound listening)；ADHD vs healthy control；eyes-open/eyes-closed；cognitive challenge；sound listening</x:v>
      </x:c>
      <x:c r="F40" s="297" t="str">
        <x:v>79 (42 control, 37 ADHD)</x:v>
      </x:c>
      <x:c r="G40" s="297" t="n">
        <x:v>79</x:v>
      </x:c>
      <x:c r="H40" s="297" t="n">
        <x:v>7.111111111111111</x:v>
      </x:c>
      <x:c r="I40" s="297" t="n">
        <x:v>7.111111111111111</x:v>
      </x:c>
      <x:c r="J40" s="297" t="str">
        <x:v>2026-07-31 文件级审计确认 EEG signal present</x:v>
      </x:c>
      <x:c r="K40" s="297" t="str">
        <x:v>DOWNLOAD_PUBLIC</x:v>
      </x:c>
      <x:c r="L40" s="297" t="str">
        <x:v>https://data.mendeley.com/datasets/6k4g25fhzg/1</x:v>
      </x:c>
      <x:c r="M40" s="297"/>
      <x:c r="N40" s="298" t="str">
        <x:v>否</x:v>
      </x:c>
    </x:row>
    <x:row r="41">
      <x:c r="A41" s="240" t="str">
        <x:v>EEG-0050</x:v>
      </x:c>
      <x:c r="B41" s="230" t="str">
        <x:v>疾病/临床</x:v>
      </x:c>
      <x:c r="C41" s="230" t="str">
        <x:v>Mental_and_Developmental_Disorders</x:v>
      </x:c>
      <x:c r="D41" s="230" t="str">
        <x:v>Autism Detection Dataset</x:v>
      </x:c>
      <x:c r="E41" s="230" t="str">
        <x:v>Pupillary response and eye-tracking visual paradigm for autism spectrum disorder detection</x:v>
      </x:c>
      <x:c r="F41" s="230" t="str">
        <x:v>75</x:v>
      </x:c>
      <x:c r="G41" s="230" t="n">
        <x:v>75</x:v>
      </x:c>
      <x:c r="H41" s="230"/>
      <x:c r="I41" s="230"/>
      <x:c r="J41" s="230" t="str">
        <x:v>已下载内容未发现 EEG 信号；从 raw EEG 总量排除</x:v>
      </x:c>
      <x:c r="K41" s="230" t="str">
        <x:v>DOWNLOAD_PUBLIC</x:v>
      </x:c>
      <x:c r="L41" s="230" t="str">
        <x:v>https://bci.med.tsinghua.edu.cn/download.html</x:v>
      </x:c>
      <x:c r="M41" s="230"/>
      <x:c r="N41" s="241" t="str">
        <x:v>否</x:v>
      </x:c>
    </x:row>
    <x:row r="42">
      <x:c r="A42" s="296" t="str">
        <x:v>EEG-0051</x:v>
      </x:c>
      <x:c r="B42" s="297" t="str">
        <x:v>疾病/临床</x:v>
      </x:c>
      <x:c r="C42" s="297" t="str">
        <x:v>Mental_and_Developmental_Disorders</x:v>
      </x:c>
      <x:c r="D42" s="297" t="str">
        <x:v>B-SNIP1</x:v>
      </x:c>
      <x:c r="E42" s="297" t="str">
        <x:v>resting EEG / auditory-task EEG; psychosis biotypes / schizophrenia-bipolar spectrum</x:v>
      </x:c>
      <x:c r="F42" s="297" t="str">
        <x:v>985 in B-SNIP1 replication paper; EEG subset release-dependent</x:v>
      </x:c>
      <x:c r="G42" s="297"/>
      <x:c r="H42" s="297"/>
      <x:c r="I42" s="297"/>
      <x:c r="J42" s="297" t="str">
        <x:v>未纳入现有服务器疾病目录审计</x:v>
      </x:c>
      <x:c r="K42" s="297" t="str">
        <x:v>DOWNLOAD_PUBLIC</x:v>
      </x:c>
      <x:c r="L42" s="297" t="str">
        <x:v>https://nda.nih.gov/edit_collection.html?id=2274</x:v>
      </x:c>
      <x:c r="M42" s="297"/>
      <x:c r="N42" s="298" t="str">
        <x:v>否</x:v>
      </x:c>
    </x:row>
    <x:row r="43">
      <x:c r="A43" s="240" t="str">
        <x:v>EEG-0052</x:v>
      </x:c>
      <x:c r="B43" s="230" t="str">
        <x:v>疾病/临床</x:v>
      </x:c>
      <x:c r="C43" s="230" t="str">
        <x:v>Mental_and_Developmental_Disorders</x:v>
      </x:c>
      <x:c r="D43" s="230" t="str">
        <x:v>Depression resting (BDI)</x:v>
      </x:c>
      <x:c r="E43" s="230" t="str">
        <x:v>Depression severity (high vs low BDI) resting EEG</x:v>
      </x:c>
      <x:c r="F43" s="230" t="str">
        <x:v>122</x:v>
      </x:c>
      <x:c r="G43" s="230" t="n">
        <x:v>122</x:v>
      </x:c>
      <x:c r="H43" s="230" t="n">
        <x:v>23.359657777777795</x:v>
      </x:c>
      <x:c r="I43" s="230" t="n">
        <x:v>23.359657777777795</x:v>
      </x:c>
      <x:c r="J43" s="230" t="str">
        <x:v>2026-07-31 文件级审计确认 EEG signal present</x:v>
      </x:c>
      <x:c r="K43" s="230" t="str">
        <x:v>DOWNLOAD_PUBLIC</x:v>
      </x:c>
      <x:c r="L43" s="230" t="str">
        <x:v>https://openneuro.org/datasets/ds003478</x:v>
      </x:c>
      <x:c r="M43" s="230" t="str">
        <x:v>OpenNeuro:ds003478</x:v>
      </x:c>
      <x:c r="N43" s="241" t="str">
        <x:v>否</x:v>
      </x:c>
    </x:row>
    <x:row r="44">
      <x:c r="A44" s="296" t="str">
        <x:v>EEG-0053</x:v>
      </x:c>
      <x:c r="B44" s="297" t="str">
        <x:v>疾病/临床</x:v>
      </x:c>
      <x:c r="C44" s="297" t="str">
        <x:v>Mental_and_Developmental_Disorders</x:v>
      </x:c>
      <x:c r="D44" s="297" t="str">
        <x:v>EEG Data for ADHD</x:v>
      </x:c>
      <x:c r="E44" s="297" t="str">
        <x:v>ADHD vs healthy control classification</x:v>
      </x:c>
      <x:c r="F44" s="297" t="str">
        <x:v>121</x:v>
      </x:c>
      <x:c r="G44" s="297"/>
      <x:c r="H44" s="297"/>
      <x:c r="I44" s="297"/>
      <x:c r="J44" s="297" t="str">
        <x:v>未纳入现有服务器疾病目录审计</x:v>
      </x:c>
      <x:c r="K44" s="297" t="str">
        <x:v>DOWNLOAD_PUBLIC</x:v>
      </x:c>
      <x:c r="L44" s="297" t="str">
        <x:v>https://ieee-dataport.org/open-access/eeg-data-adhd-control-children</x:v>
      </x:c>
      <x:c r="M44" s="297" t="str">
        <x:v>DOI:10.21227/rzfh-zn36</x:v>
      </x:c>
      <x:c r="N44" s="298" t="str">
        <x:v>否</x:v>
      </x:c>
    </x:row>
    <x:row r="45">
      <x:c r="A45" s="240" t="str">
        <x:v>EEG-0054</x:v>
      </x:c>
      <x:c r="B45" s="230" t="str">
        <x:v>疾病/临床</x:v>
      </x:c>
      <x:c r="C45" s="230" t="str">
        <x:v>Mental_and_Developmental_Disorders</x:v>
      </x:c>
      <x:c r="D45" s="230" t="str">
        <x:v>EEG in schizophrenia</x:v>
      </x:c>
      <x:c r="E45" s="230" t="str">
        <x:v>resting-state schizophrenia vs healthy control</x:v>
      </x:c>
      <x:c r="F45" s="230" t="str">
        <x:v>28</x:v>
      </x:c>
      <x:c r="G45" s="230" t="n">
        <x:v>28</x:v>
      </x:c>
      <x:c r="H45" s="230" t="n">
        <x:v>8.0175</x:v>
      </x:c>
      <x:c r="I45" s="230" t="n">
        <x:v>8.0175</x:v>
      </x:c>
      <x:c r="J45" s="230" t="str">
        <x:v>2026-07-31 文件级审计确认 EEG signal present</x:v>
      </x:c>
      <x:c r="K45" s="230" t="str">
        <x:v>DOWNLOAD_PUBLIC</x:v>
      </x:c>
      <x:c r="L45" s="230" t="str">
        <x:v>https://repod.icm.edu.pl/dataset.xhtml?persistentId=doi%3A10.18150%2Frepod.0107441</x:v>
      </x:c>
      <x:c r="M45" s="230"/>
      <x:c r="N45" s="241" t="str">
        <x:v>否</x:v>
      </x:c>
    </x:row>
    <x:row r="46">
      <x:c r="A46" s="296" t="str">
        <x:v>EEG-0055</x:v>
      </x:c>
      <x:c r="B46" s="297" t="str">
        <x:v>疾病/临床</x:v>
      </x:c>
      <x:c r="C46" s="297" t="str">
        <x:v>Mental_and_Developmental_Disorders</x:v>
      </x:c>
      <x:c r="D46" s="297" t="str">
        <x:v>FEPCR</x:v>
      </x:c>
      <x:c r="E46" s="297" t="str">
        <x:v>clinical / first-episode psychosis related EEG; LEAD pretraining source</x:v>
      </x:c>
      <x:c r="F46" s="297" t="str">
        <x:v>82</x:v>
      </x:c>
      <x:c r="G46" s="297" t="n">
        <x:v>82</x:v>
      </x:c>
      <x:c r="H46" s="297" t="n">
        <x:v>12.265277302055557</x:v>
      </x:c>
      <x:c r="I46" s="297" t="n">
        <x:v>12.265277302055557</x:v>
      </x:c>
      <x:c r="J46" s="297" t="str">
        <x:v>2026-07-31 文件级审计确认 EEG signal present</x:v>
      </x:c>
      <x:c r="K46" s="297" t="str">
        <x:v>DOWNLOAD_PUBLIC</x:v>
      </x:c>
      <x:c r="L46" s="297" t="str">
        <x:v>https://huggingface.co/datasets/EEGDash/ds003944</x:v>
      </x:c>
      <x:c r="M46" s="297" t="str">
        <x:v>OpenNeuro:ds003944,ds003947</x:v>
      </x:c>
      <x:c r="N46" s="298" t="str">
        <x:v>否</x:v>
      </x:c>
    </x:row>
    <x:row r="47">
      <x:c r="A47" s="240" t="str">
        <x:v>EEG-0056</x:v>
      </x:c>
      <x:c r="B47" s="230" t="str">
        <x:v>疾病/临床</x:v>
      </x:c>
      <x:c r="C47" s="230" t="str">
        <x:v>Mental_and_Developmental_Disorders</x:v>
      </x:c>
      <x:c r="D47" s="230" t="str">
        <x:v>Fribourg Ultimatum Game in Schizophrenia Study</x:v>
      </x:c>
      <x:c r="E47" s="230" t="str">
        <x:v>Schizophrenia / psychosis</x:v>
      </x:c>
      <x:c r="F47" s="230" t="str">
        <x:v>43</x:v>
      </x:c>
      <x:c r="G47" s="230" t="n">
        <x:v>43</x:v>
      </x:c>
      <x:c r="H47" s="230" t="n">
        <x:v>12.056666666666667</x:v>
      </x:c>
      <x:c r="I47" s="230" t="n">
        <x:v>12.056666666666667</x:v>
      </x:c>
      <x:c r="J47" s="230" t="str">
        <x:v>2026-07-31 文件级审计确认 EEG signal present</x:v>
      </x:c>
      <x:c r="K47" s="230" t="str">
        <x:v>DOWNLOAD_APPLICATION_REQUIRED</x:v>
      </x:c>
      <x:c r="L47" s="230" t="str">
        <x:v>https://huggingface.co/datasets/EEGDash/ds004000</x:v>
      </x:c>
      <x:c r="M47" s="230" t="str">
        <x:v>OpenNeuro:ds004000 | DOI:10.1016/j.schres.2017.05.037</x:v>
      </x:c>
      <x:c r="N47" s="241" t="str">
        <x:v>否</x:v>
      </x:c>
    </x:row>
    <x:row r="48">
      <x:c r="A48" s="296" t="str">
        <x:v>EEG-0057</x:v>
      </x:c>
      <x:c r="B48" s="297" t="str">
        <x:v>疾病/临床</x:v>
      </x:c>
      <x:c r="C48" s="297" t="str">
        <x:v>Mental_and_Developmental_Disorders</x:v>
      </x:c>
      <x:c r="D48" s="297" t="str">
        <x:v>MDD (Mumtaz)</x:v>
      </x:c>
      <x:c r="E48" s="297" t="str">
        <x:v>Depression (MDD) vs healthy (EO/EC + P300); OmniEEG: MDD classification</x:v>
      </x:c>
      <x:c r="F48" s="297" t="str">
        <x:v>64 (34 MDD + 30 HC)</x:v>
      </x:c>
      <x:c r="G48" s="297" t="n">
        <x:v>64</x:v>
      </x:c>
      <x:c r="H48" s="297" t="n">
        <x:v>20.555833333333332</x:v>
      </x:c>
      <x:c r="I48" s="297" t="n">
        <x:v>20.555833333333332</x:v>
      </x:c>
      <x:c r="J48" s="297" t="str">
        <x:v>2026-07-31 文件级审计确认 EEG signal present</x:v>
      </x:c>
      <x:c r="K48" s="297" t="str">
        <x:v>DOWNLOAD_APPLICATION_REQUIRED</x:v>
      </x:c>
      <x:c r="L48" s="297" t="str">
        <x:v>https://doi.org/10.6084/m9.figshare.4244171</x:v>
      </x:c>
      <x:c r="M48" s="297" t="str">
        <x:v>Figshare:3385168,Figshare:4244171 | DOI:10.6084/m9.figshare.4244171</x:v>
      </x:c>
      <x:c r="N48" s="298" t="str">
        <x:v>否</x:v>
      </x:c>
    </x:row>
    <x:row r="49">
      <x:c r="A49" s="240" t="str">
        <x:v>EEG-0058</x:v>
      </x:c>
      <x:c r="B49" s="230" t="str">
        <x:v>疾病/临床</x:v>
      </x:c>
      <x:c r="C49" s="230" t="str">
        <x:v>Mental_and_Developmental_Disorders</x:v>
      </x:c>
      <x:c r="D49" s="230" t="str">
        <x:v>MODMA</x:v>
      </x:c>
      <x:c r="E49" s="230" t="str">
        <x:v>Mental disorder (depression) vs control; rest + dot-probe</x:v>
      </x:c>
      <x:c r="F49" s="230" t="str">
        <x:v>53 (128-ch) / 55 (3-ch)</x:v>
      </x:c>
      <x:c r="G49" s="230"/>
      <x:c r="H49" s="230"/>
      <x:c r="I49" s="230"/>
      <x:c r="J49" s="230" t="str">
        <x:v>未纳入现有服务器疾病目录审计</x:v>
      </x:c>
      <x:c r="K49" s="230" t="str">
        <x:v>DOWNLOAD_APPLICATION_REQUIRED</x:v>
      </x:c>
      <x:c r="L49" s="230" t="str">
        <x:v>http://modma.lzu.edu.cn/data/index/</x:v>
      </x:c>
      <x:c r="M49" s="230"/>
      <x:c r="N49" s="241" t="str">
        <x:v>否</x:v>
      </x:c>
    </x:row>
    <x:row r="50">
      <x:c r="A50" s="296" t="str">
        <x:v>EEG-0059</x:v>
      </x:c>
      <x:c r="B50" s="297" t="str">
        <x:v>疾病/临床</x:v>
      </x:c>
      <x:c r="C50" s="297" t="str">
        <x:v>Mental_and_Developmental_Disorders</x:v>
      </x:c>
      <x:c r="D50" s="297" t="str">
        <x:v>Power Spectral Density-Based Resting-State EEG Classification of First-Episode Psychosis</x:v>
      </x:c>
      <x:c r="E50" s="297" t="str">
        <x:v>Resting-state EEG</x:v>
      </x:c>
      <x:c r="F50" s="297" t="str">
        <x:v>72</x:v>
      </x:c>
      <x:c r="G50" s="297" t="n">
        <x:v>72</x:v>
      </x:c>
      <x:c r="H50" s="297" t="n">
        <x:v>6.05</x:v>
      </x:c>
      <x:c r="I50" s="297" t="n">
        <x:v>6.05</x:v>
      </x:c>
      <x:c r="J50" s="297" t="str">
        <x:v>2026-07-31 文件级审计确认 EEG signal present</x:v>
      </x:c>
      <x:c r="K50" s="297" t="str">
        <x:v>DOWNLOAD_PUBLIC</x:v>
      </x:c>
      <x:c r="L50" s="297" t="str">
        <x:v>https://zenodo.org/records/7315010</x:v>
      </x:c>
      <x:c r="M50" s="297" t="str">
        <x:v>Zenodo:7315010 | DOI:10.1016/j.bpsc.2019.06.010</x:v>
      </x:c>
      <x:c r="N50" s="298" t="str">
        <x:v>否</x:v>
      </x:c>
    </x:row>
    <x:row r="51">
      <x:c r="A51" s="240" t="str">
        <x:v>EEG-0060</x:v>
      </x:c>
      <x:c r="B51" s="230" t="str">
        <x:v>疾病/临床</x:v>
      </x:c>
      <x:c r="C51" s="230" t="str">
        <x:v>Mental_and_Developmental_Disorders</x:v>
      </x:c>
      <x:c r="D51" s="230" t="str">
        <x:v>Schizophrenia-81</x:v>
      </x:c>
      <x:c r="E51" s="230" t="str">
        <x:v>schizophrenia vs control; button press / auditory tone ERP</x:v>
      </x:c>
      <x:c r="F51" s="230" t="str">
        <x:v>81</x:v>
      </x:c>
      <x:c r="G51" s="230" t="n">
        <x:v>81</x:v>
      </x:c>
      <x:c r="H51" s="230" t="n">
        <x:v>9.605833333333333</x:v>
      </x:c>
      <x:c r="I51" s="230" t="n">
        <x:v>9.605833333333333</x:v>
      </x:c>
      <x:c r="J51" s="230" t="str">
        <x:v>2026-07-31 文件级审计确认 EEG signal present</x:v>
      </x:c>
      <x:c r="K51" s="230" t="str">
        <x:v>DOWNLOAD_PUBLIC</x:v>
      </x:c>
      <x:c r="L51" s="230" t="str">
        <x:v>https://www.kaggle.com/datasets/broach/button-tone-sz</x:v>
      </x:c>
      <x:c r="M51" s="230"/>
      <x:c r="N51" s="241" t="str">
        <x:v>否</x:v>
      </x:c>
    </x:row>
    <x:row r="52">
      <x:c r="A52" s="296" t="str">
        <x:v>EEG-0061</x:v>
      </x:c>
      <x:c r="B52" s="297" t="str">
        <x:v>疾病/临床</x:v>
      </x:c>
      <x:c r="C52" s="297" t="str">
        <x:v>Mental_and_Developmental_Disorders</x:v>
      </x:c>
      <x:c r="D52" s="297" t="str">
        <x:v>TDBRAIN</x:v>
      </x:c>
      <x:c r="E52" s="297" t="str">
        <x:v>Resting-state (EO/EC); OmniEEG: psychiatric phenotype (4-class)</x:v>
      </x:c>
      <x:c r="F52" s="297" t="str">
        <x:v>1,274</x:v>
      </x:c>
      <x:c r="G52" s="297" t="n">
        <x:v>1464</x:v>
      </x:c>
      <x:c r="H52" s="297" t="n">
        <x:v>120.51638888888888</x:v>
      </x:c>
      <x:c r="I52" s="297" t="n">
        <x:v>120.51638888888888</x:v>
      </x:c>
      <x:c r="J52" s="297" t="str">
        <x:v>2026-07-31 文件级审计确认 EEG signal present</x:v>
      </x:c>
      <x:c r="K52" s="297" t="str">
        <x:v>DOWNLOAD_APPLICATION_REQUIRED</x:v>
      </x:c>
      <x:c r="L52" s="297" t="str">
        <x:v>https://brainclinics.com/resources/</x:v>
      </x:c>
      <x:c r="M52" s="297"/>
      <x:c r="N52" s="298" t="str">
        <x:v>否</x:v>
      </x:c>
    </x:row>
    <x:row r="53">
      <x:c r="A53" s="240" t="str">
        <x:v>EEG-0062</x:v>
      </x:c>
      <x:c r="B53" s="230" t="str">
        <x:v>疾病/临床</x:v>
      </x:c>
      <x:c r="C53" s="230" t="str">
        <x:v>Neurological_Disorders</x:v>
      </x:c>
      <x:c r="D53" s="230" t="str">
        <x:v>Acute Mild TBI DPX Cognitive-control EEG</x:v>
      </x:c>
      <x:c r="E53" s="230" t="str">
        <x:v>DPX cognitive-control task；acute mild traumatic brain injury</x:v>
      </x:c>
      <x:c r="F53" s="230" t="str">
        <x:v>91</x:v>
      </x:c>
      <x:c r="G53" s="230" t="n">
        <x:v>91</x:v>
      </x:c>
      <x:c r="H53" s="230" t="n">
        <x:v>124.27265277777778</x:v>
      </x:c>
      <x:c r="I53" s="230" t="n">
        <x:v>124.27265277777778</x:v>
      </x:c>
      <x:c r="J53" s="230" t="str">
        <x:v>2026-07-31 文件级审计确认 EEG signal present</x:v>
      </x:c>
      <x:c r="K53" s="230" t="str">
        <x:v>DOWNLOAD_PUBLIC</x:v>
      </x:c>
      <x:c r="L53" s="230" t="str">
        <x:v>https://openneuro.org/datasets/ds005114/versions/1.0.0</x:v>
      </x:c>
      <x:c r="M53" s="230" t="str">
        <x:v>OpenNeuro:ds005114</x:v>
      </x:c>
      <x:c r="N53" s="241" t="str">
        <x:v>否</x:v>
      </x:c>
    </x:row>
    <x:row r="54">
      <x:c r="A54" s="296" t="str">
        <x:v>EEG-0063</x:v>
      </x:c>
      <x:c r="B54" s="297" t="str">
        <x:v>疾病/临床</x:v>
      </x:c>
      <x:c r="C54" s="297" t="str">
        <x:v>Neurological_Disorders</x:v>
      </x:c>
      <x:c r="D54" s="297" t="str">
        <x:v>Clinical BCI Challenge WCCI 2020 (Stroke Motor Attempt)</x:v>
      </x:c>
      <x:c r="E54" s="297" t="str">
        <x:v>Left-versus-right hand motor attempt in hemiparetic stroke; within- and cross-subject classification</x:v>
      </x:c>
      <x:c r="F54" s="297" t="str">
        <x:v>10 hemiparetic stroke patients (P01-P10; training labels P01-P08)</x:v>
      </x:c>
      <x:c r="G54" s="297" t="n">
        <x:v>50</x:v>
      </x:c>
      <x:c r="H54" s="297" t="n">
        <x:v>2.6666666666666665</x:v>
      </x:c>
      <x:c r="I54" s="297" t="n">
        <x:v>2.6666666666666665</x:v>
      </x:c>
      <x:c r="J54" s="297" t="str">
        <x:v>2026-07-31 文件级审计确认 EEG signal present</x:v>
      </x:c>
      <x:c r="K54" s="297" t="str">
        <x:v>DOWNLOAD_PUBLIC</x:v>
      </x:c>
      <x:c r="L54" s="297" t="str">
        <x:v>https://github.com/5anirban9/Clinical-Brain-Computer-Interfaces-Challenge-WCCI-2020-Glasgow</x:v>
      </x:c>
      <x:c r="M54" s="297" t="str">
        <x:v>GitHub:5anirban9/Clinical-Brain-Computer-Interfaces-Challenge-WCCI-2020-Glasgow</x:v>
      </x:c>
      <x:c r="N54" s="298" t="str">
        <x:v>否</x:v>
      </x:c>
    </x:row>
    <x:row r="55">
      <x:c r="A55" s="240" t="str">
        <x:v>EEG-0064</x:v>
      </x:c>
      <x:c r="B55" s="230" t="str">
        <x:v>疾病/临床</x:v>
      </x:c>
      <x:c r="C55" s="230" t="str">
        <x:v>Neurological_Disorders</x:v>
      </x:c>
      <x:c r="D55" s="230" t="str">
        <x:v>bigP3BCI</x:v>
      </x:c>
      <x:c r="E55" s="230" t="str">
        <x:v>spelling BCI；ALS assistive communication；clinical BCI target selection</x:v>
      </x:c>
      <x:c r="F55" s="230" t="str">
        <x:v>336 个 study-participant 条目（20 项研究表内合计；跨研究唯一人数未声明）</x:v>
      </x:c>
      <x:c r="G55" s="230" t="n">
        <x:v>178</x:v>
      </x:c>
      <x:c r="H55" s="230" t="n">
        <x:v>267.14497044443334</x:v>
      </x:c>
      <x:c r="I55" s="230" t="n">
        <x:v>267.14497044443334</x:v>
      </x:c>
      <x:c r="J55" s="230" t="str">
        <x:v>2026-07-31 文件级审计确认 EEG signal present</x:v>
      </x:c>
      <x:c r="K55" s="230" t="str">
        <x:v>DOWNLOAD_PUBLIC</x:v>
      </x:c>
      <x:c r="L55" s="230" t="str">
        <x:v>https://physionet.org/content/bigp3bci/1.0.0/</x:v>
      </x:c>
      <x:c r="M55" s="230" t="str">
        <x:v>PhysioNet:bigp3bci:v1.0.0 | DOI:10.13026/0byy-ry86</x:v>
      </x:c>
      <x:c r="N55" s="241" t="str">
        <x:v>否</x:v>
      </x:c>
    </x:row>
    <x:row r="56">
      <x:c r="A56" s="296" t="str">
        <x:v>EEG-0065</x:v>
      </x:c>
      <x:c r="B56" s="297" t="str">
        <x:v>疾病/临床</x:v>
      </x:c>
      <x:c r="C56" s="297" t="str">
        <x:v>Neurological_Disorders</x:v>
      </x:c>
      <x:c r="D56" s="297" t="str">
        <x:v>ALS-Spelling (EEG-ET)</x:v>
      </x:c>
      <x:c r="E56" s="297" t="str">
        <x:v>Eye-tracking spelling system usage (ALS)</x:v>
      </x:c>
      <x:c r="F56" s="297" t="str">
        <x:v>176（6 ALS + 170 healthy）</x:v>
      </x:c>
      <x:c r="G56" s="297" t="n">
        <x:v>178</x:v>
      </x:c>
      <x:c r="H56" s="297" t="n">
        <x:v>66.32305555555556</x:v>
      </x:c>
      <x:c r="I56" s="297" t="n">
        <x:v>66.32305555555556</x:v>
      </x:c>
      <x:c r="J56" s="297" t="str">
        <x:v>2026-07-31 文件级审计确认 EEG signal present</x:v>
      </x:c>
      <x:c r="K56" s="297" t="str">
        <x:v>DOWNLOAD_PUBLIC</x:v>
      </x:c>
      <x:c r="L56" s="297" t="str">
        <x:v>https://doi.org/10.6084/m9.figshare.24485689.v1</x:v>
      </x:c>
      <x:c r="M56" s="297" t="str">
        <x:v>DOI:10.6084/m9.figshare.c.6910027.v1 | DOI:10.6084/m9.figshare.24485689.v1</x:v>
      </x:c>
      <x:c r="N56" s="298" t="str">
        <x:v>否</x:v>
      </x:c>
    </x:row>
    <x:row r="57">
      <x:c r="A57" s="240" t="str">
        <x:v>EEG-0070</x:v>
      </x:c>
      <x:c r="B57" s="230" t="str">
        <x:v>疾病/临床</x:v>
      </x:c>
      <x:c r="C57" s="230" t="str">
        <x:v>Neurological_Disorders</x:v>
      </x:c>
      <x:c r="D57" s="230" t="str">
        <x:v>BNCI 006-2014 (SCP training in stroke)</x:v>
      </x:c>
      <x:c r="E57" s="230" t="str">
        <x:v>Slow Cortical Potentials (SCP) self-regulation training</x:v>
      </x:c>
      <x:c r="F57" s="230" t="str">
        <x:v>2</x:v>
      </x:c>
      <x:c r="G57" s="230" t="n">
        <x:v>2</x:v>
      </x:c>
      <x:c r="H57" s="230" t="n">
        <x:v>21.875555555555554</x:v>
      </x:c>
      <x:c r="I57" s="230" t="n">
        <x:v>21.875555555555554</x:v>
      </x:c>
      <x:c r="J57" s="230" t="str">
        <x:v>2026-07-31 文件级审计确认 EEG signal present</x:v>
      </x:c>
      <x:c r="K57" s="230" t="str">
        <x:v>DOWNLOAD_PUBLIC</x:v>
      </x:c>
      <x:c r="L57" s="230" t="str">
        <x:v>http://bnci-horizon-2020.eu/database/data-sets</x:v>
      </x:c>
      <x:c r="M57" s="230" t="str">
        <x:v>BNCI:BNCI 006-2014</x:v>
      </x:c>
      <x:c r="N57" s="241" t="str">
        <x:v>否</x:v>
      </x:c>
    </x:row>
    <x:row r="58">
      <x:c r="A58" s="296" t="str">
        <x:v>EEG-0071</x:v>
      </x:c>
      <x:c r="B58" s="297" t="str">
        <x:v>疾病/临床</x:v>
      </x:c>
      <x:c r="C58" s="297" t="str">
        <x:v>Neurological_Disorders</x:v>
      </x:c>
      <x:c r="D58" s="297" t="str">
        <x:v>BNCI 008-2014 (P300 speller, ALS)</x:v>
      </x:c>
      <x:c r="E58" s="297" t="str">
        <x:v>Visual P300 speller matrix spelling task；P300 / ERP target vs non-target; ALS P300 speller</x:v>
      </x:c>
      <x:c r="F58" s="297" t="str">
        <x:v>8</x:v>
      </x:c>
      <x:c r="G58" s="297" t="n">
        <x:v>8</x:v>
      </x:c>
      <x:c r="H58" s="297" t="n">
        <x:v>3.018263888888889</x:v>
      </x:c>
      <x:c r="I58" s="297" t="n">
        <x:v>3.018263888888889</x:v>
      </x:c>
      <x:c r="J58" s="297" t="str">
        <x:v>2026-07-31 文件级审计确认 EEG signal present</x:v>
      </x:c>
      <x:c r="K58" s="297" t="str">
        <x:v>DOWNLOAD_PUBLIC</x:v>
      </x:c>
      <x:c r="L58" s="297" t="str">
        <x:v>http://bnci-horizon-2020.eu/database/data-sets</x:v>
      </x:c>
      <x:c r="M58" s="297" t="str">
        <x:v>BNCI:BNCI 008-2014 | BNCI:008-2014 | DOI:10.3389/fnhum.2013.00732</x:v>
      </x:c>
      <x:c r="N58" s="298" t="str">
        <x:v>否</x:v>
      </x:c>
    </x:row>
    <x:row r="59">
      <x:c r="A59" s="240" t="str">
        <x:v>EEG-0074</x:v>
      </x:c>
      <x:c r="B59" s="230" t="str">
        <x:v>疾病/临床</x:v>
      </x:c>
      <x:c r="C59" s="230" t="str">
        <x:v>Neurological_Disorders</x:v>
      </x:c>
      <x:c r="D59" s="230" t="str">
        <x:v>CCEP ECoG Dataset across age 4-51</x:v>
      </x:c>
      <x:c r="E59" s="230" t="str">
        <x:v>cortico-cortical evoked potentials; SPESclin / developmental transmission speed</x:v>
      </x:c>
      <x:c r="F59" s="230" t="str">
        <x:v>74</x:v>
      </x:c>
      <x:c r="G59" s="230" t="n">
        <x:v>74</x:v>
      </x:c>
      <x:c r="H59" s="230" t="n">
        <x:v>89.39102118458145</x:v>
      </x:c>
      <x:c r="I59" s="230" t="n">
        <x:v>89.39102118458145</x:v>
      </x:c>
      <x:c r="J59" s="230" t="str">
        <x:v>2026-07-31 文件级审计确认 EEG signal present</x:v>
      </x:c>
      <x:c r="K59" s="230" t="str">
        <x:v>DOWNLOAD_PUBLIC</x:v>
      </x:c>
      <x:c r="L59" s="230" t="str">
        <x:v>https://openneuro.org/datasets/ds004080/versions/1.2.4</x:v>
      </x:c>
      <x:c r="M59" s="230" t="str">
        <x:v>OpenNeuro:ds004080</x:v>
      </x:c>
      <x:c r="N59" s="241" t="str">
        <x:v>否</x:v>
      </x:c>
    </x:row>
    <x:row r="60">
      <x:c r="A60" s="296" t="str">
        <x:v>EEG-0075</x:v>
      </x:c>
      <x:c r="B60" s="297" t="str">
        <x:v>疾病/临床</x:v>
      </x:c>
      <x:c r="C60" s="297" t="str">
        <x:v>Neurological_Disorders</x:v>
      </x:c>
      <x:c r="D60" s="297" t="str">
        <x:v>Dataset of electrophysiological signals (EEG, ECG, EMG) during Music therapy with adult burn patients in the Intensive Care Unit.</x:v>
      </x:c>
      <x:c r="E60" s="297" t="str">
        <x:v>task-musicTherapy; task-postMusicTherapy; task-preMusicTherapy</x:v>
      </x:c>
      <x:c r="F60" s="297" t="str">
        <x:v>9</x:v>
      </x:c>
      <x:c r="G60" s="297" t="n">
        <x:v>9</x:v>
      </x:c>
      <x:c r="H60" s="297" t="n">
        <x:v>10.940555555555555</x:v>
      </x:c>
      <x:c r="I60" s="297" t="n">
        <x:v>10.940555555555555</x:v>
      </x:c>
      <x:c r="J60" s="297" t="str">
        <x:v>2026-07-31 文件级审计确认 EEG signal present</x:v>
      </x:c>
      <x:c r="K60" s="297" t="str">
        <x:v>DOWNLOAD_PUBLIC</x:v>
      </x:c>
      <x:c r="L60" s="297" t="str">
        <x:v>https://openneuro.org/datasets/ds004840/versions/1.0.1</x:v>
      </x:c>
      <x:c r="M60" s="297" t="str">
        <x:v>OpenNeuro:ds004840 | DOI:10.18112/openneuro.ds004840.v1.0.1</x:v>
      </x:c>
      <x:c r="N60" s="298" t="str">
        <x:v>否</x:v>
      </x:c>
    </x:row>
    <x:row r="61">
      <x:c r="A61" s="240" t="str">
        <x:v>EEG-0078</x:v>
      </x:c>
      <x:c r="B61" s="230" t="str">
        <x:v>疾病/临床</x:v>
      </x:c>
      <x:c r="C61" s="230" t="str">
        <x:v>Neurological_Disorders</x:v>
      </x:c>
      <x:c r="D61" s="230" t="str">
        <x:v>EEG: 3-Stim Auditory Oddball and Rest in Parkinson’s</x:v>
      </x:c>
      <x:c r="E61" s="230" t="str">
        <x:v>Parkinson’s disease</x:v>
      </x:c>
      <x:c r="F61" s="230" t="str">
        <x:v>50</x:v>
      </x:c>
      <x:c r="G61" s="230" t="n">
        <x:v>50</x:v>
      </x:c>
      <x:c r="H61" s="230" t="n">
        <x:v>12.759916666666669</x:v>
      </x:c>
      <x:c r="I61" s="230" t="n">
        <x:v>12.759916666666669</x:v>
      </x:c>
      <x:c r="J61" s="230" t="str">
        <x:v>2026-07-31 文件级审计确认 EEG signal present</x:v>
      </x:c>
      <x:c r="K61" s="230" t="str">
        <x:v>DOWNLOAD_APPLICATION_REQUIRED</x:v>
      </x:c>
      <x:c r="L61" s="230" t="str">
        <x:v>https://huggingface.co/datasets/EEGDash/ds003490</x:v>
      </x:c>
      <x:c r="M61" s="230" t="str">
        <x:v>OpenNeuro:ds003490 | DOI:10.1016/j.clinph.2017.11.023</x:v>
      </x:c>
      <x:c r="N61" s="241" t="str">
        <x:v>否</x:v>
      </x:c>
    </x:row>
    <x:row r="62">
      <x:c r="A62" s="296" t="str">
        <x:v>EEG-0079</x:v>
      </x:c>
      <x:c r="B62" s="297" t="str">
        <x:v>疾病/临床</x:v>
      </x:c>
      <x:c r="C62" s="297" t="str">
        <x:v>Neurological_Disorders</x:v>
      </x:c>
      <x:c r="D62" s="297" t="str">
        <x:v>EEG: Reinforcement Learning in Parkinson’s</x:v>
      </x:c>
      <x:c r="E62" s="297" t="str">
        <x:v>Parkinson’s disease / reinforcement learning task</x:v>
      </x:c>
      <x:c r="F62" s="297" t="str">
        <x:v>56</x:v>
      </x:c>
      <x:c r="G62" s="297" t="n">
        <x:v>56</x:v>
      </x:c>
      <x:c r="H62" s="297" t="n">
        <x:v>35.38127777777776</x:v>
      </x:c>
      <x:c r="I62" s="297" t="n">
        <x:v>35.38127777777776</x:v>
      </x:c>
      <x:c r="J62" s="297" t="str">
        <x:v>2026-07-31 文件级审计确认 EEG signal present</x:v>
      </x:c>
      <x:c r="K62" s="297" t="str">
        <x:v>DOWNLOAD_APPLICATION_REQUIRED</x:v>
      </x:c>
      <x:c r="L62" s="297" t="str">
        <x:v>https://huggingface.co/datasets/EEGDash/ds003506</x:v>
      </x:c>
      <x:c r="M62" s="297" t="str">
        <x:v>OpenNeuro:ds003506 | DOI:10.1016/j.brainres.2019.146541</x:v>
      </x:c>
      <x:c r="N62" s="298" t="str">
        <x:v>否</x:v>
      </x:c>
    </x:row>
    <x:row r="63">
      <x:c r="A63" s="240" t="str">
        <x:v>EEG-0080</x:v>
      </x:c>
      <x:c r="B63" s="230" t="str">
        <x:v>疾病/临床</x:v>
      </x:c>
      <x:c r="C63" s="230" t="str">
        <x:v>Neurological_Disorders</x:v>
      </x:c>
      <x:c r="D63" s="230" t="str">
        <x:v>EEG: Simon Conflict in Parkinson's</x:v>
      </x:c>
      <x:c r="E63" s="230" t="str">
        <x:v>Simon conflict task；cognitive control；Parkinson medication/session effects</x:v>
      </x:c>
      <x:c r="F63" s="230" t="str">
        <x:v>56</x:v>
      </x:c>
      <x:c r="G63" s="230" t="n">
        <x:v>56</x:v>
      </x:c>
      <x:c r="H63" s="230" t="n">
        <x:v>48.53486111111113</x:v>
      </x:c>
      <x:c r="I63" s="230" t="n">
        <x:v>48.53486111111113</x:v>
      </x:c>
      <x:c r="J63" s="230" t="str">
        <x:v>2026-07-31 文件级审计确认 EEG signal present</x:v>
      </x:c>
      <x:c r="K63" s="230" t="str">
        <x:v>DOWNLOAD_PUBLIC</x:v>
      </x:c>
      <x:c r="L63" s="230" t="str">
        <x:v>https://huggingface.co/datasets/EEGDash/ds003509</x:v>
      </x:c>
      <x:c r="M63" s="230" t="str">
        <x:v>OpenNeuro:ds003509</x:v>
      </x:c>
      <x:c r="N63" s="241" t="str">
        <x:v>否</x:v>
      </x:c>
    </x:row>
    <x:row r="64">
      <x:c r="A64" s="296" t="str">
        <x:v>EEG-0081</x:v>
      </x:c>
      <x:c r="B64" s="297" t="str">
        <x:v>疾病/临床</x:v>
      </x:c>
      <x:c r="C64" s="297" t="str">
        <x:v>Neurological_Disorders</x:v>
      </x:c>
      <x:c r="D64" s="297" t="str">
        <x:v>EEG: Three-Stim Auditory Oddball and Rest in Acute and Chronic TBI</x:v>
      </x:c>
      <x:c r="E64" s="297" t="str">
        <x:v>three-stim auditory oddball；rest；visual working memory in acute / chronic TBI</x:v>
      </x:c>
      <x:c r="F64" s="297" t="str">
        <x:v>96</x:v>
      </x:c>
      <x:c r="G64" s="297" t="n">
        <x:v>96</x:v>
      </x:c>
      <x:c r="H64" s="297" t="n">
        <x:v>140.79954166666658</x:v>
      </x:c>
      <x:c r="I64" s="297" t="n">
        <x:v>140.79954166666658</x:v>
      </x:c>
      <x:c r="J64" s="297" t="str">
        <x:v>2026-07-31 文件级审计确认 EEG signal present</x:v>
      </x:c>
      <x:c r="K64" s="297" t="str">
        <x:v>DOWNLOAD_PUBLIC</x:v>
      </x:c>
      <x:c r="L64" s="297" t="str">
        <x:v>https://huggingface.co/datasets/EEGDash/ds003522</x:v>
      </x:c>
      <x:c r="M64" s="297" t="str">
        <x:v>OpenNeuro:ds003522,ds003523 | DOI:10.18112/openneuro.ds003522.v1.1.0</x:v>
      </x:c>
      <x:c r="N64" s="298" t="str">
        <x:v>否</x:v>
      </x:c>
    </x:row>
    <x:row r="65">
      <x:c r="A65" s="240" t="str">
        <x:v>EEG-0082</x:v>
      </x:c>
      <x:c r="B65" s="230" t="str">
        <x:v>健康/人群</x:v>
      </x:c>
      <x:c r="C65" s="230" t="str">
        <x:v>Sensory_Physiology</x:v>
      </x:c>
      <x:c r="D65" s="230" t="str">
        <x:v>Human Spinal-cord Somatosensory Evoked Potentials EEG</x:v>
      </x:c>
      <x:c r="E65" s="230" t="str">
        <x:v>mixed nerve stimulation；spinal cord SEP；EEG/ESG/ENG physiology</x:v>
      </x:c>
      <x:c r="F65" s="230" t="str">
        <x:v>40</x:v>
      </x:c>
      <x:c r="G65" s="230" t="n">
        <x:v>40</x:v>
      </x:c>
      <x:c r="H65" s="230" t="n">
        <x:v>43.48990400000004</x:v>
      </x:c>
      <x:c r="I65" s="230" t="n">
        <x:v>43.48990400000004</x:v>
      </x:c>
      <x:c r="J65" s="230" t="str">
        <x:v>2026-07-31 文件级审计确认 EEG signal present</x:v>
      </x:c>
      <x:c r="K65" s="230" t="str">
        <x:v>DOWNLOAD_PUBLIC</x:v>
      </x:c>
      <x:c r="L65" s="230" t="str">
        <x:v>https://openneuro.org/datasets/ds004388/versions/1.0.0</x:v>
      </x:c>
      <x:c r="M65" s="230" t="str">
        <x:v>OpenNeuro:ds004388</x:v>
      </x:c>
      <x:c r="N65" s="241" t="str">
        <x:v>否</x:v>
      </x:c>
    </x:row>
    <x:row r="66">
      <x:c r="A66" s="296" t="str">
        <x:v>EEG-0083</x:v>
      </x:c>
      <x:c r="B66" s="297" t="str">
        <x:v>疾病/临床</x:v>
      </x:c>
      <x:c r="C66" s="297" t="str">
        <x:v>Neurological_Disorders</x:v>
      </x:c>
      <x:c r="D66" s="297" t="str">
        <x:v>Intraoperative Medianus-tibialis Stimulation EEG</x:v>
      </x:c>
      <x:c r="E66" s="297" t="str">
        <x:v>intraoperative somatosensory evoked potentials；medianus/tibialis stimulation rates</x:v>
      </x:c>
      <x:c r="F66" s="297" t="str">
        <x:v>18</x:v>
      </x:c>
      <x:c r="G66" s="297" t="n">
        <x:v>18</x:v>
      </x:c>
      <x:c r="H66" s="297" t="n">
        <x:v>11.763055555555555</x:v>
      </x:c>
      <x:c r="I66" s="297" t="n">
        <x:v>11.763055555555555</x:v>
      </x:c>
      <x:c r="J66" s="297" t="str">
        <x:v>2026-07-31 文件级审计确认 EEG signal present</x:v>
      </x:c>
      <x:c r="K66" s="297" t="str">
        <x:v>DOWNLOAD_PUBLIC</x:v>
      </x:c>
      <x:c r="L66" s="297" t="str">
        <x:v>https://openneuro.org/datasets/ds004381/versions/1.0.2</x:v>
      </x:c>
      <x:c r="M66" s="297" t="str">
        <x:v>OpenNeuro:ds004381</x:v>
      </x:c>
      <x:c r="N66" s="298" t="str">
        <x:v>否</x:v>
      </x:c>
    </x:row>
    <x:row r="67">
      <x:c r="A67" s="240" t="str">
        <x:v>EEG-0084</x:v>
      </x:c>
      <x:c r="B67" s="230" t="str">
        <x:v>疾病/临床</x:v>
      </x:c>
      <x:c r="C67" s="230" t="str">
        <x:v>Neurological_Disorders</x:v>
      </x:c>
      <x:c r="D67" s="230" t="str">
        <x:v>Liu2024</x:v>
      </x:c>
      <x:c r="E67" s="230" t="str">
        <x:v>acute-stroke motor imagery: left/right hand-grip imagination</x:v>
      </x:c>
      <x:c r="F67" s="230" t="str">
        <x:v>50</x:v>
      </x:c>
      <x:c r="G67" s="230" t="n">
        <x:v>50</x:v>
      </x:c>
      <x:c r="H67" s="230" t="n">
        <x:v>4.444444444444445</x:v>
      </x:c>
      <x:c r="I67" s="230" t="n">
        <x:v>4.444444444444445</x:v>
      </x:c>
      <x:c r="J67" s="230" t="str">
        <x:v>2026-07-31 文件级审计确认 EEG signal present</x:v>
      </x:c>
      <x:c r="K67" s="230" t="str">
        <x:v>DOWNLOAD_APPLICATION_REQUIRED</x:v>
      </x:c>
      <x:c r="L67" s="230" t="str">
        <x:v>https://moabb.neurotechx.com/docs/generated/moabb.datasets.Liu2024.html</x:v>
      </x:c>
      <x:c r="M67" s="230" t="str">
        <x:v>Figshare:21679035 | DOI:10.1038/s41597-023-02787-8,10.6084/m9.figshare.21679035,10.6084/m9.figshare.21679035.v5</x:v>
      </x:c>
      <x:c r="N67" s="241" t="str">
        <x:v>否</x:v>
      </x:c>
    </x:row>
    <x:row r="68">
      <x:c r="A68" s="296" t="str">
        <x:v>EEG-0085</x:v>
      </x:c>
      <x:c r="B68" s="297" t="str">
        <x:v>疾病/临床</x:v>
      </x:c>
      <x:c r="C68" s="297" t="str">
        <x:v>Neurological_Disorders</x:v>
      </x:c>
      <x:c r="D68" s="297" t="str">
        <x:v>Lower-Limb-MI (stroke)</x:v>
      </x:c>
      <x:c r="E68" s="297" t="str">
        <x:v>Lower-limb motor imagery (stroke rehab)；MI</x:v>
      </x:c>
      <x:c r="F68" s="297" t="str">
        <x:v>27</x:v>
      </x:c>
      <x:c r="G68" s="297" t="n">
        <x:v>27</x:v>
      </x:c>
      <x:c r="H68" s="297" t="n">
        <x:v>33.448055555555555</x:v>
      </x:c>
      <x:c r="I68" s="297" t="n">
        <x:v>33.448055555555555</x:v>
      </x:c>
      <x:c r="J68" s="297" t="str">
        <x:v>2026-07-31 文件级审计确认 EEG signal present</x:v>
      </x:c>
      <x:c r="K68" s="297" t="str">
        <x:v>DOWNLOAD_PUBLIC</x:v>
      </x:c>
      <x:c r="L68" s="297" t="str">
        <x:v>https://springernature.figshare.com/articles/dataset/Lower_limb_motor_imagery_EEG.../27130299</x:v>
      </x:c>
      <x:c r="M68" s="297" t="str">
        <x:v>Figshare:27130299 | DOI:10.6084/m9.figshare.27130299</x:v>
      </x:c>
      <x:c r="N68" s="298" t="str">
        <x:v>否</x:v>
      </x:c>
    </x:row>
    <x:row r="69">
      <x:c r="A69" s="240" t="str">
        <x:v>EEG-0086</x:v>
      </x:c>
      <x:c r="B69" s="230" t="str">
        <x:v>健康/人群</x:v>
      </x:c>
      <x:c r="C69" s="230" t="str">
        <x:v>Sleep_and_Cardiometabolic</x:v>
      </x:c>
      <x:c r="D69" s="230" t="str">
        <x:v>MESA Sleep</x:v>
      </x:c>
      <x:c r="E69" s="230" t="str">
        <x:v>Sleep stages, arousals, respiratory events；并有 cardiometabolic / atherosclerosis / demographic covariates</x:v>
      </x:c>
      <x:c r="F69" s="230" t="str">
        <x:v>2,056 个含原始 PSG/EEG 的参与者（父睡眠检查 2,237 人）</x:v>
      </x:c>
      <x:c r="G69" s="230"/>
      <x:c r="H69" s="230"/>
      <x:c r="I69" s="230"/>
      <x:c r="J69" s="230" t="str">
        <x:v>未纳入现有服务器疾病目录审计</x:v>
      </x:c>
      <x:c r="K69" s="230" t="str">
        <x:v>DOWNLOAD_PUBLIC</x:v>
      </x:c>
      <x:c r="L69" s="230" t="str">
        <x:v>https://sleepdata.org/datasets/mesa</x:v>
      </x:c>
      <x:c r="M69" s="230"/>
      <x:c r="N69" s="241" t="str">
        <x:v>否</x:v>
      </x:c>
    </x:row>
    <x:row r="70">
      <x:c r="A70" s="296" t="str">
        <x:v>EEG-0087</x:v>
      </x:c>
      <x:c r="B70" s="297" t="str">
        <x:v>疾病/临床</x:v>
      </x:c>
      <x:c r="C70" s="297" t="str">
        <x:v>Neurological_Disorders</x:v>
      </x:c>
      <x:c r="D70" s="297" t="str">
        <x:v>Ultra High-Density EEG of Interictal Migraine and Controls</x:v>
      </x:c>
      <x:c r="E70" s="297" t="str">
        <x:v>Rest, 4/6 Hz visual SSVEP, and 4/6 Hz auditory SSAEP in interictal migraine versus controls</x:v>
      </x:c>
      <x:c r="F70" s="297" t="str">
        <x:v>35 (17 migraine + 18 controls)</x:v>
      </x:c>
      <x:c r="G70" s="297" t="n">
        <x:v>39</x:v>
      </x:c>
      <x:c r="H70" s="297" t="n">
        <x:v>21.232222222222223</x:v>
      </x:c>
      <x:c r="I70" s="297" t="n">
        <x:v>21.232222222222223</x:v>
      </x:c>
      <x:c r="J70" s="297" t="str">
        <x:v>2026-07-31 文件级审计确认 EEG signal present</x:v>
      </x:c>
      <x:c r="K70" s="297" t="str">
        <x:v>DOWNLOAD_PUBLIC</x:v>
      </x:c>
      <x:c r="L70" s="297" t="str">
        <x:v>https://kilthub.cmu.edu/articles/dataset/Ultra_high-density_EEG_recording_of_interictal_migraine_and_controls_sensory_and_rest/12636731</x:v>
      </x:c>
      <x:c r="M70" s="297" t="str">
        <x:v>DOI:10.1184/R1/12636731</x:v>
      </x:c>
      <x:c r="N70" s="298" t="str">
        <x:v>否</x:v>
      </x:c>
    </x:row>
    <x:row r="71">
      <x:c r="A71" s="240" t="str">
        <x:v>EEG-0089</x:v>
      </x:c>
      <x:c r="B71" s="230" t="str">
        <x:v>疾病/临床</x:v>
      </x:c>
      <x:c r="C71" s="230" t="str">
        <x:v>Neurological_Disorders</x:v>
      </x:c>
      <x:c r="D71" s="230" t="str">
        <x:v>Mu and Beta Oscillatory Changes during a motor task following Rehabilitation in Chronic MCA Stroke: Insights from EEG</x:v>
      </x:c>
      <x:c r="E71" s="230" t="str">
        <x:v>resting state eyes closed 5 minutes, motor imagery, active hand movements motor tasks</x:v>
      </x:c>
      <x:c r="F71" s="230" t="str">
        <x:v>17</x:v>
      </x:c>
      <x:c r="G71" s="230" t="n">
        <x:v>17</x:v>
      </x:c>
      <x:c r="H71" s="230" t="n">
        <x:v>12.290877777777778</x:v>
      </x:c>
      <x:c r="I71" s="230" t="n">
        <x:v>12.290877777777778</x:v>
      </x:c>
      <x:c r="J71" s="230" t="str">
        <x:v>2026-07-31 文件级审计确认 EEG signal present</x:v>
      </x:c>
      <x:c r="K71" s="230" t="str">
        <x:v>DOWNLOAD_PUBLIC</x:v>
      </x:c>
      <x:c r="L71" s="230" t="str">
        <x:v>https://zenodo.org/records/19599466</x:v>
      </x:c>
      <x:c r="M71" s="230" t="str">
        <x:v>Zenodo:19599466 | DOI:10.31428/10317/13645</x:v>
      </x:c>
      <x:c r="N71" s="241" t="str">
        <x:v>否</x:v>
      </x:c>
    </x:row>
    <x:row r="72">
      <x:c r="A72" s="296" t="str">
        <x:v>EEG-0092</x:v>
      </x:c>
      <x:c r="B72" s="297" t="str">
        <x:v>疾病/临床</x:v>
      </x:c>
      <x:c r="C72" s="297" t="str">
        <x:v>Neurological_Disorders</x:v>
      </x:c>
      <x:c r="D72" s="297" t="str">
        <x:v>PD-EEG Resting-State &amp; Walking EEG</x:v>
      </x:c>
      <x:c r="E72" s="297" t="str">
        <x:v>Parkinson disease resting EEG and walking EEG；gait / motor biomarkers</x:v>
      </x:c>
      <x:c r="F72" s="297" t="str">
        <x:v>144</x:v>
      </x:c>
      <x:c r="G72" s="297" t="n">
        <x:v>144</x:v>
      </x:c>
      <x:c r="H72" s="297" t="n">
        <x:v>19.488683333333334</x:v>
      </x:c>
      <x:c r="I72" s="297" t="n">
        <x:v>19.488683333333334</x:v>
      </x:c>
      <x:c r="J72" s="297" t="str">
        <x:v>2026-07-31 文件级审计确认 EEG signal present</x:v>
      </x:c>
      <x:c r="K72" s="297" t="str">
        <x:v>DOWNLOAD_PUBLIC</x:v>
      </x:c>
      <x:c r="L72" s="297" t="str">
        <x:v>https://openneuro.org/datasets/ds007526/versions/1.0.2</x:v>
      </x:c>
      <x:c r="M72" s="297" t="str">
        <x:v>OpenNeuro:ds007526</x:v>
      </x:c>
      <x:c r="N72" s="298" t="str">
        <x:v>否</x:v>
      </x:c>
    </x:row>
    <x:row r="73">
      <x:c r="A73" s="240" t="str">
        <x:v>EEG-0093</x:v>
      </x:c>
      <x:c r="B73" s="230" t="str">
        <x:v>疾病/临床</x:v>
      </x:c>
      <x:c r="C73" s="230" t="str">
        <x:v>Neurological_Disorders</x:v>
      </x:c>
      <x:c r="D73" s="230" t="str">
        <x:v>PD-Mortality</x:v>
      </x:c>
      <x:c r="E73" s="230" t="str">
        <x:v>Parkinson 3-year mortality prognosis from resting EEG</x:v>
      </x:c>
      <x:c r="F73" s="230" t="str">
        <x:v>94 (22 deceased &lt;3 yr)</x:v>
      </x:c>
      <x:c r="G73" s="230"/>
      <x:c r="H73" s="230"/>
      <x:c r="I73" s="230"/>
      <x:c r="J73" s="230" t="str">
        <x:v>未纳入现有服务器疾病目录审计</x:v>
      </x:c>
      <x:c r="K73" s="230" t="str">
        <x:v>DOWNLOAD_APPLICATION_REQUIRED</x:v>
      </x:c>
      <x:c r="L73" s="230" t="str">
        <x:v>https://www.medrxiv.org/content/10.1101/2025.07.07.25331047</x:v>
      </x:c>
      <x:c r="M73" s="230" t="str">
        <x:v>DOI:10.1101/2025.07.07.25331047</x:v>
      </x:c>
      <x:c r="N73" s="241" t="str">
        <x:v>否</x:v>
      </x:c>
    </x:row>
    <x:row r="74">
      <x:c r="A74" s="296" t="str">
        <x:v>EEG-0094</x:v>
      </x:c>
      <x:c r="B74" s="297" t="str">
        <x:v>疾病/临床</x:v>
      </x:c>
      <x:c r="C74" s="297" t="str">
        <x:v>Neurological_Disorders</x:v>
      </x:c>
      <x:c r="D74" s="297" t="str">
        <x:v>PD31 (Parkinson)</x:v>
      </x:c>
      <x:c r="E74" s="297" t="str">
        <x:v>Parkinson vs control resting EEG (on/off medication)</x:v>
      </x:c>
      <x:c r="F74" s="297" t="str">
        <x:v>31 (15 PD/16 control)</x:v>
      </x:c>
      <x:c r="G74" s="297" t="n">
        <x:v>31</x:v>
      </x:c>
      <x:c r="H74" s="297" t="n">
        <x:v>2.517777777777778</x:v>
      </x:c>
      <x:c r="I74" s="297" t="n">
        <x:v>2.517777777777778</x:v>
      </x:c>
      <x:c r="J74" s="297" t="str">
        <x:v>2026-07-31 文件级审计确认 EEG signal present</x:v>
      </x:c>
      <x:c r="K74" s="297" t="str">
        <x:v>DOWNLOAD_PUBLIC</x:v>
      </x:c>
      <x:c r="L74" s="297" t="str">
        <x:v>https://openneuro.org/datasets/ds002778</x:v>
      </x:c>
      <x:c r="M74" s="297" t="str">
        <x:v>OpenNeuro:ds002778</x:v>
      </x:c>
      <x:c r="N74" s="298" t="str">
        <x:v>否</x:v>
      </x:c>
    </x:row>
    <x:row r="75">
      <x:c r="A75" s="240" t="str">
        <x:v>EEG-0098</x:v>
      </x:c>
      <x:c r="B75" s="230" t="str">
        <x:v>疾病/临床</x:v>
      </x:c>
      <x:c r="C75" s="230" t="str">
        <x:v>Neurological_Disorders</x:v>
      </x:c>
      <x:c r="D75" s="230" t="str">
        <x:v>Tinnitus Acoustic Therapy EEG Database</x:v>
      </x:c>
      <x:c r="E75" s="230" t="str">
        <x:v>tinnitus；auditory therapy response；clinical auditory EEG biomarkers；Acoustic therapy for tinnitus (longitudinal)；Resting-state (eyes-open/closed) + passive music + acoustic therapy listening + 3 soundscape conditions</x:v>
      </x:c>
      <x:c r="F75" s="230" t="str">
        <x:v>103 enrolled (89 tinnitus + 14 controls); 71 completed full protocol</x:v>
      </x:c>
      <x:c r="G75" s="230" t="n">
        <x:v>89</x:v>
      </x:c>
      <x:c r="H75" s="230" t="n">
        <x:v>8.41</x:v>
      </x:c>
      <x:c r="I75" s="230" t="n">
        <x:v>8.41</x:v>
      </x:c>
      <x:c r="J75" s="230" t="str">
        <x:v>2026-07-31 文件级审计确认 EEG signal present</x:v>
      </x:c>
      <x:c r="K75" s="230" t="str">
        <x:v>DOWNLOAD_PUBLIC</x:v>
      </x:c>
      <x:c r="L75" s="230" t="str">
        <x:v>https://data.mendeley.com/datasets/kj443jc4yc</x:v>
      </x:c>
      <x:c r="M75" s="230"/>
      <x:c r="N75" s="241" t="str">
        <x:v>否</x:v>
      </x:c>
    </x:row>
    <x:row r="76">
      <x:c r="A76" s="296" t="str">
        <x:v>EEG-0100</x:v>
      </x:c>
      <x:c r="B76" s="297" t="str">
        <x:v>疾病/临床</x:v>
      </x:c>
      <x:c r="C76" s="297" t="str">
        <x:v>Neurological_Disorders</x:v>
      </x:c>
      <x:c r="D76" s="297" t="str">
        <x:v>UNMDataset</x:v>
      </x:c>
      <x:c r="E76" s="297" t="str">
        <x:v>Parkinson's disease EEG; resting/cognitive task subset reported for BrainWave pretraining</x:v>
      </x:c>
      <x:c r="F76" s="297" t="str">
        <x:v>28</x:v>
      </x:c>
      <x:c r="G76" s="297" t="n">
        <x:v>28</x:v>
      </x:c>
      <x:c r="H76" s="297" t="n">
        <x:v>1.4660000000000002</x:v>
      </x:c>
      <x:c r="I76" s="297" t="n">
        <x:v>1.4660000000000002</x:v>
      </x:c>
      <x:c r="J76" s="297" t="str">
        <x:v>2026-07-31 文件级审计确认 EEG signal present</x:v>
      </x:c>
      <x:c r="K76" s="297" t="str">
        <x:v>DOWNLOAD_PUBLIC</x:v>
      </x:c>
      <x:c r="L76" s="297" t="str">
        <x:v>https://narayanan.lab.uiowa.edu/datasets</x:v>
      </x:c>
      <x:c r="M76" s="297"/>
      <x:c r="N76" s="298" t="str">
        <x:v>否</x:v>
      </x:c>
    </x:row>
    <x:row r="77">
      <x:c r="A77" s="240" t="str">
        <x:v>EEG-0102</x:v>
      </x:c>
      <x:c r="B77" s="230" t="str">
        <x:v>疾病/临床</x:v>
      </x:c>
      <x:c r="C77" s="230" t="str">
        <x:v>Clinical_Abnormalities</x:v>
      </x:c>
      <x:c r="D77" s="230" t="str">
        <x:v>BrainLat (Latin American EEG)</x:v>
      </x:c>
      <x:c r="E77" s="230" t="str">
        <x:v>Neurological Disorder Classification (AD / bvFTD / PD / MS / healthy; multi-class) + resting-state research</x:v>
      </x:c>
      <x:c r="F77" s="230" t="str">
        <x:v>780 (across 5 Latin American countries)</x:v>
      </x:c>
      <x:c r="G77" s="230"/>
      <x:c r="H77" s="230"/>
      <x:c r="I77" s="230"/>
      <x:c r="J77" s="230" t="str">
        <x:v>未纳入现有服务器疾病目录审计</x:v>
      </x:c>
      <x:c r="K77" s="230" t="str">
        <x:v>DOWNLOAD_APPLICATION_REQUIRED</x:v>
      </x:c>
      <x:c r="L77" s="230" t="str">
        <x:v>https://doi.org/10.7303/syn51549340</x:v>
      </x:c>
      <x:c r="M77" s="230" t="str">
        <x:v>DOI:10.1038/s41597-023-02806-8,10.7303/syn51549340</x:v>
      </x:c>
      <x:c r="N77" s="241" t="str">
        <x:v>否</x:v>
      </x:c>
    </x:row>
    <x:row r="78">
      <x:c r="A78" s="296" t="str">
        <x:v>EEG-0103</x:v>
      </x:c>
      <x:c r="B78" s="297" t="str">
        <x:v>疾病/临床</x:v>
      </x:c>
      <x:c r="C78" s="297" t="str">
        <x:v>Clinical_Abnormalities</x:v>
      </x:c>
      <x:c r="D78" s="297" t="str">
        <x:v>MORGOTH HEEDB-Pretrain</x:v>
      </x:c>
      <x:c r="E78" s="297" t="str">
        <x:v>clinical EEG pretraining; all 17 EEG findings</x:v>
      </x:c>
      <x:c r="F78" s="297" t="str">
        <x:v>14,500</x:v>
      </x:c>
      <x:c r="G78" s="297"/>
      <x:c r="H78" s="297"/>
      <x:c r="I78" s="297"/>
      <x:c r="J78" s="297" t="str">
        <x:v>未纳入现有服务器疾病目录审计</x:v>
      </x:c>
      <x:c r="K78" s="297" t="str">
        <x:v>DOWNLOAD_PUBLIC</x:v>
      </x:c>
      <x:c r="L78" s="297" t="str">
        <x:v>https://bdsp.io/content/morgoth1/1.0.0/</x:v>
      </x:c>
      <x:c r="M78" s="297"/>
      <x:c r="N78" s="298" t="str">
        <x:v>否</x:v>
      </x:c>
    </x:row>
    <x:row r="79">
      <x:c r="A79" s="240" t="str">
        <x:v>EEG-0104</x:v>
      </x:c>
      <x:c r="B79" s="230" t="str">
        <x:v>疾病/临床</x:v>
      </x:c>
      <x:c r="C79" s="230" t="str">
        <x:v>Clinical_Abnormalities</x:v>
      </x:c>
      <x:c r="D79" s="230" t="str">
        <x:v>MORGOTH HEEDB-Test</x:v>
      </x:c>
      <x:c r="E79" s="230" t="str">
        <x:v>internal validation clinical EEG; all 17 EEG findings</x:v>
      </x:c>
      <x:c r="F79" s="230" t="str">
        <x:v>8,527</x:v>
      </x:c>
      <x:c r="G79" s="230"/>
      <x:c r="H79" s="230"/>
      <x:c r="I79" s="230"/>
      <x:c r="J79" s="230" t="str">
        <x:v>未纳入现有服务器疾病目录审计</x:v>
      </x:c>
      <x:c r="K79" s="230" t="str">
        <x:v>DOWNLOAD_PUBLIC</x:v>
      </x:c>
      <x:c r="L79" s="230" t="str">
        <x:v>https://bdsp.io/content/morgoth1/1.0.0/</x:v>
      </x:c>
      <x:c r="M79" s="230"/>
      <x:c r="N79" s="241" t="str">
        <x:v>否</x:v>
      </x:c>
    </x:row>
    <x:row r="80">
      <x:c r="A80" s="296" t="str">
        <x:v>EEG-0105</x:v>
      </x:c>
      <x:c r="B80" s="297" t="str">
        <x:v>疾病/临床</x:v>
      </x:c>
      <x:c r="C80" s="297" t="str">
        <x:v>Clinical_Abnormalities</x:v>
      </x:c>
      <x:c r="D80" s="297" t="str">
        <x:v>MORGOTH HEEDB-Train</x:v>
      </x:c>
      <x:c r="E80" s="297" t="str">
        <x:v>fine-tuning clinical EEG; all 17 EEG findings</x:v>
      </x:c>
      <x:c r="F80" s="297" t="str">
        <x:v>10,851</x:v>
      </x:c>
      <x:c r="G80" s="297"/>
      <x:c r="H80" s="297"/>
      <x:c r="I80" s="297"/>
      <x:c r="J80" s="297" t="str">
        <x:v>未纳入现有服务器疾病目录审计</x:v>
      </x:c>
      <x:c r="K80" s="297" t="str">
        <x:v>DOWNLOAD_PUBLIC</x:v>
      </x:c>
      <x:c r="L80" s="297" t="str">
        <x:v>https://bdsp.io/content/morgoth1/1.0.0/</x:v>
      </x:c>
      <x:c r="M80" s="297"/>
      <x:c r="N80" s="298" t="str">
        <x:v>否</x:v>
      </x:c>
    </x:row>
    <x:row r="81">
      <x:c r="A81" s="240" t="str">
        <x:v>EEG-0106</x:v>
      </x:c>
      <x:c r="B81" s="230" t="str">
        <x:v>疾病/临床</x:v>
      </x:c>
      <x:c r="C81" s="230" t="str">
        <x:v>Clinical_Abnormalities</x:v>
      </x:c>
      <x:c r="D81" s="230" t="str">
        <x:v>NMT Scalp EEG Dataset</x:v>
      </x:c>
      <x:c r="E81" s="230" t="str">
        <x:v>Recording-level abnormality classification (out-of-distribution external validation, no finetuning); linear probing at 1%/10%/100% labels</x:v>
      </x:c>
      <x:c r="F81" s="230" t="str">
        <x:v>2,417 unique subjects (~625h total)</x:v>
      </x:c>
      <x:c r="G81" s="230"/>
      <x:c r="H81" s="230"/>
      <x:c r="I81" s="230"/>
      <x:c r="J81" s="230" t="str">
        <x:v>未纳入现有服务器疾病目录审计</x:v>
      </x:c>
      <x:c r="K81" s="230" t="str">
        <x:v>DOWNLOAD_PUBLIC</x:v>
      </x:c>
      <x:c r="L81" s="230" t="str">
        <x:v>https://github.com/dll-ncai/eeg_pre-diagnostic_screening</x:v>
      </x:c>
      <x:c r="M81" s="230"/>
      <x:c r="N81" s="241" t="str">
        <x:v>否</x:v>
      </x:c>
    </x:row>
    <x:row r="82">
      <x:c r="A82" s="296" t="str">
        <x:v>EEG-0107</x:v>
      </x:c>
      <x:c r="B82" s="297" t="str">
        <x:v>疾病/临床</x:v>
      </x:c>
      <x:c r="C82" s="297" t="str">
        <x:v>Clinical_Abnormalities</x:v>
      </x:c>
      <x:c r="D82" s="297" t="str">
        <x:v>TUAB (TUH Abnormal)</x:v>
      </x:c>
      <x:c r="E82" s="297" t="str">
        <x:v>Abnormal vs normal clinical EEG</x:v>
      </x:c>
      <x:c r="F82" s="297" t="str">
        <x:v>2,383 (2,993 sessions)</x:v>
      </x:c>
      <x:c r="G82" s="297" t="n">
        <x:v>2329</x:v>
      </x:c>
      <x:c r="H82" s="297" t="n">
        <x:v>1141.0022222222221</x:v>
      </x:c>
      <x:c r="I82" s="297" t="n">
        <x:v>1141.0022222222221</x:v>
      </x:c>
      <x:c r="J82" s="297" t="str">
        <x:v>已下载，但与 TUEG 父库重叠；总量不重复相加</x:v>
      </x:c>
      <x:c r="K82" s="297" t="str">
        <x:v>DOWNLOAD_APPLICATION_REQUIRED</x:v>
      </x:c>
      <x:c r="L82" s="297" t="str">
        <x:v>https://isip.piconepress.com/projects/nedc/html/tuh_eeg/</x:v>
      </x:c>
      <x:c r="M82" s="297" t="str">
        <x:v>TUH:TUAB:v3.0.1</x:v>
      </x:c>
      <x:c r="N82" s="298" t="str">
        <x:v>否</x:v>
      </x:c>
    </x:row>
    <x:row r="83">
      <x:c r="A83" s="240" t="str">
        <x:v>EEG-0108</x:v>
      </x:c>
      <x:c r="B83" s="230" t="str">
        <x:v>睡眠健康/PSG</x:v>
      </x:c>
      <x:c r="C83" s="230" t="str">
        <x:v>睡眠分期/队列</x:v>
      </x:c>
      <x:c r="D83" s="230" t="str">
        <x:v>ABC</x:v>
      </x:c>
      <x:c r="E83" s="230" t="str">
        <x:v>COPD burden；sleep measures；sleep staging / respiratory events</x:v>
      </x:c>
      <x:c r="F83" s="230" t="str">
        <x:v>332</x:v>
      </x:c>
      <x:c r="G83" s="230"/>
      <x:c r="H83" s="230"/>
      <x:c r="I83" s="230"/>
      <x:c r="J83" s="230" t="str">
        <x:v>未纳入现有服务器疾病目录审计</x:v>
      </x:c>
      <x:c r="K83" s="230" t="str">
        <x:v>DOWNLOAD_PUBLIC</x:v>
      </x:c>
      <x:c r="L83" s="230" t="str">
        <x:v>https://sleepdata.org/datasets/abc</x:v>
      </x:c>
      <x:c r="M83" s="230"/>
      <x:c r="N83" s="241" t="str">
        <x:v>否</x:v>
      </x:c>
    </x:row>
    <x:row r="84">
      <x:c r="A84" s="296" t="str">
        <x:v>EEG-0110</x:v>
      </x:c>
      <x:c r="B84" s="297" t="str">
        <x:v>睡眠健康/PSG</x:v>
      </x:c>
      <x:c r="C84" s="297" t="str">
        <x:v>睡眠分期/队列</x:v>
      </x:c>
      <x:c r="D84" s="297" t="str">
        <x:v>ANPHY-Sleep</x:v>
      </x:c>
      <x:c r="E84" s="297" t="str">
        <x:v>Sleep staging (high-density PSG)</x:v>
      </x:c>
      <x:c r="F84" s="297" t="str">
        <x:v>29</x:v>
      </x:c>
      <x:c r="G84" s="297"/>
      <x:c r="H84" s="297"/>
      <x:c r="I84" s="297"/>
      <x:c r="J84" s="297" t="str">
        <x:v>未纳入现有服务器疾病目录审计</x:v>
      </x:c>
      <x:c r="K84" s="297" t="str">
        <x:v>DOWNLOAD_PUBLIC</x:v>
      </x:c>
      <x:c r="L84" s="297" t="str">
        <x:v>https://doi.org/10.17605/OSF.IO/R26FH</x:v>
      </x:c>
      <x:c r="M84" s="297" t="str">
        <x:v>DOI:10.17605/OSF.IO/R26FH</x:v>
      </x:c>
      <x:c r="N84" s="298" t="str">
        <x:v>否</x:v>
      </x:c>
    </x:row>
    <x:row r="85">
      <x:c r="A85" s="240" t="str">
        <x:v>EEG-0111</x:v>
      </x:c>
      <x:c r="B85" s="230" t="str">
        <x:v>睡眠健康/PSG</x:v>
      </x:c>
      <x:c r="C85" s="230" t="str">
        <x:v>睡眠分期/队列</x:v>
      </x:c>
      <x:c r="D85" s="230" t="str">
        <x:v>APPLES</x:v>
      </x:c>
      <x:c r="E85" s="230" t="str">
        <x:v>External validation cohort for sleep staging (unseen during pre-training and fine-tuning)</x:v>
      </x:c>
      <x:c r="F85" s="230" t="str">
        <x:v>1096.0</x:v>
      </x:c>
      <x:c r="G85" s="230"/>
      <x:c r="H85" s="230"/>
      <x:c r="I85" s="230"/>
      <x:c r="J85" s="230" t="str">
        <x:v>未纳入现有服务器疾病目录审计</x:v>
      </x:c>
      <x:c r="K85" s="230" t="str">
        <x:v>DOWNLOAD_PUBLIC</x:v>
      </x:c>
      <x:c r="L85" s="230" t="str">
        <x:v>https://sleepdata.org/datasets/apples</x:v>
      </x:c>
      <x:c r="M85" s="230"/>
      <x:c r="N85" s="241" t="str">
        <x:v>否</x:v>
      </x:c>
    </x:row>
    <x:row r="86">
      <x:c r="A86" s="296" t="str">
        <x:v>EEG-0112</x:v>
      </x:c>
      <x:c r="B86" s="297" t="str">
        <x:v>睡眠健康/PSG</x:v>
      </x:c>
      <x:c r="C86" s="297" t="str">
        <x:v>睡眠分期/队列</x:v>
      </x:c>
      <x:c r="D86" s="297" t="str">
        <x:v>ASCERTAIN</x:v>
      </x:c>
      <x:c r="E86" s="297" t="str">
        <x:v>valence / arousal / personality-aware affect recognition</x:v>
      </x:c>
      <x:c r="F86" s="297" t="str">
        <x:v>58</x:v>
      </x:c>
      <x:c r="G86" s="297"/>
      <x:c r="H86" s="297"/>
      <x:c r="I86" s="297"/>
      <x:c r="J86" s="297" t="str">
        <x:v>未纳入现有服务器疾病目录审计</x:v>
      </x:c>
      <x:c r="K86" s="297" t="str">
        <x:v>DOWNLOAD_PUBLIC</x:v>
      </x:c>
      <x:c r="L86" s="297" t="str">
        <x:v>https://ascertain-dataset.github.io/</x:v>
      </x:c>
      <x:c r="M86" s="297"/>
      <x:c r="N86" s="298" t="str">
        <x:v>否</x:v>
      </x:c>
    </x:row>
    <x:row r="87">
      <x:c r="A87" s="240" t="str">
        <x:v>EEG-0113</x:v>
      </x:c>
      <x:c r="B87" s="230" t="str">
        <x:v>睡眠健康/PSG</x:v>
      </x:c>
      <x:c r="C87" s="230" t="str">
        <x:v>睡眠分期/队列</x:v>
      </x:c>
      <x:c r="D87" s="230" t="str">
        <x:v>BOAS</x:v>
      </x:c>
      <x:c r="E87" s="230" t="str">
        <x:v>Sleep staging (PSG + wearable headband)</x:v>
      </x:c>
      <x:c r="F87" s="230" t="str">
        <x:v>128 recordings (108 participants)</x:v>
      </x:c>
      <x:c r="G87" s="230"/>
      <x:c r="H87" s="230"/>
      <x:c r="I87" s="230"/>
      <x:c r="J87" s="230" t="str">
        <x:v>未纳入现有服务器疾病目录审计</x:v>
      </x:c>
      <x:c r="K87" s="230" t="str">
        <x:v>DOWNLOAD_PUBLIC</x:v>
      </x:c>
      <x:c r="L87" s="230" t="str">
        <x:v>https://openneuro.org/datasets/ds005555</x:v>
      </x:c>
      <x:c r="M87" s="230" t="str">
        <x:v>OpenNeuro:ds005555</x:v>
      </x:c>
      <x:c r="N87" s="241" t="str">
        <x:v>否</x:v>
      </x:c>
    </x:row>
    <x:row r="88">
      <x:c r="A88" s="296" t="str">
        <x:v>EEG-0114</x:v>
      </x:c>
      <x:c r="B88" s="297" t="str">
        <x:v>睡眠健康/PSG</x:v>
      </x:c>
      <x:c r="C88" s="297" t="str">
        <x:v>临床/睡眠实验室</x:v>
      </x:c>
      <x:c r="D88" s="297" t="str">
        <x:v>CAP Sleep Database</x:v>
      </x:c>
      <x:c r="E88" s="297" t="str">
        <x:v>EEG-based sleep staging (5-class: W, N1, N2, N3, REM; originally K&amp;M scoring, S3/S4 merged to N3); source-free UDA under inherent label shifts</x:v>
      </x:c>
      <x:c r="F88" s="297" t="str">
        <x:v>108 recordings (16 healthy + 92 patients)</x:v>
      </x:c>
      <x:c r="G88" s="297"/>
      <x:c r="H88" s="297"/>
      <x:c r="I88" s="297"/>
      <x:c r="J88" s="297" t="str">
        <x:v>未纳入现有服务器疾病目录审计</x:v>
      </x:c>
      <x:c r="K88" s="297" t="str">
        <x:v>DOWNLOAD_PUBLIC</x:v>
      </x:c>
      <x:c r="L88" s="297" t="str">
        <x:v>https://physionet.org/content/capslpdb/1.0.0/</x:v>
      </x:c>
      <x:c r="M88" s="297" t="str">
        <x:v>PhysioNet:capslpdb</x:v>
      </x:c>
      <x:c r="N88" s="298" t="str">
        <x:v>否</x:v>
      </x:c>
    </x:row>
    <x:row r="89">
      <x:c r="A89" s="240" t="str">
        <x:v>EEG-0115</x:v>
      </x:c>
      <x:c r="B89" s="230" t="str">
        <x:v>睡眠健康/PSG</x:v>
      </x:c>
      <x:c r="C89" s="230" t="str">
        <x:v>睡眠分期/队列</x:v>
      </x:c>
      <x:c r="D89" s="230" t="str">
        <x:v>CCSHS</x:v>
      </x:c>
      <x:c r="E89" s="230" t="str">
        <x:v>Sleep stages, sleep-disordered breathing, blood pressure, neuropsychology and behavioral assessments</x:v>
      </x:c>
      <x:c r="F89" s="230" t="str">
        <x:v>515.0</x:v>
      </x:c>
      <x:c r="G89" s="230"/>
      <x:c r="H89" s="230"/>
      <x:c r="I89" s="230"/>
      <x:c r="J89" s="230" t="str">
        <x:v>未纳入现有服务器疾病目录审计</x:v>
      </x:c>
      <x:c r="K89" s="230" t="str">
        <x:v>DOWNLOAD_PUBLIC</x:v>
      </x:c>
      <x:c r="L89" s="230" t="str">
        <x:v>https://sleepdata.org/datasets/ccshs</x:v>
      </x:c>
      <x:c r="M89" s="230"/>
      <x:c r="N89" s="241" t="str">
        <x:v>否</x:v>
      </x:c>
    </x:row>
    <x:row r="90">
      <x:c r="A90" s="296" t="str">
        <x:v>EEG-0116</x:v>
      </x:c>
      <x:c r="B90" s="297" t="str">
        <x:v>睡眠健康/PSG</x:v>
      </x:c>
      <x:c r="C90" s="297" t="str">
        <x:v>睡眠分期/队列</x:v>
      </x:c>
      <x:c r="D90" s="297" t="str">
        <x:v>CFS</x:v>
      </x:c>
      <x:c r="E90" s="297" t="str">
        <x:v>Sleep apnea / sleep stages / longitudinal clinical covariates / familial aggregation of sleep apnea</x:v>
      </x:c>
      <x:c r="F90" s="297" t="str">
        <x:v>735</x:v>
      </x:c>
      <x:c r="G90" s="297"/>
      <x:c r="H90" s="297"/>
      <x:c r="I90" s="297"/>
      <x:c r="J90" s="297" t="str">
        <x:v>未纳入现有服务器疾病目录审计</x:v>
      </x:c>
      <x:c r="K90" s="297" t="str">
        <x:v>DOWNLOAD_PUBLIC</x:v>
      </x:c>
      <x:c r="L90" s="297" t="str">
        <x:v>https://sleepdata.org/datasets/cfs</x:v>
      </x:c>
      <x:c r="M90" s="297"/>
      <x:c r="N90" s="298" t="str">
        <x:v>否</x:v>
      </x:c>
    </x:row>
    <x:row r="91">
      <x:c r="A91" s="240" t="str">
        <x:v>EEG-0117</x:v>
      </x:c>
      <x:c r="B91" s="230" t="str">
        <x:v>睡眠健康/PSG</x:v>
      </x:c>
      <x:c r="C91" s="230" t="str">
        <x:v>睡眠分期/队列</x:v>
      </x:c>
      <x:c r="D91" s="230" t="str">
        <x:v>CHAT</x:v>
      </x:c>
      <x:c r="E91" s="230" t="str">
        <x:v>pediatric OSA; sleep staging; adenotonsillectomy trial PSG</x:v>
      </x:c>
      <x:c r="F91" s="230" t="str">
        <x:v>1232.0</x:v>
      </x:c>
      <x:c r="G91" s="230"/>
      <x:c r="H91" s="230"/>
      <x:c r="I91" s="230"/>
      <x:c r="J91" s="230" t="str">
        <x:v>未纳入现有服务器疾病目录审计</x:v>
      </x:c>
      <x:c r="K91" s="230" t="str">
        <x:v>DOWNLOAD_APPLICATION_REQUIRED</x:v>
      </x:c>
      <x:c r="L91" s="230" t="str">
        <x:v>https://sleepdata.org/datasets/chat</x:v>
      </x:c>
      <x:c r="M91" s="230"/>
      <x:c r="N91" s="241" t="str">
        <x:v>否</x:v>
      </x:c>
    </x:row>
    <x:row r="92">
      <x:c r="A92" s="296" t="str">
        <x:v>EEG-0120</x:v>
      </x:c>
      <x:c r="B92" s="297" t="str">
        <x:v>睡眠健康/PSG</x:v>
      </x:c>
      <x:c r="C92" s="297" t="str">
        <x:v>睡眠分期/队列</x:v>
      </x:c>
      <x:c r="D92" s="297" t="str">
        <x:v>DREAMER</x:v>
      </x:c>
      <x:c r="E92" s="297" t="str">
        <x:v>Emotion recognition (cross-subject); binary valence and arousal classification (split by median score 3 on a 1-5 scale)</x:v>
      </x:c>
      <x:c r="F92" s="297" t="str">
        <x:v>23</x:v>
      </x:c>
      <x:c r="G92" s="297"/>
      <x:c r="H92" s="297"/>
      <x:c r="I92" s="297"/>
      <x:c r="J92" s="297" t="str">
        <x:v>未纳入现有服务器疾病目录审计</x:v>
      </x:c>
      <x:c r="K92" s="297" t="str">
        <x:v>DOWNLOAD_PUBLIC</x:v>
      </x:c>
      <x:c r="L92" s="297" t="str">
        <x:v>https://zenodo.org/records/546113</x:v>
      </x:c>
      <x:c r="M92" s="297" t="str">
        <x:v>Zenodo:546113</x:v>
      </x:c>
      <x:c r="N92" s="298" t="str">
        <x:v>否</x:v>
      </x:c>
    </x:row>
    <x:row r="93">
      <x:c r="A93" s="240" t="str">
        <x:v>EEG-0121</x:v>
      </x:c>
      <x:c r="B93" s="230" t="str">
        <x:v>睡眠健康/PSG</x:v>
      </x:c>
      <x:c r="C93" s="230" t="str">
        <x:v>睡眠分期/队列</x:v>
      </x:c>
      <x:c r="D93" s="230" t="str">
        <x:v>DREAMS-SUB (DREAMS Subjects Database)</x:v>
      </x:c>
      <x:c r="E93" s="230" t="str">
        <x:v>Sleep staging</x:v>
      </x:c>
      <x:c r="F93" s="230" t="str">
        <x:v>20.0</x:v>
      </x:c>
      <x:c r="G93" s="230"/>
      <x:c r="H93" s="230"/>
      <x:c r="I93" s="230"/>
      <x:c r="J93" s="230" t="str">
        <x:v>未纳入现有服务器疾病目录审计</x:v>
      </x:c>
      <x:c r="K93" s="230" t="str">
        <x:v>DOWNLOAD_PUBLIC</x:v>
      </x:c>
      <x:c r="L93" s="230" t="str"/>
      <x:c r="M93" s="230" t="str">
        <x:v>Zenodo:2650142 | DOI:10.5281/zenodo.2650142</x:v>
      </x:c>
      <x:c r="N93" s="241" t="str">
        <x:v>否</x:v>
      </x:c>
    </x:row>
    <x:row r="94">
      <x:c r="A94" s="296" t="str">
        <x:v>EEG-0122</x:v>
      </x:c>
      <x:c r="B94" s="297" t="str">
        <x:v>睡眠健康/PSG</x:v>
      </x:c>
      <x:c r="C94" s="297" t="str">
        <x:v>睡眠分期/队列</x:v>
      </x:c>
      <x:c r="D94" s="297" t="str">
        <x:v>Dreem Open Datasets (DOD-H</x:v>
      </x:c>
      <x:c r="E94" s="297" t="str">
        <x:v>Sleep staging with clinical PSG and wearable headband</x:v>
      </x:c>
      <x:c r="F94" s="297" t="str">
        <x:v>80</x:v>
      </x:c>
      <x:c r="G94" s="297"/>
      <x:c r="H94" s="297"/>
      <x:c r="I94" s="297"/>
      <x:c r="J94" s="297" t="str">
        <x:v>未纳入现有服务器疾病目录审计</x:v>
      </x:c>
      <x:c r="K94" s="297" t="str">
        <x:v>DOWNLOAD_APPLICATION_REQUIRED</x:v>
      </x:c>
      <x:c r="L94" s="297" t="str">
        <x:v>https://zenodo.org/records/4498364</x:v>
      </x:c>
      <x:c r="M94" s="297" t="str">
        <x:v>Zenodo:4498364</x:v>
      </x:c>
      <x:c r="N94" s="298" t="str">
        <x:v>否</x:v>
      </x:c>
    </x:row>
    <x:row r="95">
      <x:c r="A95" s="240" t="str">
        <x:v>EEG-0123</x:v>
      </x:c>
      <x:c r="B95" s="230" t="str">
        <x:v>睡眠健康/PSG</x:v>
      </x:c>
      <x:c r="C95" s="230" t="str">
        <x:v>睡眠分期/队列</x:v>
      </x:c>
      <x:c r="D95" s="230" t="str">
        <x:v>Ear-EEG Sleep Monitoring 2017</x:v>
      </x:c>
      <x:c r="E95" s="230" t="str">
        <x:v>sleep monitoring；ear-EEG vs conventional sleep EEG</x:v>
      </x:c>
      <x:c r="F95" s="230" t="str">
        <x:v>9</x:v>
      </x:c>
      <x:c r="G95" s="230"/>
      <x:c r="H95" s="230"/>
      <x:c r="I95" s="230"/>
      <x:c r="J95" s="230" t="str">
        <x:v>未纳入现有服务器疾病目录审计</x:v>
      </x:c>
      <x:c r="K95" s="230" t="str">
        <x:v>DOWNLOAD_PUBLIC</x:v>
      </x:c>
      <x:c r="L95" s="230" t="str">
        <x:v>https://openneuro.org/datasets/ds004348/versions/1.0.5</x:v>
      </x:c>
      <x:c r="M95" s="230" t="str">
        <x:v>OpenNeuro:ds004348</x:v>
      </x:c>
      <x:c r="N95" s="241" t="str">
        <x:v>否</x:v>
      </x:c>
    </x:row>
    <x:row r="96">
      <x:c r="A96" s="296" t="str">
        <x:v>EEG-0124</x:v>
      </x:c>
      <x:c r="B96" s="297" t="str">
        <x:v>睡眠健康/PSG</x:v>
      </x:c>
      <x:c r="C96" s="297" t="str">
        <x:v>睡眠分期/队列</x:v>
      </x:c>
      <x:c r="D96" s="297" t="str">
        <x:v>EESM23 (Ear-EEG Sleep Monitoring)</x:v>
      </x:c>
      <x:c r="E96" s="297" t="str">
        <x:v>Ear-EEG based sleep staging (out-of-distribution / scalability evaluation)</x:v>
      </x:c>
      <x:c r="F96" s="297" t="str">
        <x:v>10.0</x:v>
      </x:c>
      <x:c r="G96" s="297"/>
      <x:c r="H96" s="297"/>
      <x:c r="I96" s="297"/>
      <x:c r="J96" s="297" t="str">
        <x:v>未纳入现有服务器疾病目录审计</x:v>
      </x:c>
      <x:c r="K96" s="297" t="str">
        <x:v>DOWNLOAD_PUBLIC</x:v>
      </x:c>
      <x:c r="L96" s="297" t="str">
        <x:v>https://openneuro.org/datasets/ds005178/versions/1.0.0</x:v>
      </x:c>
      <x:c r="M96" s="297" t="str">
        <x:v>OpenNeuro:ds005178</x:v>
      </x:c>
      <x:c r="N96" s="298" t="str">
        <x:v>否</x:v>
      </x:c>
    </x:row>
    <x:row r="97">
      <x:c r="A97" s="240" t="str">
        <x:v>EEG-0125</x:v>
      </x:c>
      <x:c r="B97" s="230" t="str">
        <x:v>睡眠健康/PSG</x:v>
      </x:c>
      <x:c r="C97" s="230" t="str">
        <x:v>睡眠分期/队列</x:v>
      </x:c>
      <x:c r="D97" s="230" t="str">
        <x:v>HMC (Haaglanden)</x:v>
      </x:c>
      <x:c r="E97" s="230" t="str">
        <x:v>Sleep staging (5-class, AASM)</x:v>
      </x:c>
      <x:c r="F97" s="230" t="str">
        <x:v>151 (85M/66F)</x:v>
      </x:c>
      <x:c r="G97" s="230"/>
      <x:c r="H97" s="230"/>
      <x:c r="I97" s="230"/>
      <x:c r="J97" s="230" t="str">
        <x:v>未纳入现有服务器疾病目录审计</x:v>
      </x:c>
      <x:c r="K97" s="230" t="str">
        <x:v>DOWNLOAD_PUBLIC</x:v>
      </x:c>
      <x:c r="L97" s="230" t="str">
        <x:v>https://physionet.org/content/hmc-sleep-staging/1.1/</x:v>
      </x:c>
      <x:c r="M97" s="230" t="str">
        <x:v>PhysioNet:hmc-sleep-staging</x:v>
      </x:c>
      <x:c r="N97" s="241" t="str">
        <x:v>否</x:v>
      </x:c>
    </x:row>
    <x:row r="98">
      <x:c r="A98" s="296" t="str">
        <x:v>EEG-0126</x:v>
      </x:c>
      <x:c r="B98" s="297" t="str">
        <x:v>睡眠健康/PSG</x:v>
      </x:c>
      <x:c r="C98" s="297" t="str">
        <x:v>睡眠分期/队列</x:v>
      </x:c>
      <x:c r="D98" s="297" t="str">
        <x:v>HomePAP</x:v>
      </x:c>
      <x:c r="E98" s="297" t="str">
        <x:v>OSA diagnosis; home vs laboratory pathway; sleep staging</x:v>
      </x:c>
      <x:c r="F98" s="297" t="str">
        <x:v>343 个含原始 PSG/EEG 的参与者</x:v>
      </x:c>
      <x:c r="G98" s="297"/>
      <x:c r="H98" s="297"/>
      <x:c r="I98" s="297"/>
      <x:c r="J98" s="297" t="str">
        <x:v>未纳入现有服务器疾病目录审计</x:v>
      </x:c>
      <x:c r="K98" s="297" t="str">
        <x:v>DOWNLOAD_APPLICATION_REQUIRED</x:v>
      </x:c>
      <x:c r="L98" s="297" t="str">
        <x:v>https://sleepdata.org/datasets/homepap</x:v>
      </x:c>
      <x:c r="M98" s="297"/>
      <x:c r="N98" s="298" t="str">
        <x:v>否</x:v>
      </x:c>
    </x:row>
    <x:row r="99">
      <x:c r="A99" s="240" t="str">
        <x:v>EEG-0127</x:v>
      </x:c>
      <x:c r="B99" s="230" t="str">
        <x:v>睡眠健康/PSG</x:v>
      </x:c>
      <x:c r="C99" s="230" t="str">
        <x:v>临床/睡眠实验室</x:v>
      </x:c>
      <x:c r="D99" s="230" t="str">
        <x:v>Human Sleep Project (HSP)</x:v>
      </x:c>
      <x:c r="E99" s="230" t="str">
        <x:v>Pre-training (multimodal contrastive PSG foundation model)</x:v>
      </x:c>
      <x:c r="F99" s="230" t="str">
        <x:v>18973.0</x:v>
      </x:c>
      <x:c r="G99" s="230"/>
      <x:c r="H99" s="230"/>
      <x:c r="I99" s="230"/>
      <x:c r="J99" s="230" t="str">
        <x:v>未纳入现有服务器疾病目录审计</x:v>
      </x:c>
      <x:c r="K99" s="230" t="str">
        <x:v>DOWNLOAD_APPLICATION_REQUIRED</x:v>
      </x:c>
      <x:c r="L99" s="230" t="str">
        <x:v>https://bdsp.io/content/hsp/</x:v>
      </x:c>
      <x:c r="M99" s="230" t="str">
        <x:v>DOI:10.60508/qjbv-hg78</x:v>
      </x:c>
      <x:c r="N99" s="241" t="str">
        <x:v>否</x:v>
      </x:c>
    </x:row>
    <x:row r="100">
      <x:c r="A100" s="296" t="str">
        <x:v>EEG-0128</x:v>
      </x:c>
      <x:c r="B100" s="297" t="str">
        <x:v>睡眠健康/PSG</x:v>
      </x:c>
      <x:c r="C100" s="297" t="str">
        <x:v>临床/睡眠实验室</x:v>
      </x:c>
      <x:c r="D100" s="297" t="str">
        <x:v>ISRUC-Sleep</x:v>
      </x:c>
      <x:c r="E100" s="297" t="str">
        <x:v>Sleep stage classification (5-class, AASM)</x:v>
      </x:c>
      <x:c r="F100" s="297" t="str">
        <x:v>118 total (SG-I: 100; SG-II: 8 longitudinal; SG-III: 10)</x:v>
      </x:c>
      <x:c r="G100" s="297"/>
      <x:c r="H100" s="297"/>
      <x:c r="I100" s="297"/>
      <x:c r="J100" s="297" t="str">
        <x:v>未纳入现有服务器疾病目录审计</x:v>
      </x:c>
      <x:c r="K100" s="297" t="str">
        <x:v>DOWNLOAD_PUBLIC</x:v>
      </x:c>
      <x:c r="L100" s="297" t="str">
        <x:v>https://sleeptight.isr.uc.pt/</x:v>
      </x:c>
      <x:c r="M100" s="297"/>
      <x:c r="N100" s="298" t="str">
        <x:v>否</x:v>
      </x:c>
    </x:row>
    <x:row r="101">
      <x:c r="A101" s="240" t="str">
        <x:v>EEG-0129</x:v>
      </x:c>
      <x:c r="B101" s="230" t="str">
        <x:v>睡眠健康/PSG</x:v>
      </x:c>
      <x:c r="C101" s="230" t="str">
        <x:v>睡眠分期/队列</x:v>
      </x:c>
      <x:c r="D101" s="230" t="str">
        <x:v>MAHNOB-HCI</x:v>
      </x:c>
      <x:c r="E101" s="230" t="str">
        <x:v>Multimodal emotion recognition (valence and arousal binary classification; threshold of 5 on 1-9 self-report scale)；Emotion recognition / affect recognition</x:v>
      </x:c>
      <x:c r="F101" s="230" t="str">
        <x:v>30</x:v>
      </x:c>
      <x:c r="G101" s="230"/>
      <x:c r="H101" s="230"/>
      <x:c r="I101" s="230"/>
      <x:c r="J101" s="230" t="str">
        <x:v>未纳入现有服务器疾病目录审计</x:v>
      </x:c>
      <x:c r="K101" s="230" t="str">
        <x:v>DOWNLOAD_PUBLIC</x:v>
      </x:c>
      <x:c r="L101" s="230" t="str">
        <x:v>https://mahnob-db.eu/hci-tagging/</x:v>
      </x:c>
      <x:c r="M101" s="230" t="str">
        <x:v>DOI:10.1109/T-AFFC.2011.2</x:v>
      </x:c>
      <x:c r="N101" s="241" t="str">
        <x:v>否</x:v>
      </x:c>
    </x:row>
    <x:row r="102">
      <x:c r="A102" s="296" t="str">
        <x:v>EEG-0130</x:v>
      </x:c>
      <x:c r="B102" s="297" t="str">
        <x:v>睡眠健康/PSG</x:v>
      </x:c>
      <x:c r="C102" s="297" t="str">
        <x:v>临床/睡眠实验室</x:v>
      </x:c>
      <x:c r="D102" s="297" t="str">
        <x:v>MASS</x:v>
      </x:c>
      <x:c r="E102" s="297" t="str">
        <x:v>Sleep stages；也可用于睡眠微结构、spindle、arousal 等研究，具体标签取决于 subset</x:v>
      </x:c>
      <x:c r="F102" s="297" t="str">
        <x:v>200</x:v>
      </x:c>
      <x:c r="G102" s="297"/>
      <x:c r="H102" s="297"/>
      <x:c r="I102" s="297"/>
      <x:c r="J102" s="297" t="str">
        <x:v>未纳入现有服务器疾病目录审计</x:v>
      </x:c>
      <x:c r="K102" s="297" t="str">
        <x:v>DOWNLOAD_PUBLIC</x:v>
      </x:c>
      <x:c r="L102" s="297" t="str">
        <x:v>http://ceams-carsm.ca/mass/</x:v>
      </x:c>
      <x:c r="M102" s="297"/>
      <x:c r="N102" s="298" t="str">
        <x:v>否</x:v>
      </x:c>
    </x:row>
    <x:row r="103">
      <x:c r="A103" s="240" t="str">
        <x:v>EEG-0131</x:v>
      </x:c>
      <x:c r="B103" s="230" t="str">
        <x:v>睡眠健康/PSG</x:v>
      </x:c>
      <x:c r="C103" s="230" t="str">
        <x:v>睡眠分期/队列</x:v>
      </x:c>
      <x:c r="D103" s="230" t="str">
        <x:v>MORGOTH BCH-PSG</x:v>
      </x:c>
      <x:c r="E103" s="230" t="str">
        <x:v>5-class sleep staging</x:v>
      </x:c>
      <x:c r="F103" s="230" t="str">
        <x:v>1,000</x:v>
      </x:c>
      <x:c r="G103" s="230"/>
      <x:c r="H103" s="230"/>
      <x:c r="I103" s="230"/>
      <x:c r="J103" s="230" t="str">
        <x:v>未纳入现有服务器疾病目录审计</x:v>
      </x:c>
      <x:c r="K103" s="230" t="str">
        <x:v>DOWNLOAD_PUBLIC</x:v>
      </x:c>
      <x:c r="L103" s="230" t="str">
        <x:v>https://bdsp.io/content/morgoth1/1.0.0/</x:v>
      </x:c>
      <x:c r="M103" s="230"/>
      <x:c r="N103" s="241" t="str">
        <x:v>否</x:v>
      </x:c>
    </x:row>
    <x:row r="104">
      <x:c r="A104" s="296" t="str">
        <x:v>EEG-0132</x:v>
      </x:c>
      <x:c r="B104" s="297" t="str">
        <x:v>睡眠健康/PSG</x:v>
      </x:c>
      <x:c r="C104" s="297" t="str">
        <x:v>睡眠分期/队列</x:v>
      </x:c>
      <x:c r="D104" s="297" t="str">
        <x:v>MORGOTH MGH-PSG-Test</x:v>
      </x:c>
      <x:c r="E104" s="297" t="str">
        <x:v>5-class sleep staging</x:v>
      </x:c>
      <x:c r="F104" s="297" t="str">
        <x:v>1,000</x:v>
      </x:c>
      <x:c r="G104" s="297"/>
      <x:c r="H104" s="297"/>
      <x:c r="I104" s="297"/>
      <x:c r="J104" s="297" t="str">
        <x:v>未纳入现有服务器疾病目录审计</x:v>
      </x:c>
      <x:c r="K104" s="297" t="str">
        <x:v>DOWNLOAD_PUBLIC</x:v>
      </x:c>
      <x:c r="L104" s="297" t="str">
        <x:v>https://bdsp.io/content/morgoth1/1.0.0/</x:v>
      </x:c>
      <x:c r="M104" s="297"/>
      <x:c r="N104" s="298" t="str">
        <x:v>否</x:v>
      </x:c>
    </x:row>
    <x:row r="105">
      <x:c r="A105" s="240" t="str">
        <x:v>EEG-0133</x:v>
      </x:c>
      <x:c r="B105" s="230" t="str">
        <x:v>睡眠健康/PSG</x:v>
      </x:c>
      <x:c r="C105" s="230" t="str">
        <x:v>睡眠分期/队列</x:v>
      </x:c>
      <x:c r="D105" s="230" t="str">
        <x:v>MORGOTH MGH-PSG-Train</x:v>
      </x:c>
      <x:c r="E105" s="230" t="str">
        <x:v>5-class sleep staging</x:v>
      </x:c>
      <x:c r="F105" s="230" t="str">
        <x:v>1,000</x:v>
      </x:c>
      <x:c r="G105" s="230"/>
      <x:c r="H105" s="230"/>
      <x:c r="I105" s="230"/>
      <x:c r="J105" s="230" t="str">
        <x:v>未纳入现有服务器疾病目录审计</x:v>
      </x:c>
      <x:c r="K105" s="230" t="str">
        <x:v>DOWNLOAD_PUBLIC</x:v>
      </x:c>
      <x:c r="L105" s="230" t="str">
        <x:v>https://bdsp.io/content/morgoth1/1.0.0/</x:v>
      </x:c>
      <x:c r="M105" s="230"/>
      <x:c r="N105" s="241" t="str">
        <x:v>否</x:v>
      </x:c>
    </x:row>
    <x:row r="106">
      <x:c r="A106" s="296" t="str">
        <x:v>EEG-0134</x:v>
      </x:c>
      <x:c r="B106" s="297" t="str">
        <x:v>睡眠健康/PSG</x:v>
      </x:c>
      <x:c r="C106" s="297" t="str">
        <x:v>睡眠分期/队列</x:v>
      </x:c>
      <x:c r="D106" s="297" t="str">
        <x:v>MORGOTH UPenn PSG</x:v>
      </x:c>
      <x:c r="E106" s="297" t="str">
        <x:v>5-class sleep staging external validation</x:v>
      </x:c>
      <x:c r="F106" s="297" t="str">
        <x:v>69</x:v>
      </x:c>
      <x:c r="G106" s="297"/>
      <x:c r="H106" s="297"/>
      <x:c r="I106" s="297"/>
      <x:c r="J106" s="297" t="str">
        <x:v>未纳入现有服务器疾病目录审计</x:v>
      </x:c>
      <x:c r="K106" s="297" t="str">
        <x:v>DOWNLOAD_PUBLIC</x:v>
      </x:c>
      <x:c r="L106" s="297" t="str">
        <x:v>https://bdsp.io/content/morgoth1/1.0.0/</x:v>
      </x:c>
      <x:c r="M106" s="297"/>
      <x:c r="N106" s="298" t="str">
        <x:v>否</x:v>
      </x:c>
    </x:row>
    <x:row r="107">
      <x:c r="A107" s="240" t="str">
        <x:v>EEG-0135</x:v>
      </x:c>
      <x:c r="B107" s="230" t="str">
        <x:v>睡眠健康/PSG</x:v>
      </x:c>
      <x:c r="C107" s="230" t="str">
        <x:v>睡眠分期/队列</x:v>
      </x:c>
      <x:c r="D107" s="230" t="str">
        <x:v>MrOS Sleep</x:v>
      </x:c>
      <x:c r="E107" s="230" t="str">
        <x:v>Sleep stages, sleep-disordered breathing, actigraphy-derived sleep metrics, clinical covariates</x:v>
      </x:c>
      <x:c r="F107" s="230" t="str">
        <x:v>2,907（Visit 1）；1,026 为重复随访 Visit 2，不相加为唯一人数</x:v>
      </x:c>
      <x:c r="G107" s="230"/>
      <x:c r="H107" s="230"/>
      <x:c r="I107" s="230"/>
      <x:c r="J107" s="230" t="str">
        <x:v>未纳入现有服务器疾病目录审计</x:v>
      </x:c>
      <x:c r="K107" s="230" t="str">
        <x:v>DOWNLOAD_PUBLIC</x:v>
      </x:c>
      <x:c r="L107" s="230" t="str">
        <x:v>https://sleepdata.org/datasets/mros</x:v>
      </x:c>
      <x:c r="M107" s="230"/>
      <x:c r="N107" s="241" t="str">
        <x:v>否</x:v>
      </x:c>
    </x:row>
    <x:row r="108">
      <x:c r="A108" s="296" t="str">
        <x:v>EEG-0136</x:v>
      </x:c>
      <x:c r="B108" s="297" t="str">
        <x:v>睡眠健康/PSG</x:v>
      </x:c>
      <x:c r="C108" s="297" t="str">
        <x:v>临床/睡眠实验室</x:v>
      </x:c>
      <x:c r="D108" s="297" t="str">
        <x:v>NCHSDB</x:v>
      </x:c>
      <x:c r="E108" s="297" t="str">
        <x:v>pediatric sleep staging; sleep disorder PSG with clinical EHR covariates</x:v>
      </x:c>
      <x:c r="F108" s="297" t="str">
        <x:v>3960.0</x:v>
      </x:c>
      <x:c r="G108" s="297"/>
      <x:c r="H108" s="297"/>
      <x:c r="I108" s="297"/>
      <x:c r="J108" s="297" t="str">
        <x:v>未纳入现有服务器疾病目录审计</x:v>
      </x:c>
      <x:c r="K108" s="297" t="str">
        <x:v>DOWNLOAD_PUBLIC</x:v>
      </x:c>
      <x:c r="L108" s="297" t="str">
        <x:v>https://physionet.org/content/nch-sleep/</x:v>
      </x:c>
      <x:c r="M108" s="297" t="str">
        <x:v>PhysioNet:nch-sleep</x:v>
      </x:c>
      <x:c r="N108" s="298" t="str">
        <x:v>否</x:v>
      </x:c>
    </x:row>
    <x:row r="109">
      <x:c r="A109" s="240" t="str">
        <x:v>EEG-0137</x:v>
      </x:c>
      <x:c r="B109" s="230" t="str">
        <x:v>睡眠健康/PSG</x:v>
      </x:c>
      <x:c r="C109" s="230" t="str">
        <x:v>睡眠分期/队列</x:v>
      </x:c>
      <x:c r="D109" s="230" t="str">
        <x:v>NFS</x:v>
      </x:c>
      <x:c r="E109" s="230" t="str">
        <x:v>sleep/circadian protocols; PSG, actigraphy, questionnaires</x:v>
      </x:c>
      <x:c r="F109" s="230" t="str">
        <x:v>未给出</x:v>
      </x:c>
      <x:c r="G109" s="230"/>
      <x:c r="H109" s="230"/>
      <x:c r="I109" s="230"/>
      <x:c r="J109" s="230" t="str">
        <x:v>未纳入现有服务器疾病目录审计</x:v>
      </x:c>
      <x:c r="K109" s="230" t="str">
        <x:v>DOWNLOAD_APPLICATION_REQUIRED</x:v>
      </x:c>
      <x:c r="L109" s="230" t="str">
        <x:v>https://sleepdata.org/datasets/nfs</x:v>
      </x:c>
      <x:c r="M109" s="230"/>
      <x:c r="N109" s="241" t="str">
        <x:v>否</x:v>
      </x:c>
    </x:row>
    <x:row r="110">
      <x:c r="A110" s="296" t="str">
        <x:v>EEG-0138</x:v>
      </x:c>
      <x:c r="B110" s="297" t="str">
        <x:v>睡眠健康/PSG</x:v>
      </x:c>
      <x:c r="C110" s="297" t="str">
        <x:v>睡眠分期/队列</x:v>
      </x:c>
      <x:c r="D110" s="297" t="str">
        <x:v>OpenNeuro ds003768 simultaneous EEG-fMRI sleep</x:v>
      </x:c>
      <x:c r="E110" s="297" t="str">
        <x:v>rest / sleep states；sleep staging；EEG-fMRI coupling</x:v>
      </x:c>
      <x:c r="F110" s="297" t="str">
        <x:v>33</x:v>
      </x:c>
      <x:c r="G110" s="297"/>
      <x:c r="H110" s="297"/>
      <x:c r="I110" s="297"/>
      <x:c r="J110" s="297" t="str">
        <x:v>未纳入现有服务器疾病目录审计</x:v>
      </x:c>
      <x:c r="K110" s="297" t="str">
        <x:v>DOWNLOAD_PUBLIC</x:v>
      </x:c>
      <x:c r="L110" s="297" t="str">
        <x:v>https://openneuro.org/datasets/ds003768</x:v>
      </x:c>
      <x:c r="M110" s="297" t="str">
        <x:v>OpenNeuro:ds003768 | DOI:10.1016/j.dib.2023.109059</x:v>
      </x:c>
      <x:c r="N110" s="298" t="str">
        <x:v>否</x:v>
      </x:c>
    </x:row>
    <x:row r="111">
      <x:c r="A111" s="240" t="str">
        <x:v>EEG-0139</x:v>
      </x:c>
      <x:c r="B111" s="230" t="str">
        <x:v>睡眠健康/PSG</x:v>
      </x:c>
      <x:c r="C111" s="230" t="str">
        <x:v>睡眠分期/队列</x:v>
      </x:c>
      <x:c r="D111" s="230" t="str">
        <x:v>Optimizing the detection of wakeful and sleep-like states for future electrocorticographic brain computer interface applications</x:v>
      </x:c>
      <x:c r="E111" s="230" t="str">
        <x:v>Wakeful vs. Sleep-like state detection</x:v>
      </x:c>
      <x:c r="F111" s="230" t="str">
        <x:v>4</x:v>
      </x:c>
      <x:c r="G111" s="230"/>
      <x:c r="H111" s="230"/>
      <x:c r="I111" s="230"/>
      <x:c r="J111" s="230" t="str">
        <x:v>未纳入现有服务器疾病目录审计</x:v>
      </x:c>
      <x:c r="K111" s="230" t="str">
        <x:v>DOWNLOAD_PUBLIC</x:v>
      </x:c>
      <x:c r="L111" s="230" t="str">
        <x:v>https://zenodo.org/records/5014606</x:v>
      </x:c>
      <x:c r="M111" s="230" t="str">
        <x:v>Zenodo:5014606 | DOI:10.1371/journal.pone.0142947</x:v>
      </x:c>
      <x:c r="N111" s="241" t="str">
        <x:v>否</x:v>
      </x:c>
    </x:row>
    <x:row r="112">
      <x:c r="A112" s="296" t="str">
        <x:v>EEG-0140</x:v>
      </x:c>
      <x:c r="B112" s="297" t="str">
        <x:v>睡眠健康/PSG</x:v>
      </x:c>
      <x:c r="C112" s="297" t="str">
        <x:v>睡眠分期/队列</x:v>
      </x:c>
      <x:c r="D112" s="297" t="str">
        <x:v>PhysioNet Challenge 2018 Sleep Arousal Database</x:v>
      </x:c>
      <x:c r="E112" s="297" t="str">
        <x:v>sleep staging / arousal detection from PSG</x:v>
      </x:c>
      <x:c r="F112" s="297" t="str">
        <x:v>1983</x:v>
      </x:c>
      <x:c r="G112" s="297"/>
      <x:c r="H112" s="297"/>
      <x:c r="I112" s="297"/>
      <x:c r="J112" s="297" t="str">
        <x:v>未纳入现有服务器疾病目录审计</x:v>
      </x:c>
      <x:c r="K112" s="297" t="str">
        <x:v>DOWNLOAD_PUBLIC</x:v>
      </x:c>
      <x:c r="L112" s="297" t="str">
        <x:v>https://physionet.org/content/challenge-2018/1.0.0/</x:v>
      </x:c>
      <x:c r="M112" s="297" t="str">
        <x:v>PhysioNet:challenge-2018</x:v>
      </x:c>
      <x:c r="N112" s="298" t="str">
        <x:v>否</x:v>
      </x:c>
    </x:row>
    <x:row r="113">
      <x:c r="A113" s="240" t="str">
        <x:v>EEG-0141</x:v>
      </x:c>
      <x:c r="B113" s="230" t="str">
        <x:v>睡眠健康/PSG</x:v>
      </x:c>
      <x:c r="C113" s="230" t="str">
        <x:v>睡眠分期/队列</x:v>
      </x:c>
      <x:c r="D113" s="230" t="str">
        <x:v>SEED-SD</x:v>
      </x:c>
      <x:c r="E113" s="230" t="str">
        <x:v>Emotion recognition under different sleep conditions (sleep deprivation, sleep recovery, normal sleep)</x:v>
      </x:c>
      <x:c r="F113" s="230" t="str">
        <x:v>40</x:v>
      </x:c>
      <x:c r="G113" s="230"/>
      <x:c r="H113" s="230"/>
      <x:c r="I113" s="230"/>
      <x:c r="J113" s="230" t="str">
        <x:v>未纳入现有服务器疾病目录审计</x:v>
      </x:c>
      <x:c r="K113" s="230" t="str">
        <x:v>DOWNLOAD_PUBLIC</x:v>
      </x:c>
      <x:c r="L113" s="230" t="str">
        <x:v>https://bcmi.sjtu.edu.cn/home/seed/seed-SD.html</x:v>
      </x:c>
      <x:c r="M113" s="230"/>
      <x:c r="N113" s="241" t="str">
        <x:v>否</x:v>
      </x:c>
    </x:row>
    <x:row r="114">
      <x:c r="A114" s="296" t="str">
        <x:v>EEG-0142</x:v>
      </x:c>
      <x:c r="B114" s="297" t="str">
        <x:v>睡眠健康/PSG</x:v>
      </x:c>
      <x:c r="C114" s="297" t="str">
        <x:v>睡眠分期/队列</x:v>
      </x:c>
      <x:c r="D114" s="297" t="str">
        <x:v>SHHS</x:v>
      </x:c>
      <x:c r="E114" s="297" t="str">
        <x:v>Sleep staging (5-class: Wake, N1, N2, N3, REM); source/target domain in generalizable sleep staging</x:v>
      </x:c>
      <x:c r="F114" s="297" t="str">
        <x:v>5,793（Visit 1）；2,651 为重复随访 Visit 2，不相加为唯一人数</x:v>
      </x:c>
      <x:c r="G114" s="297"/>
      <x:c r="H114" s="297"/>
      <x:c r="I114" s="297"/>
      <x:c r="J114" s="297" t="str">
        <x:v>未纳入现有服务器疾病目录审计</x:v>
      </x:c>
      <x:c r="K114" s="297" t="str">
        <x:v>DOWNLOAD_PUBLIC</x:v>
      </x:c>
      <x:c r="L114" s="297" t="str">
        <x:v>https://sleepdata.org/datasets/shhs</x:v>
      </x:c>
      <x:c r="M114" s="297"/>
      <x:c r="N114" s="298" t="str">
        <x:v>否</x:v>
      </x:c>
    </x:row>
    <x:row r="115">
      <x:c r="A115" s="240" t="str">
        <x:v>EEG-0143</x:v>
      </x:c>
      <x:c r="B115" s="230" t="str">
        <x:v>睡眠健康/PSG</x:v>
      </x:c>
      <x:c r="C115" s="230" t="str">
        <x:v>睡眠分期/队列</x:v>
      </x:c>
      <x:c r="D115" s="230" t="str">
        <x:v>Sleep-Deprivation (resting)</x:v>
      </x:c>
      <x:c r="E115" s="230" t="str">
        <x:v>Resting EEG, normal sleep vs sleep deprivation</x:v>
      </x:c>
      <x:c r="F115" s="230" t="str">
        <x:v>71</x:v>
      </x:c>
      <x:c r="G115" s="230"/>
      <x:c r="H115" s="230"/>
      <x:c r="I115" s="230"/>
      <x:c r="J115" s="230" t="str">
        <x:v>未纳入现有服务器疾病目录审计</x:v>
      </x:c>
      <x:c r="K115" s="230" t="str">
        <x:v>DOWNLOAD_PUBLIC</x:v>
      </x:c>
      <x:c r="L115" s="230" t="str">
        <x:v>https://openneuro.org/datasets/ds004902</x:v>
      </x:c>
      <x:c r="M115" s="230" t="str">
        <x:v>OpenNeuro:ds004902</x:v>
      </x:c>
      <x:c r="N115" s="241" t="str">
        <x:v>否</x:v>
      </x:c>
    </x:row>
    <x:row r="116">
      <x:c r="A116" s="296" t="str">
        <x:v>EEG-0144</x:v>
      </x:c>
      <x:c r="B116" s="297" t="str">
        <x:v>睡眠健康/PSG</x:v>
      </x:c>
      <x:c r="C116" s="297" t="str">
        <x:v>临床/睡眠实验室</x:v>
      </x:c>
      <x:c r="D116" s="297" t="str">
        <x:v>Sleep-EDF (Expanded)</x:v>
      </x:c>
      <x:c r="E116" s="297" t="str">
        <x:v>Sleep stage classification (W/R/1/2/3/4/M)</x:v>
      </x:c>
      <x:c r="F116" s="297" t="str">
        <x:v>78 (SC subset; full Expanded=100 subj/197 recordings)</x:v>
      </x:c>
      <x:c r="G116" s="297"/>
      <x:c r="H116" s="297"/>
      <x:c r="I116" s="297"/>
      <x:c r="J116" s="297" t="str">
        <x:v>未纳入现有服务器疾病目录审计</x:v>
      </x:c>
      <x:c r="K116" s="297" t="str">
        <x:v>DOWNLOAD_PUBLIC</x:v>
      </x:c>
      <x:c r="L116" s="297" t="str">
        <x:v>https://physionet.org/content/sleep-edfx/1.0.0/</x:v>
      </x:c>
      <x:c r="M116" s="297" t="str">
        <x:v>PhysioNet:sleep-edfx</x:v>
      </x:c>
      <x:c r="N116" s="298" t="str">
        <x:v>否</x:v>
      </x:c>
    </x:row>
    <x:row r="117">
      <x:c r="A117" s="240" t="str">
        <x:v>EEG-0145</x:v>
      </x:c>
      <x:c r="B117" s="230" t="str">
        <x:v>睡眠健康/PSG</x:v>
      </x:c>
      <x:c r="C117" s="230" t="str">
        <x:v>睡眠分期/队列</x:v>
      </x:c>
      <x:c r="D117" s="230" t="str">
        <x:v>SOF</x:v>
      </x:c>
      <x:c r="E117" s="230" t="str">
        <x:v>sleep stages；sleep-disordered breathing；older-women cohort covariates</x:v>
      </x:c>
      <x:c r="F117" s="230" t="str">
        <x:v>453.0</x:v>
      </x:c>
      <x:c r="G117" s="230"/>
      <x:c r="H117" s="230"/>
      <x:c r="I117" s="230"/>
      <x:c r="J117" s="230" t="str">
        <x:v>未纳入现有服务器疾病目录审计</x:v>
      </x:c>
      <x:c r="K117" s="230" t="str">
        <x:v>DOWNLOAD_PUBLIC</x:v>
      </x:c>
      <x:c r="L117" s="230" t="str">
        <x:v>https://sleepdata.org/datasets/sof</x:v>
      </x:c>
      <x:c r="M117" s="230"/>
      <x:c r="N117" s="241" t="str">
        <x:v>否</x:v>
      </x:c>
    </x:row>
    <x:row r="118">
      <x:c r="A118" s="296" t="str">
        <x:v>EEG-0146</x:v>
      </x:c>
      <x:c r="B118" s="297" t="str">
        <x:v>睡眠健康/PSG</x:v>
      </x:c>
      <x:c r="C118" s="297" t="str">
        <x:v>睡眠分期/队列</x:v>
      </x:c>
      <x:c r="D118" s="297" t="str">
        <x:v>Test-Retest / RestCog</x:v>
      </x:c>
      <x:c r="E118" s="297" t="str">
        <x:v>Rest + cognitive states; OmniEEG: test-retest subject-ID &amp; task-type (RestCog) classification</x:v>
      </x:c>
      <x:c r="F118" s="297" t="str">
        <x:v>60</x:v>
      </x:c>
      <x:c r="G118" s="297"/>
      <x:c r="H118" s="297"/>
      <x:c r="I118" s="297"/>
      <x:c r="J118" s="297" t="str">
        <x:v>未纳入现有服务器疾病目录审计</x:v>
      </x:c>
      <x:c r="K118" s="297" t="str">
        <x:v>DOWNLOAD_PUBLIC</x:v>
      </x:c>
      <x:c r="L118" s="297" t="str">
        <x:v>https://openneuro.org/datasets/ds004148</x:v>
      </x:c>
      <x:c r="M118" s="297" t="str">
        <x:v>OpenNeuro:ds004148</x:v>
      </x:c>
      <x:c r="N118" s="298" t="str">
        <x:v>否</x:v>
      </x:c>
    </x:row>
    <x:row r="119">
      <x:c r="A119" s="240" t="str">
        <x:v>EEG-0148</x:v>
      </x:c>
      <x:c r="B119" s="230" t="str">
        <x:v>睡眠健康/PSG</x:v>
      </x:c>
      <x:c r="C119" s="230" t="str">
        <x:v>睡眠分期/队列</x:v>
      </x:c>
      <x:c r="D119" s="230" t="str">
        <x:v>WSC</x:v>
      </x:c>
      <x:c r="E119" s="230" t="str">
        <x:v>Sleep EEG synthesis (external test); downstream age/sex/sleep-stage</x:v>
      </x:c>
      <x:c r="F119" s="230" t="str">
        <x:v>1500</x:v>
      </x:c>
      <x:c r="G119" s="230"/>
      <x:c r="H119" s="230"/>
      <x:c r="I119" s="230"/>
      <x:c r="J119" s="230" t="str">
        <x:v>未纳入现有服务器疾病目录审计</x:v>
      </x:c>
      <x:c r="K119" s="230" t="str">
        <x:v>DOWNLOAD_PUBLIC</x:v>
      </x:c>
      <x:c r="L119" s="230" t="str">
        <x:v>https://sleepdata.org/datasets/wsc</x:v>
      </x:c>
      <x:c r="M119" s="230"/>
      <x:c r="N119" s="241" t="str">
        <x:v>否</x:v>
      </x:c>
    </x:row>
    <x:row r="120">
      <x:c r="A120" s="296" t="str">
        <x:v>EEG-0150</x:v>
      </x:c>
      <x:c r="B120" s="297" t="str">
        <x:v>疾病/临床</x:v>
      </x:c>
      <x:c r="C120" s="297" t="str">
        <x:v>重症监护与昏迷</x:v>
      </x:c>
      <x:c r="D120" s="297" t="str">
        <x:v>I-CARE</x:v>
      </x:c>
      <x:c r="E120" s="297" t="str">
        <x:v>coma prognosis after cardiac arrest; continuous ICU EEG/ECG + clinical outcomes</x:v>
      </x:c>
      <x:c r="F120" s="297" t="str">
        <x:v>1,020 patients (607 training + 107 validation + 306 test)</x:v>
      </x:c>
      <x:c r="G120" s="297" t="n">
        <x:v>1020</x:v>
      </x:c>
      <x:c r="H120" s="297"/>
      <x:c r="I120" s="297" t="n">
        <x:v>56676</x:v>
      </x:c>
      <x:c r="J120" s="297" t="str">
        <x:v>未纳入本地已下载文件审计；文献总时长与本地审计口径分列</x:v>
      </x:c>
      <x:c r="K120" s="297" t="str">
        <x:v>DOWNLOAD_PUBLIC</x:v>
      </x:c>
      <x:c r="L120" s="297" t="str">
        <x:v>https://bdsp.io/content/bdsp-icare/2.0/</x:v>
      </x:c>
      <x:c r="M120" s="297" t="str">
        <x:v>BDSP:I-CARE:v2.0 | PhysioNet:i-care | PMID:37693458</x:v>
      </x:c>
      <x:c r="N120" s="298" t="str">
        <x:v>否</x:v>
      </x:c>
    </x:row>
    <x:row r="121">
      <x:c r="A121" s="240" t="str">
        <x:v>EEG-0345</x:v>
      </x:c>
      <x:c r="B121" s="230" t="str">
        <x:v>健康/人群</x:v>
      </x:c>
      <x:c r="C121" s="230" t="str">
        <x:v>Developmental_Clinical_Cohort</x:v>
      </x:c>
      <x:c r="D121" s="230" t="str">
        <x:v>HBN-EEG Release 1</x:v>
      </x:c>
      <x:c r="E121" s="230" t="str">
        <x:v>Multi-task (rest, surround suppression, movie, contrast change, sequence learning, symbol search)</x:v>
      </x:c>
      <x:c r="F121" s="230" t="str">
        <x:v>136</x:v>
      </x:c>
      <x:c r="G121" s="230" t="n">
        <x:v>136</x:v>
      </x:c>
      <x:c r="H121" s="230"/>
      <x:c r="I121" s="230" t="n">
        <x:v>117.5</x:v>
      </x:c>
      <x:c r="J121" s="230" t="str">
        <x:v>未纳入现有服务器疾病目录审计</x:v>
      </x:c>
      <x:c r="K121" s="230" t="str">
        <x:v>DOWNLOAD_PUBLIC</x:v>
      </x:c>
      <x:c r="L121" s="230" t="str">
        <x:v>https://openneuro.org/datasets/ds005505</x:v>
      </x:c>
      <x:c r="M121" s="230" t="str">
        <x:v>OpenNeuro:ds005505 | DOI:10.18112/openneuro.ds005505.v1.0.1</x:v>
      </x:c>
      <x:c r="N121" s="241" t="str">
        <x:v>否</x:v>
      </x:c>
    </x:row>
    <x:row r="122">
      <x:c r="A122" s="296" t="str">
        <x:v>EEG-0493</x:v>
      </x:c>
      <x:c r="B122" s="297" t="str">
        <x:v>疾病/临床</x:v>
      </x:c>
      <x:c r="C122" s="297" t="str">
        <x:v>Cross_Diagnostic_Clinical</x:v>
      </x:c>
      <x:c r="D122" s="297" t="str">
        <x:v>ADSZ</x:v>
      </x:c>
      <x:c r="E122" s="297" t="str">
        <x:v>AD vs healthy elderly resting-state EEG subset; eyes-open and eyes-closed</x:v>
      </x:c>
      <x:c r="F122" s="297" t="str">
        <x:v>48</x:v>
      </x:c>
      <x:c r="G122" s="297"/>
      <x:c r="H122" s="297"/>
      <x:c r="I122" s="297"/>
      <x:c r="J122" s="297" t="str">
        <x:v>未纳入现有服务器疾病目录审计</x:v>
      </x:c>
      <x:c r="K122" s="297" t="str">
        <x:v>DOWNLOAD_PUBLIC</x:v>
      </x:c>
      <x:c r="L122" s="297" t="str">
        <x:v>https://figshare.com/articles/dataset/Alzheimer_s_disease_and_Schizophrenia/19091771</x:v>
      </x:c>
      <x:c r="M122" s="297" t="str">
        <x:v>Figshare:19091771</x:v>
      </x:c>
      <x:c r="N122" s="298" t="str">
        <x:v>否</x:v>
      </x:c>
    </x:row>
    <x:row r="123">
      <x:c r="A123" s="240" t="str">
        <x:v>EEG-0519</x:v>
      </x:c>
      <x:c r="B123" s="230" t="str">
        <x:v>健康/人群</x:v>
      </x:c>
      <x:c r="C123" s="230" t="str">
        <x:v>Lifespan_and_Normative</x:v>
      </x:c>
      <x:c r="D123" s="230" t="str">
        <x:v>Cuban Human Brain Mapping Project (CHBMP)</x:v>
      </x:c>
      <x:c r="E123" s="230"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F123" s="230" t="str">
        <x:v>282</x:v>
      </x:c>
      <x:c r="G123" s="230"/>
      <x:c r="H123" s="230"/>
      <x:c r="I123" s="230"/>
      <x:c r="J123" s="230" t="str">
        <x:v>未纳入现有服务器疾病目录审计</x:v>
      </x:c>
      <x:c r="K123" s="230" t="str">
        <x:v>DOWNLOAD_APPLICATION_REQUIRED</x:v>
      </x:c>
      <x:c r="L123" s="230" t="str">
        <x:v>https://chbmp-open.loris.ca/</x:v>
      </x:c>
      <x:c r="M123" s="230" t="str">
        <x:v>Synapse:syn22324937 | DOI:10.1038/s41597-021-00829-7</x:v>
      </x:c>
      <x:c r="N123" s="241" t="str">
        <x:v>否</x:v>
      </x:c>
    </x:row>
    <x:row r="124">
      <x:c r="A124" s="296" t="str">
        <x:v>EEG-0520</x:v>
      </x:c>
      <x:c r="B124" s="297" t="str">
        <x:v>健康/人群</x:v>
      </x:c>
      <x:c r="C124" s="297" t="str">
        <x:v>Lifespan_and_Normative</x:v>
      </x:c>
      <x:c r="D124" s="297" t="str">
        <x:v>Infant First-year Resting EEG Dataset</x:v>
      </x:c>
      <x:c r="E124" s="297" t="str">
        <x:v>resting EEG across first year of life；developmental normative EEG</x:v>
      </x:c>
      <x:c r="F124" s="297" t="str">
        <x:v>103</x:v>
      </x:c>
      <x:c r="G124" s="297" t="n">
        <x:v>103</x:v>
      </x:c>
      <x:c r="H124" s="297" t="n">
        <x:v>22.83888888888889</x:v>
      </x:c>
      <x:c r="I124" s="297" t="n">
        <x:v>22.83888888888889</x:v>
      </x:c>
      <x:c r="J124" s="297" t="str">
        <x:v>2026-07-31 文件级审计确认 EEG signal present</x:v>
      </x:c>
      <x:c r="K124" s="297" t="str">
        <x:v>DOWNLOAD_PUBLIC</x:v>
      </x:c>
      <x:c r="L124" s="297" t="str">
        <x:v>https://openneuro.org/datasets/ds004577</x:v>
      </x:c>
      <x:c r="M124" s="297" t="str">
        <x:v>OpenNeuro:ds004577</x:v>
      </x:c>
      <x:c r="N124" s="298" t="str">
        <x:v>否</x:v>
      </x:c>
    </x:row>
    <x:row r="125">
      <x:c r="A125" s="240" t="str">
        <x:v>EEG-0521</x:v>
      </x:c>
      <x:c r="B125" s="230" t="str">
        <x:v>健康/人群</x:v>
      </x:c>
      <x:c r="C125" s="230" t="str">
        <x:v>Lifespan_and_Normative</x:v>
      </x:c>
      <x:c r="D125" s="230" t="str">
        <x:v>Mind in Motion Older Adults Walking EEG</x:v>
      </x:c>
      <x:c r="E125" s="230" t="str">
        <x:v>older adults walking over uneven terrain；mixed mobile EEG task</x:v>
      </x:c>
      <x:c r="F125" s="230" t="str">
        <x:v>71</x:v>
      </x:c>
      <x:c r="G125" s="230" t="n">
        <x:v>71</x:v>
      </x:c>
      <x:c r="H125" s="230" t="n">
        <x:v>61.09685944444434</x:v>
      </x:c>
      <x:c r="I125" s="230" t="n">
        <x:v>61.09685944444434</x:v>
      </x:c>
      <x:c r="J125" s="230" t="str">
        <x:v>2026-07-31 文件级审计确认 EEG signal present</x:v>
      </x:c>
      <x:c r="K125" s="230" t="str">
        <x:v>DOWNLOAD_PUBLIC</x:v>
      </x:c>
      <x:c r="L125" s="230" t="str">
        <x:v>https://openneuro.org/datasets/ds006095/versions/1.0.0</x:v>
      </x:c>
      <x:c r="M125" s="230" t="str">
        <x:v>OpenNeuro:ds006095</x:v>
      </x:c>
      <x:c r="N125" s="241" t="str">
        <x:v>否</x:v>
      </x:c>
    </x:row>
    <x:row r="126">
      <x:c r="A126" s="296" t="str">
        <x:v>EEG-0522</x:v>
      </x:c>
      <x:c r="B126" s="297" t="str">
        <x:v>健康/人群</x:v>
      </x:c>
      <x:c r="C126" s="297" t="str">
        <x:v>Lifespan_and_Normative</x:v>
      </x:c>
      <x:c r="D126" s="297" t="str">
        <x:v>MIPDB</x:v>
      </x:c>
      <x:c r="E126" s="297" t="str">
        <x:v>developmental resting/task EEG + MRI / behavior</x:v>
      </x:c>
      <x:c r="F126" s="297" t="str">
        <x:v>未给出</x:v>
      </x:c>
      <x:c r="G126" s="297" t="n">
        <x:v>118</x:v>
      </x:c>
      <x:c r="H126" s="297" t="n">
        <x:v>104.0500522222222</x:v>
      </x:c>
      <x:c r="I126" s="297" t="n">
        <x:v>104.0500522222222</x:v>
      </x:c>
      <x:c r="J126" s="297" t="str">
        <x:v>2026-07-31 文件级审计确认 EEG signal present</x:v>
      </x:c>
      <x:c r="K126" s="297" t="str">
        <x:v>DOWNLOAD_PUBLIC</x:v>
      </x:c>
      <x:c r="L126" s="297" t="str">
        <x:v>https://fcon_1000.projects.nitrc.org/indi/cmi_healthy_brain_network/MIPDB.html</x:v>
      </x:c>
      <x:c r="M126" s="297"/>
      <x:c r="N126" s="298" t="str">
        <x:v>否</x:v>
      </x:c>
    </x:row>
    <x:row r="127">
      <x:c r="A127" s="240" t="str">
        <x:v>EEG-0523</x:v>
      </x:c>
      <x:c r="B127" s="230" t="str">
        <x:v>疾病/临床</x:v>
      </x:c>
      <x:c r="C127" s="230" t="str">
        <x:v>Development_and_Lifespan</x:v>
      </x:c>
      <x:c r="D127" s="230" t="str">
        <x:v>SFARI_EEG multi-paradigm dataset</x:v>
      </x:c>
      <x:c r="E127" s="230" t="str">
        <x:v>ASSR, AVSRT, Beep-Flash, FAST and other developmental EEG paradigms</x:v>
      </x:c>
      <x:c r="F127" s="230" t="str">
        <x:v>136</x:v>
      </x:c>
      <x:c r="G127" s="230" t="n">
        <x:v>136</x:v>
      </x:c>
      <x:c r="H127" s="230" t="n">
        <x:v>229.42268934461805</x:v>
      </x:c>
      <x:c r="I127" s="230" t="n">
        <x:v>229.42268934461805</x:v>
      </x:c>
      <x:c r="J127" s="230" t="str">
        <x:v>2026-07-31 文件级审计确认 EEG signal present</x:v>
      </x:c>
      <x:c r="K127" s="230" t="str">
        <x:v>DOWNLOAD_PUBLIC</x:v>
      </x:c>
      <x:c r="L127" s="230" t="str">
        <x:v>https://openneuro.org/datasets/ds006780/versions/1.0.0</x:v>
      </x:c>
      <x:c r="M127" s="230" t="str">
        <x:v>OpenNeuro:ds006780</x:v>
      </x:c>
      <x:c r="N127" s="241" t="str">
        <x:v>否</x:v>
      </x:c>
    </x:row>
    <x:row r="128">
      <x:c r="A128" s="296" t="str">
        <x:v>EEG-0582</x:v>
      </x:c>
      <x:c r="B128" s="297" t="str">
        <x:v>疾病/临床</x:v>
      </x:c>
      <x:c r="C128" s="297" t="str">
        <x:v>Clinical_Abnormalities</x:v>
      </x:c>
      <x:c r="D128" s="297" t="str">
        <x:v>TUEG (TUH EEG Corpus)</x:v>
      </x:c>
      <x:c r="E128" s="297" t="str">
        <x:v>General clinical EEG corpus; large-scale pretraining; retrospective clinical EEG analysis</x:v>
      </x:c>
      <x:c r="F128" s="297" t="str">
        <x:v>14,987 patients; 26,846 recordings; 69,672 EDF files (v2.0.1 audited statistics)</x:v>
      </x:c>
      <x:c r="G128" s="297" t="n">
        <x:v>14987</x:v>
      </x:c>
      <x:c r="H128" s="297" t="n">
        <x:v>27077.3</x:v>
      </x:c>
      <x:c r="I128" s="297"/>
      <x:c r="J128" s="297" t="str">
        <x:v>TUEG v2.0.2 下载成功；人数/时长采用发布统计口径</x:v>
      </x:c>
      <x:c r="K128" s="297" t="str">
        <x:v>DOWNLOAD_APPLICATION_REQUIRED</x:v>
      </x:c>
      <x:c r="L128" s="297" t="str">
        <x:v>https://isip.piconepress.com/projects/nedc/html/tuh_eeg/</x:v>
      </x:c>
      <x:c r="M128" s="297" t="str">
        <x:v>TUH:TUEG:v2.0.2</x:v>
      </x:c>
      <x:c r="N128" s="298" t="str">
        <x:v>否</x:v>
      </x:c>
    </x:row>
    <x:row r="129">
      <x:c r="A129" s="240" t="str">
        <x:v>EEG-0583</x:v>
      </x:c>
      <x:c r="B129" s="230" t="str">
        <x:v>疾病/临床</x:v>
      </x:c>
      <x:c r="C129" s="230" t="str">
        <x:v>精神分裂症</x:v>
      </x:c>
      <x:c r="D129" s="230" t="str">
        <x:v>Albrecht2019</x:v>
      </x:c>
      <x:c r="E129" s="230" t="str">
        <x:v>精神分裂症/分裂情感障碍 vs 健康对照；modified Simon reinforcement-learning task</x:v>
      </x:c>
      <x:c r="F129" s="230" t="str">
        <x:v>78（46 patients + 32 controls）</x:v>
      </x:c>
      <x:c r="G129" s="230" t="n">
        <x:v>78</x:v>
      </x:c>
      <x:c r="H129" s="230"/>
      <x:c r="I129" s="230" t="n">
        <x:v>51</x:v>
      </x:c>
      <x:c r="J129" s="230" t="str">
        <x:v>未纳入现有服务器疾病目录审计</x:v>
      </x:c>
      <x:c r="K129" s="230" t="str">
        <x:v>DOWNLOAD_PUBLIC</x:v>
      </x:c>
      <x:c r="L129" s="230" t="str">
        <x:v>https://huggingface.co/datasets/jalauer/Albrecht2019</x:v>
      </x:c>
      <x:c r="M129" s="230" t="str">
        <x:v>HuggingFace:jalauer/Albrecht2019 | Zenodo:889204</x:v>
      </x:c>
      <x:c r="N129" s="241" t="str">
        <x:v>是</x:v>
      </x:c>
    </x:row>
    <x:row r="130">
      <x:c r="A130" s="296" t="str">
        <x:v>EEG-0584</x:v>
      </x:c>
      <x:c r="B130" s="297" t="str">
        <x:v>健康/人群</x:v>
      </x:c>
      <x:c r="C130" s="297" t="str">
        <x:v>精神健康风险表型</x:v>
      </x:c>
      <x:c r="D130" s="297" t="str">
        <x:v>Gruendler2009</x:v>
      </x:c>
      <x:c r="E130" s="297" t="str">
        <x:v>高/低强迫症状量表分组；flanker error-related negativity</x:v>
      </x:c>
      <x:c r="F130" s="297" t="str">
        <x:v>46 名本科生（按 OCI-R 高/低分组；非确诊 OCD 病例）</x:v>
      </x:c>
      <x:c r="G130" s="297" t="n">
        <x:v>46</x:v>
      </x:c>
      <x:c r="H130" s="297"/>
      <x:c r="I130" s="297" t="n">
        <x:v>22</x:v>
      </x:c>
      <x:c r="J130" s="297" t="str">
        <x:v>未纳入现有服务器疾病目录审计</x:v>
      </x:c>
      <x:c r="K130" s="297" t="str">
        <x:v>DOWNLOAD_PUBLIC</x:v>
      </x:c>
      <x:c r="L130" s="297" t="str">
        <x:v>https://huggingface.co/datasets/jalauer/Gruendler2009</x:v>
      </x:c>
      <x:c r="M130" s="297" t="str">
        <x:v>HuggingFace:jalauer/Gruendler2009</x:v>
      </x:c>
      <x:c r="N130" s="298" t="str">
        <x:v>是</x:v>
      </x:c>
    </x:row>
    <x:row r="131">
      <x:c r="A131" s="240" t="str">
        <x:v>EEG-0585</x:v>
      </x:c>
      <x:c r="B131" s="230" t="str">
        <x:v>疾病/临床</x:v>
      </x:c>
      <x:c r="C131" s="230" t="str">
        <x:v>帕金森病</x:v>
      </x:c>
      <x:c r="D131" s="230" t="str">
        <x:v>Singh2020</x:v>
      </x:c>
      <x:c r="E131" s="230" t="str">
        <x:v>PD freezing-of-gait positive/negative and healthy control lower-limb pedaling</x:v>
      </x:c>
      <x:c r="F131" s="230" t="str">
        <x:v>39（13 FOG+ PD + 13 FOG- PD + 13 controls）</x:v>
      </x:c>
      <x:c r="G131" s="230" t="n">
        <x:v>39</x:v>
      </x:c>
      <x:c r="H131" s="230"/>
      <x:c r="I131" s="230" t="n">
        <x:v>7</x:v>
      </x:c>
      <x:c r="J131" s="230" t="str">
        <x:v>未纳入现有服务器疾病目录审计</x:v>
      </x:c>
      <x:c r="K131" s="230" t="str">
        <x:v>DOWNLOAD_PUBLIC</x:v>
      </x:c>
      <x:c r="L131" s="230" t="str">
        <x:v>https://huggingface.co/datasets/jalauer/Singh2020</x:v>
      </x:c>
      <x:c r="M131" s="230" t="str">
        <x:v>HuggingFace:jalauer/Singh2020</x:v>
      </x:c>
      <x:c r="N131" s="241" t="str">
        <x:v>是</x:v>
      </x:c>
    </x:row>
    <x:row r="132">
      <x:c r="A132" s="296" t="str">
        <x:v>EEG-0586</x:v>
      </x:c>
      <x:c r="B132" s="297" t="str">
        <x:v>疾病/临床</x:v>
      </x:c>
      <x:c r="C132" s="297" t="str">
        <x:v>帕金森病</x:v>
      </x:c>
      <x:c r="D132" s="297" t="str">
        <x:v>Singh2021</x:v>
      </x:c>
      <x:c r="E132" s="297" t="str">
        <x:v>PD vs healthy control；3/7-second interval timing；ON/OFF medication subset</x:v>
      </x:c>
      <x:c r="F132" s="297" t="str">
        <x:v>120（83 PD + 37 controls）；129 recordings</x:v>
      </x:c>
      <x:c r="G132" s="297" t="n">
        <x:v>120</x:v>
      </x:c>
      <x:c r="H132" s="297"/>
      <x:c r="I132" s="297" t="n">
        <x:v>58</x:v>
      </x:c>
      <x:c r="J132" s="297" t="str">
        <x:v>未纳入现有服务器疾病目录审计</x:v>
      </x:c>
      <x:c r="K132" s="297" t="str">
        <x:v>DOWNLOAD_PUBLIC</x:v>
      </x:c>
      <x:c r="L132" s="297" t="str">
        <x:v>https://huggingface.co/datasets/jalauer/Singh2021</x:v>
      </x:c>
      <x:c r="M132" s="297" t="str">
        <x:v>HuggingFace:jalauer/Singh2021</x:v>
      </x:c>
      <x:c r="N132" s="298" t="str">
        <x:v>是</x:v>
      </x:c>
    </x:row>
    <x:row r="133">
      <x:c r="A133" s="240" t="str">
        <x:v>EEG-0587</x:v>
      </x:c>
      <x:c r="B133" s="230" t="str">
        <x:v>健康/人群</x:v>
      </x:c>
      <x:c r="C133" s="230" t="str">
        <x:v>睡眠与流行病学</x:v>
      </x:c>
      <x:c r="D133" s="230" t="str">
        <x:v>HCHS/SOL Polysomnography</x:v>
      </x:c>
      <x:c r="E133" s="230" t="str">
        <x:v>Hispanic/Latino population sleep and cardiometabolic epidemiology</x:v>
      </x:c>
      <x:c r="F133" s="230" t="str">
        <x:v>12,088 个有原始 PSG/EEG 的参与者（父队列约 16,000）</x:v>
      </x:c>
      <x:c r="G133" s="230" t="n">
        <x:v>12088</x:v>
      </x:c>
      <x:c r="H133" s="230"/>
      <x:c r="I133" s="230"/>
      <x:c r="J133" s="230" t="str">
        <x:v>未纳入现有服务器疾病目录审计</x:v>
      </x:c>
      <x:c r="K133" s="230" t="str">
        <x:v>DOWNLOAD_APPLICATION_REQUIRED</x:v>
      </x:c>
      <x:c r="L133" s="230" t="str">
        <x:v>https://sleepdata.org/datasets/hchs</x:v>
      </x:c>
      <x:c r="M133" s="230" t="str">
        <x:v>NSRR:hchs | DOI:10.25822/bmb1-c442</x:v>
      </x:c>
      <x:c r="N133" s="241" t="str">
        <x:v>是</x:v>
      </x:c>
    </x:row>
    <x:row r="134">
      <x:c r="A134" s="296" t="str">
        <x:v>EEG-0588</x:v>
      </x:c>
      <x:c r="B134" s="297" t="str">
        <x:v>健康/人群</x:v>
      </x:c>
      <x:c r="C134" s="297" t="str">
        <x:v>衰老与痴呆风险</x:v>
      </x:c>
      <x:c r="D134" s="297" t="str">
        <x:v>HAASSA</x:v>
      </x:c>
      <x:c r="E134" s="297" t="str">
        <x:v>老年日本裔美国男性；睡眠呼吸障碍、认知与痴呆风险</x:v>
      </x:c>
      <x:c r="F134" s="297" t="str">
        <x:v>717 个有原始 PSG/EEG 的参与者</x:v>
      </x:c>
      <x:c r="G134" s="297" t="n">
        <x:v>717</x:v>
      </x:c>
      <x:c r="H134" s="297"/>
      <x:c r="I134" s="297"/>
      <x:c r="J134" s="297" t="str">
        <x:v>未纳入现有服务器疾病目录审计</x:v>
      </x:c>
      <x:c r="K134" s="297" t="str">
        <x:v>DOWNLOAD_APPLICATION_REQUIRED</x:v>
      </x:c>
      <x:c r="L134" s="297" t="str">
        <x:v>https://sleepdata.org/datasets/haassa</x:v>
      </x:c>
      <x:c r="M134" s="297" t="str">
        <x:v>NSRR:haassa | DOI:10.25822/s9wh-3k51</x:v>
      </x:c>
      <x:c r="N134" s="298" t="str">
        <x:v>是</x:v>
      </x:c>
    </x:row>
    <x:row r="135">
      <x:c r="A135" s="240" t="str">
        <x:v>EEG-0589</x:v>
      </x:c>
      <x:c r="B135" s="230" t="str">
        <x:v>健康/人群</x:v>
      </x:c>
      <x:c r="C135" s="230" t="str">
        <x:v>睡眠呼吸风险</x:v>
      </x:c>
      <x:c r="D135" s="230" t="str">
        <x:v>ApoE Sleep Disordered Breathing</x:v>
      </x:c>
      <x:c r="E135" s="230" t="str">
        <x:v>ApoE genotype, lipid metabolism and untreated suspected sleep-disordered breathing</x:v>
      </x:c>
      <x:c r="F135" s="230" t="str">
        <x:v>712 个有 EDF/EEG 的参与者</x:v>
      </x:c>
      <x:c r="G135" s="230" t="n">
        <x:v>712</x:v>
      </x:c>
      <x:c r="H135" s="230"/>
      <x:c r="I135" s="230"/>
      <x:c r="J135" s="230" t="str">
        <x:v>未纳入现有服务器疾病目录审计</x:v>
      </x:c>
      <x:c r="K135" s="230" t="str">
        <x:v>DOWNLOAD_APPLICATION_REQUIRED</x:v>
      </x:c>
      <x:c r="L135" s="230" t="str">
        <x:v>https://sleepdata.org/datasets/apoe</x:v>
      </x:c>
      <x:c r="M135" s="230" t="str">
        <x:v>NSRR:apoe</x:v>
      </x:c>
      <x:c r="N135" s="241" t="str">
        <x:v>是</x:v>
      </x:c>
    </x:row>
    <x:row r="136">
      <x:c r="A136" s="296" t="str">
        <x:v>EEG-0590</x:v>
      </x:c>
      <x:c r="B136" s="297" t="str">
        <x:v>健康/人群</x:v>
      </x:c>
      <x:c r="C136" s="297" t="str">
        <x:v>孕产妇健康</x:v>
      </x:c>
      <x:c r="D136" s="297" t="str">
        <x:v>nuMoM2b Sleep Breathing Substudy</x:v>
      </x:c>
      <x:c r="E136" s="297" t="str">
        <x:v>nulliparous pregnancy outcomes, sleep-disordered breathing and maternal health</x:v>
      </x:c>
      <x:c r="F136" s="297" t="str">
        <x:v>3,009 个 Visit 1 raw PSG/EEG；2,332 为同队列 Visit 3 随访，不重复相加</x:v>
      </x:c>
      <x:c r="G136" s="297" t="n">
        <x:v>3009</x:v>
      </x:c>
      <x:c r="H136" s="297"/>
      <x:c r="I136" s="297"/>
      <x:c r="J136" s="297" t="str">
        <x:v>未纳入现有服务器疾病目录审计</x:v>
      </x:c>
      <x:c r="K136" s="297" t="str">
        <x:v>DOWNLOAD_APPLICATION_REQUIRED</x:v>
      </x:c>
      <x:c r="L136" s="297" t="str">
        <x:v>https://sleepdata.org/datasets/numom2b</x:v>
      </x:c>
      <x:c r="M136" s="297" t="str">
        <x:v>NSRR:numom2b | DOI:10.25822/37mc-6v21</x:v>
      </x:c>
      <x:c r="N136" s="298" t="str">
        <x:v>是</x:v>
      </x:c>
    </x:row>
    <x:row r="137">
      <x:c r="A137" s="240" t="str">
        <x:v>EEG-0591</x:v>
      </x:c>
      <x:c r="B137" s="230" t="str">
        <x:v>疾病/临床</x:v>
      </x:c>
      <x:c r="C137" s="230" t="str">
        <x:v>睡眠疾病/发作性睡病</x:v>
      </x:c>
      <x:c r="D137" s="230" t="str">
        <x:v>Mignot Nature Communications (MNC)</x:v>
      </x:c>
      <x:c r="E137" s="230" t="str">
        <x:v>normal and abnormal sleep staging; type-1 narcolepsy marker</x:v>
      </x:c>
      <x:c r="F137" s="230" t="str">
        <x:v>约 3,000（NSRR 列表口径；多队列正常/异常睡眠记录）</x:v>
      </x:c>
      <x:c r="G137" s="230" t="n">
        <x:v>3000</x:v>
      </x:c>
      <x:c r="H137" s="230"/>
      <x:c r="I137" s="230"/>
      <x:c r="J137" s="230" t="str">
        <x:v>未纳入现有服务器疾病目录审计</x:v>
      </x:c>
      <x:c r="K137" s="230" t="str">
        <x:v>DOWNLOAD_APPLICATION_REQUIRED</x:v>
      </x:c>
      <x:c r="L137" s="230" t="str">
        <x:v>https://sleepdata.org/datasets/mnc</x:v>
      </x:c>
      <x:c r="M137" s="230" t="str">
        <x:v>NSRR:mnc</x:v>
      </x:c>
      <x:c r="N137" s="241" t="str">
        <x:v>是</x:v>
      </x:c>
    </x:row>
    <x:row r="138">
      <x:c r="A138" s="296" t="str">
        <x:v>EEG-0592</x:v>
      </x:c>
      <x:c r="B138" s="297" t="str">
        <x:v>疾病/临床</x:v>
      </x:c>
      <x:c r="C138" s="297" t="str">
        <x:v>临床睡眠障碍</x:v>
      </x:c>
      <x:c r="D138" s="297" t="str">
        <x:v>Comprehensive Polysomnography (CPS)</x:v>
      </x:c>
      <x:c r="E138" s="297" t="str">
        <x:v>clinical sleep arousal, apnea/hypopnea and diagnostic decision support</x:v>
      </x:c>
      <x:c r="F138" s="297" t="str">
        <x:v>113 diagnostic PSG recordings / subjects</x:v>
      </x:c>
      <x:c r="G138" s="297" t="n">
        <x:v>113</x:v>
      </x:c>
      <x:c r="H138" s="297"/>
      <x:c r="I138" s="297"/>
      <x:c r="J138" s="297" t="str">
        <x:v>未纳入现有服务器疾病目录审计</x:v>
      </x:c>
      <x:c r="K138" s="297" t="str">
        <x:v>DOWNLOAD_APPLICATION_REQUIRED</x:v>
      </x:c>
      <x:c r="L138" s="297" t="str">
        <x:v>https://physionet.org/content/cps-dataset-sleep/1.0.0/</x:v>
      </x:c>
      <x:c r="M138" s="297" t="str">
        <x:v>PhysioNet:cps-dataset-sleep:v1.0.0 | DOI:10.13026/sxs0-h317</x:v>
      </x:c>
      <x:c r="N138" s="298" t="str">
        <x:v>是</x:v>
      </x:c>
    </x:row>
    <x:row r="139">
      <x:c r="A139" s="240" t="str">
        <x:v>EEG-0593</x:v>
      </x:c>
      <x:c r="B139" s="230" t="str">
        <x:v>疾病/临床</x:v>
      </x:c>
      <x:c r="C139" s="230" t="str">
        <x:v>心衰与中枢性睡眠呼吸暂停</x:v>
      </x:c>
      <x:c r="D139" s="230" t="str">
        <x:v>LOFT-HF</x:v>
      </x:c>
      <x:c r="E139" s="230" t="str">
        <x:v>heart failure with reduced ejection fraction and central sleep apnea clinical trial</x:v>
      </x:c>
      <x:c r="F139" s="230" t="str">
        <x:v>161 名有 baseline raw PSG；31 名另有 follow-up；不把随访重复相加</x:v>
      </x:c>
      <x:c r="G139" s="230" t="n">
        <x:v>161</x:v>
      </x:c>
      <x:c r="H139" s="230"/>
      <x:c r="I139" s="230"/>
      <x:c r="J139" s="230" t="str">
        <x:v>未纳入现有服务器疾病目录审计</x:v>
      </x:c>
      <x:c r="K139" s="230" t="str">
        <x:v>DOWNLOAD_APPLICATION_REQUIRED</x:v>
      </x:c>
      <x:c r="L139" s="230" t="str">
        <x:v>https://sleepdata.org/datasets/lofthf</x:v>
      </x:c>
      <x:c r="M139" s="230" t="str">
        <x:v>NSRR:lofthf</x:v>
      </x:c>
      <x:c r="N139" s="241" t="str">
        <x:v>是</x:v>
      </x:c>
    </x:row>
    <x:row r="140">
      <x:c r="A140" s="296" t="str">
        <x:v>EEG-0594</x:v>
      </x:c>
      <x:c r="B140" s="297" t="str">
        <x:v>健康/人群</x:v>
      </x:c>
      <x:c r="C140" s="297" t="str">
        <x:v>Developmental_Clinical_Cohort</x:v>
      </x:c>
      <x:c r="D140" s="297" t="str">
        <x:v>HBN-EEG Release 2</x:v>
      </x:c>
      <x:c r="E140" s="297" t="str">
        <x:v>Multi-task developmental EEG (rest, visual/cognitive tasks and behavioral phenotyping; release-dependent)</x:v>
      </x:c>
      <x:c r="F140" s="297" t="str">
        <x:v>150</x:v>
      </x:c>
      <x:c r="G140" s="297" t="n">
        <x:v>150</x:v>
      </x:c>
      <x:c r="H140" s="297"/>
      <x:c r="I140" s="297" t="n">
        <x:v>127.5</x:v>
      </x:c>
      <x:c r="J140" s="297" t="str">
        <x:v>尚未纳入本地已下载文件审计</x:v>
      </x:c>
      <x:c r="K140" s="297" t="str">
        <x:v>DOWNLOAD_PUBLIC</x:v>
      </x:c>
      <x:c r="L140" s="297" t="str">
        <x:v>https://openneuro.org/datasets/ds005506</x:v>
      </x:c>
      <x:c r="M140" s="297" t="str">
        <x:v>OpenNeuro:ds005506 | DOI:10.18112/openneuro.ds005506.v1.0.1</x:v>
      </x:c>
      <x:c r="N140" s="298" t="str">
        <x:v>是</x:v>
      </x:c>
    </x:row>
    <x:row r="141">
      <x:c r="A141" s="240" t="str">
        <x:v>EEG-0595</x:v>
      </x:c>
      <x:c r="B141" s="230" t="str">
        <x:v>健康/人群</x:v>
      </x:c>
      <x:c r="C141" s="230" t="str">
        <x:v>Developmental_Clinical_Cohort</x:v>
      </x:c>
      <x:c r="D141" s="230" t="str">
        <x:v>HBN-EEG Release 3</x:v>
      </x:c>
      <x:c r="E141" s="230" t="str">
        <x:v>Multi-task developmental EEG (rest, visual/cognitive tasks and behavioral phenotyping; release-dependent)</x:v>
      </x:c>
      <x:c r="F141" s="230" t="str">
        <x:v>184</x:v>
      </x:c>
      <x:c r="G141" s="230" t="n">
        <x:v>184</x:v>
      </x:c>
      <x:c r="H141" s="230"/>
      <x:c r="I141" s="230" t="n">
        <x:v>158.8</x:v>
      </x:c>
      <x:c r="J141" s="230" t="str">
        <x:v>尚未纳入本地已下载文件审计</x:v>
      </x:c>
      <x:c r="K141" s="230" t="str">
        <x:v>DOWNLOAD_PUBLIC</x:v>
      </x:c>
      <x:c r="L141" s="230" t="str">
        <x:v>https://openneuro.org/datasets/ds005507</x:v>
      </x:c>
      <x:c r="M141" s="230" t="str">
        <x:v>OpenNeuro:ds005507 | DOI:10.18112/openneuro.ds005507.v1.0.1</x:v>
      </x:c>
      <x:c r="N141" s="241" t="str">
        <x:v>是</x:v>
      </x:c>
    </x:row>
    <x:row r="142">
      <x:c r="A142" s="296" t="str">
        <x:v>EEG-0596</x:v>
      </x:c>
      <x:c r="B142" s="297" t="str">
        <x:v>健康/人群</x:v>
      </x:c>
      <x:c r="C142" s="297" t="str">
        <x:v>Developmental_Clinical_Cohort</x:v>
      </x:c>
      <x:c r="D142" s="297" t="str">
        <x:v>HBN-EEG Release 4</x:v>
      </x:c>
      <x:c r="E142" s="297" t="str">
        <x:v>Multi-task developmental EEG (rest, visual/cognitive tasks and behavioral phenotyping; release-dependent)</x:v>
      </x:c>
      <x:c r="F142" s="297" t="str">
        <x:v>324</x:v>
      </x:c>
      <x:c r="G142" s="297" t="n">
        <x:v>324</x:v>
      </x:c>
      <x:c r="H142" s="297"/>
      <x:c r="I142" s="297" t="n">
        <x:v>261.8</x:v>
      </x:c>
      <x:c r="J142" s="297" t="str">
        <x:v>尚未纳入本地已下载文件审计</x:v>
      </x:c>
      <x:c r="K142" s="297" t="str">
        <x:v>DOWNLOAD_PUBLIC</x:v>
      </x:c>
      <x:c r="L142" s="297" t="str">
        <x:v>https://openneuro.org/datasets/ds005508</x:v>
      </x:c>
      <x:c r="M142" s="297" t="str">
        <x:v>OpenNeuro:ds005508 | DOI:10.18112/openneuro.ds005508.v1.0.1</x:v>
      </x:c>
      <x:c r="N142" s="298" t="str">
        <x:v>是</x:v>
      </x:c>
    </x:row>
    <x:row r="143">
      <x:c r="A143" s="240" t="str">
        <x:v>EEG-0597</x:v>
      </x:c>
      <x:c r="B143" s="230" t="str">
        <x:v>健康/人群</x:v>
      </x:c>
      <x:c r="C143" s="230" t="str">
        <x:v>Developmental_Clinical_Cohort</x:v>
      </x:c>
      <x:c r="D143" s="230" t="str">
        <x:v>HBN-EEG Release 5</x:v>
      </x:c>
      <x:c r="E143" s="230" t="str">
        <x:v>Multi-task developmental EEG (rest, visual/cognitive tasks and behavioral phenotyping; release-dependent)</x:v>
      </x:c>
      <x:c r="F143" s="230" t="str">
        <x:v>330</x:v>
      </x:c>
      <x:c r="G143" s="230" t="n">
        <x:v>330</x:v>
      </x:c>
      <x:c r="H143" s="230"/>
      <x:c r="I143" s="230" t="n">
        <x:v>255.3</x:v>
      </x:c>
      <x:c r="J143" s="230" t="str">
        <x:v>尚未纳入本地已下载文件审计</x:v>
      </x:c>
      <x:c r="K143" s="230" t="str">
        <x:v>DOWNLOAD_PUBLIC</x:v>
      </x:c>
      <x:c r="L143" s="230" t="str">
        <x:v>https://openneuro.org/datasets/ds005509</x:v>
      </x:c>
      <x:c r="M143" s="230" t="str">
        <x:v>OpenNeuro:ds005509 | DOI:10.18112/openneuro.ds005509.v1.0.1</x:v>
      </x:c>
      <x:c r="N143" s="241" t="str">
        <x:v>是</x:v>
      </x:c>
    </x:row>
    <x:row r="144">
      <x:c r="A144" s="296" t="str">
        <x:v>EEG-0598</x:v>
      </x:c>
      <x:c r="B144" s="297" t="str">
        <x:v>健康/人群</x:v>
      </x:c>
      <x:c r="C144" s="297" t="str">
        <x:v>Developmental_Clinical_Cohort</x:v>
      </x:c>
      <x:c r="D144" s="297" t="str">
        <x:v>HBN-EEG Release 6</x:v>
      </x:c>
      <x:c r="E144" s="297" t="str">
        <x:v>Multi-task developmental EEG (rest, visual/cognitive tasks and behavioral phenotyping; release-dependent)</x:v>
      </x:c>
      <x:c r="F144" s="297" t="str">
        <x:v>135</x:v>
      </x:c>
      <x:c r="G144" s="297" t="n">
        <x:v>135</x:v>
      </x:c>
      <x:c r="H144" s="297"/>
      <x:c r="I144" s="297" t="n">
        <x:v>103.5</x:v>
      </x:c>
      <x:c r="J144" s="297" t="str">
        <x:v>尚未纳入本地已下载文件审计</x:v>
      </x:c>
      <x:c r="K144" s="297" t="str">
        <x:v>DOWNLOAD_PUBLIC</x:v>
      </x:c>
      <x:c r="L144" s="297" t="str">
        <x:v>https://openneuro.org/datasets/ds005510</x:v>
      </x:c>
      <x:c r="M144" s="297" t="str">
        <x:v>OpenNeuro:ds005510 | DOI:10.18112/openneuro.ds005510.v1.0.1</x:v>
      </x:c>
      <x:c r="N144" s="298" t="str">
        <x:v>是</x:v>
      </x:c>
    </x:row>
    <x:row r="145">
      <x:c r="A145" s="240" t="str">
        <x:v>EEG-0599</x:v>
      </x:c>
      <x:c r="B145" s="230" t="str">
        <x:v>健康/人群</x:v>
      </x:c>
      <x:c r="C145" s="230" t="str">
        <x:v>Developmental_Clinical_Cohort</x:v>
      </x:c>
      <x:c r="D145" s="230" t="str">
        <x:v>HBN-EEG Release 7</x:v>
      </x:c>
      <x:c r="E145" s="230" t="str">
        <x:v>Multi-task developmental EEG (rest, visual/cognitive tasks and behavioral phenotyping; release-dependent)</x:v>
      </x:c>
      <x:c r="F145" s="230" t="str">
        <x:v>381</x:v>
      </x:c>
      <x:c r="G145" s="230" t="n">
        <x:v>381</x:v>
      </x:c>
      <x:c r="H145" s="230"/>
      <x:c r="I145" s="230"/>
      <x:c r="J145" s="230" t="str">
        <x:v>尚未纳入本地已下载文件审计</x:v>
      </x:c>
      <x:c r="K145" s="230" t="str">
        <x:v>DOWNLOAD_PUBLIC</x:v>
      </x:c>
      <x:c r="L145" s="230" t="str">
        <x:v>https://openneuro.org/datasets/ds005511</x:v>
      </x:c>
      <x:c r="M145" s="230" t="str">
        <x:v>OpenNeuro:ds005511 | DOI:10.18112/openneuro.ds005511.v1.0.1</x:v>
      </x:c>
      <x:c r="N145" s="241" t="str">
        <x:v>是</x:v>
      </x:c>
    </x:row>
    <x:row r="146">
      <x:c r="A146" s="296" t="str">
        <x:v>EEG-0600</x:v>
      </x:c>
      <x:c r="B146" s="297" t="str">
        <x:v>健康/人群</x:v>
      </x:c>
      <x:c r="C146" s="297" t="str">
        <x:v>Developmental_Clinical_Cohort</x:v>
      </x:c>
      <x:c r="D146" s="297" t="str">
        <x:v>HBN-EEG Release 8</x:v>
      </x:c>
      <x:c r="E146" s="297" t="str">
        <x:v>Multi-task developmental EEG (rest, visual/cognitive tasks and behavioral phenotyping; release-dependent)</x:v>
      </x:c>
      <x:c r="F146" s="297" t="str">
        <x:v>257</x:v>
      </x:c>
      <x:c r="G146" s="297" t="n">
        <x:v>257</x:v>
      </x:c>
      <x:c r="H146" s="297"/>
      <x:c r="I146" s="297" t="n">
        <x:v>179.1</x:v>
      </x:c>
      <x:c r="J146" s="297" t="str">
        <x:v>尚未纳入本地已下载文件审计</x:v>
      </x:c>
      <x:c r="K146" s="297" t="str">
        <x:v>DOWNLOAD_PUBLIC</x:v>
      </x:c>
      <x:c r="L146" s="297" t="str">
        <x:v>https://openneuro.org/datasets/ds005512</x:v>
      </x:c>
      <x:c r="M146" s="297" t="str">
        <x:v>OpenNeuro:ds005512 | DOI:10.18112/openneuro.ds005512.v1.0.1</x:v>
      </x:c>
      <x:c r="N146" s="298" t="str">
        <x:v>是</x:v>
      </x:c>
    </x:row>
    <x:row r="147">
      <x:c r="A147" s="256" t="str">
        <x:v>EEG-0601</x:v>
      </x:c>
      <x:c r="B147" s="257" t="str">
        <x:v>健康/人群</x:v>
      </x:c>
      <x:c r="C147" s="257" t="str">
        <x:v>Developmental_Clinical_Cohort</x:v>
      </x:c>
      <x:c r="D147" s="257" t="str">
        <x:v>HBN-EEG Release 9</x:v>
      </x:c>
      <x:c r="E147" s="257" t="str">
        <x:v>Multi-task developmental EEG (rest, visual/cognitive tasks and behavioral phenotyping; release-dependent)</x:v>
      </x:c>
      <x:c r="F147" s="257" t="str">
        <x:v>295</x:v>
      </x:c>
      <x:c r="G147" s="257" t="n">
        <x:v>295</x:v>
      </x:c>
      <x:c r="H147" s="257"/>
      <x:c r="I147" s="257" t="n">
        <x:v>210.8</x:v>
      </x:c>
      <x:c r="J147" s="257" t="str">
        <x:v>尚未纳入本地已下载文件审计</x:v>
      </x:c>
      <x:c r="K147" s="257" t="str">
        <x:v>DOWNLOAD_PUBLIC</x:v>
      </x:c>
      <x:c r="L147" s="257" t="str">
        <x:v>https://openneuro.org/datasets/ds005514</x:v>
      </x:c>
      <x:c r="M147" s="257" t="str">
        <x:v>OpenNeuro:ds005514 | DOI:10.18112/openneuro.ds005514.v1.0.1</x:v>
      </x:c>
      <x:c r="N147" s="258" t="str">
        <x:v>是</x:v>
      </x:c>
    </x:row>
  </x:sheetData>
  <x:pageMargins left="0.7" right="0.7" top="0.75" bottom="0.75" header="0.3" footer="0.3"/>
  <x:tableParts count="1">
    <x:tablePart xmlns:r="http://schemas.openxmlformats.org/officeDocument/2006/relationships" r:id="Re626d023de3240f7"/>
  </x:tableParts>
</x:worksheet>
</file>

<file path=xl/worksheets/sheet15.xml><?xml version="1.0" encoding="utf-8"?>
<x:worksheet xmlns:x="http://schemas.openxmlformats.org/spreadsheetml/2006/main">
  <x:sheetFormatPr defaultRowHeight="15"/>
  <x:cols>
    <x:col min="1" max="1" width="13" hidden="0" customWidth="1"/>
    <x:col min="2" max="2" width="24" hidden="0" customWidth="1"/>
    <x:col min="3" max="3" width="29" hidden="0" customWidth="1"/>
    <x:col min="4" max="4" width="37" hidden="0" customWidth="1"/>
    <x:col min="5" max="5" width="30" hidden="0" customWidth="1"/>
    <x:col min="6" max="6" width="34" hidden="0" customWidth="1"/>
    <x:col min="7" max="7" width="22" hidden="0" customWidth="1"/>
    <x:col min="8" max="8" width="44" hidden="0" customWidth="1"/>
    <x:col min="9" max="9" width="46" hidden="0" customWidth="1"/>
    <x:col min="10" max="10" width="33" hidden="0" customWidth="1"/>
    <x:col min="11" max="11" width="20" hidden="0" customWidth="1"/>
    <x:col min="12" max="12" width="20" hidden="0" customWidth="1"/>
    <x:col min="13" max="13" width="20" hidden="0" customWidth="1"/>
    <x:col min="14" max="14" width="24" hidden="0" customWidth="1"/>
    <x:col min="15" max="15" width="37" hidden="0" customWidth="1"/>
    <x:col min="16" max="16" width="38" hidden="0" customWidth="1"/>
    <x:col min="17" max="17" width="44" hidden="0" customWidth="1"/>
    <x:col min="18" max="18" width="48" hidden="0" customWidth="1"/>
    <x:col min="19" max="19" width="14" hidden="0" customWidth="1"/>
    <x:col min="20" max="20" width="18" hidden="0" customWidth="1"/>
    <x:col min="21" max="21" width="17" hidden="0" customWidth="1"/>
  </x:cols>
  <x:sheetData>
    <x:row r="1" ht="32" customHeight="1">
      <x:c r="A1" s="281" t="str">
        <x:v>Unique ID</x:v>
      </x:c>
      <x:c r="B1" s="282" t="str">
        <x:v>大类目录</x:v>
      </x:c>
      <x:c r="C1" s="282" t="str">
        <x:v>小类目录</x:v>
      </x:c>
      <x:c r="D1" s="282" t="str">
        <x:v>规范数据集名称</x:v>
      </x:c>
      <x:c r="E1" s="282" t="str">
        <x:v>合并别名</x:v>
      </x:c>
      <x:c r="F1" s="282" t="str">
        <x:v>稳定标识（DOI/OpenNeuro/BNCI/仓库ID）</x:v>
      </x:c>
      <x:c r="G1" s="282" t="str">
        <x:v>下载状态</x:v>
      </x:c>
      <x:c r="H1" s="282" t="str">
        <x:v>下载/申请入口</x:v>
      </x:c>
      <x:c r="I1" s="282" t="str">
        <x:v>任务</x:v>
      </x:c>
      <x:c r="J1" s="282" t="str">
        <x:v>受试者数</x:v>
      </x:c>
      <x:c r="K1" s="282" t="str">
        <x:v>通道数</x:v>
      </x:c>
      <x:c r="L1" s="282" t="str">
        <x:v>采样率</x:v>
      </x:c>
      <x:c r="M1" s="282" t="str">
        <x:v>格式</x:v>
      </x:c>
      <x:c r="N1" s="282" t="str">
        <x:v>Raw/Processed</x:v>
      </x:c>
      <x:c r="O1" s="282" t="str">
        <x:v>许可与申请说明</x:v>
      </x:c>
      <x:c r="P1" s="282" t="str">
        <x:v>论文/作者</x:v>
      </x:c>
      <x:c r="Q1" s="282" t="str">
        <x:v>建议相对路径</x:v>
      </x:c>
      <x:c r="R1" s="282" t="str">
        <x:v>核验结论</x:v>
      </x:c>
      <x:c r="S1" s="282" t="str">
        <x:v>fMRI TR (s)</x:v>
      </x:c>
      <x:c r="T1" s="282" t="str">
        <x:v>Recording duration (s)</x:v>
      </x:c>
      <x:c r="U1" s="283" t="str">
        <x:v>Number of scans</x:v>
      </x:c>
    </x:row>
    <x:row r="2">
      <x:c r="A2" s="293" t="str">
        <x:v>EEG-0583</x:v>
      </x:c>
      <x:c r="B2" s="294" t="str">
        <x:v>02_Healthcare_and_Disease</x:v>
      </x:c>
      <x:c r="C2" s="294" t="str">
        <x:v>Mental_and_Developmental_Disorders</x:v>
      </x:c>
      <x:c r="D2" s="294" t="str">
        <x:v>Albrecht2019</x:v>
      </x:c>
      <x:c r="E2" s="294" t="str">
        <x:v>Schizophrenia modified Simon task EEG</x:v>
      </x:c>
      <x:c r="F2" s="294" t="str">
        <x:v>HuggingFace:jalauer/Albrecht2019 | Zenodo:889204</x:v>
      </x:c>
      <x:c r="G2" s="294" t="str">
        <x:v>DOWNLOAD_PUBLIC</x:v>
      </x:c>
      <x:c r="H2" s="294" t="str">
        <x:v>https://huggingface.co/datasets/jalauer/Albrecht2019</x:v>
      </x:c>
      <x:c r="I2" s="294" t="str">
        <x:v>精神分裂症/分裂情感障碍 vs 健康对照；modified Simon reinforcement-learning task</x:v>
      </x:c>
      <x:c r="J2" s="294" t="str">
        <x:v>78（46 patients + 32 controls）</x:v>
      </x:c>
      <x:c r="K2" s="294" t="str">
        <x:v>64</x:v>
      </x:c>
      <x:c r="L2" s="294" t="str">
        <x:v>1000 Hz</x:v>
      </x:c>
      <x:c r="M2" s="294" t="str">
        <x:v>MAT / EEGLAB-derived</x:v>
      </x:c>
      <x:c r="N2" s="294" t="str">
        <x:v>预处理与伪影校正 EEG；仓库含实验数据</x:v>
      </x:c>
      <x:c r="O2" s="294" t="str">
        <x:v>PDDL；EEG-Bench 再分发页不是原始所有者，引用原论文和数据来源</x:v>
      </x:c>
      <x:c r="P2" s="294" t="str">
        <x:v>Albrecht et al. (2019), Neuropsychologia; EEG-Bench clinical benchmark</x:v>
      </x:c>
      <x:c r="Q2" s="294" t="str">
        <x:v>02_Healthcare_and_Disease/Mental_and_Developmental_Disorders/Albrecht2019</x:v>
      </x:c>
      <x:c r="R2" s="294" t="str">
        <x:v>新增；EEG-Bench 论文与公开仓库交叉核验；51 h 为论文基准表记录</x:v>
      </x:c>
      <x:c r="S2" s="294"/>
      <x:c r="T2" s="294" t="n">
        <x:v>183600</x:v>
      </x:c>
      <x:c r="U2" s="295" t="n">
        <x:v>78</x:v>
      </x:c>
    </x:row>
    <x:row r="3">
      <x:c r="A3" s="240" t="str">
        <x:v>EEG-0584</x:v>
      </x:c>
      <x:c r="B3" s="230" t="str">
        <x:v>08_Health_and_Population</x:v>
      </x:c>
      <x:c r="C3" s="230" t="str">
        <x:v>Mental_Health_Risk_Phenotype</x:v>
      </x:c>
      <x:c r="D3" s="230" t="str">
        <x:v>Gruendler2009</x:v>
      </x:c>
      <x:c r="E3" s="230" t="str">
        <x:v>OC symptomatology flanker EEG</x:v>
      </x:c>
      <x:c r="F3" s="230" t="str">
        <x:v>HuggingFace:jalauer/Gruendler2009</x:v>
      </x:c>
      <x:c r="G3" s="230" t="str">
        <x:v>DOWNLOAD_PUBLIC</x:v>
      </x:c>
      <x:c r="H3" s="230" t="str">
        <x:v>https://huggingface.co/datasets/jalauer/Gruendler2009</x:v>
      </x:c>
      <x:c r="I3" s="230" t="str">
        <x:v>高/低强迫症状量表分组；flanker error-related negativity</x:v>
      </x:c>
      <x:c r="J3" s="230" t="str">
        <x:v>46 名本科生（按 OCI-R 高/低分组；非确诊 OCD 病例）</x:v>
      </x:c>
      <x:c r="K3" s="230" t="str">
        <x:v>64 EEG + 2 EOG + 1 EKG</x:v>
      </x:c>
      <x:c r="L3" s="230" t="str">
        <x:v>500 Hz</x:v>
      </x:c>
      <x:c r="M3" s="230" t="str">
        <x:v>CNT</x:v>
      </x:c>
      <x:c r="N3" s="230" t="str">
        <x:v>Raw + possible preprocessed variants</x:v>
      </x:c>
      <x:c r="O3" s="230" t="str">
        <x:v>PDDL；EEG-Bench 再分发页不是原始所有者</x:v>
      </x:c>
      <x:c r="P3" s="230" t="str">
        <x:v>Gründler et al. (2009), Neuropsychologia; EEG-Bench clinical benchmark</x:v>
      </x:c>
      <x:c r="Q3" s="230" t="str">
        <x:v>08_Health_and_Population/Mental_Health_Risk_Phenotype/Gruendler2009</x:v>
      </x:c>
      <x:c r="R3" s="230" t="str">
        <x:v>新增；不标为确诊 OCD 疾病队列；22 h 为 EEG-Bench 表记录</x:v>
      </x:c>
      <x:c r="S3" s="230"/>
      <x:c r="T3" s="230" t="n">
        <x:v>79200</x:v>
      </x:c>
      <x:c r="U3" s="241" t="n">
        <x:v>46</x:v>
      </x:c>
    </x:row>
    <x:row r="4">
      <x:c r="A4" s="296" t="str">
        <x:v>EEG-0585</x:v>
      </x:c>
      <x:c r="B4" s="297" t="str">
        <x:v>02_Healthcare_and_Disease</x:v>
      </x:c>
      <x:c r="C4" s="297" t="str">
        <x:v>Neurological_Disorders</x:v>
      </x:c>
      <x:c r="D4" s="297" t="str">
        <x:v>Singh2020</x:v>
      </x:c>
      <x:c r="E4" s="297" t="str">
        <x:v>Parkinson pedaling / freezing-of-gait EEG</x:v>
      </x:c>
      <x:c r="F4" s="297" t="str">
        <x:v>HuggingFace:jalauer/Singh2020</x:v>
      </x:c>
      <x:c r="G4" s="297" t="str">
        <x:v>DOWNLOAD_PUBLIC</x:v>
      </x:c>
      <x:c r="H4" s="297" t="str">
        <x:v>https://huggingface.co/datasets/jalauer/Singh2020</x:v>
      </x:c>
      <x:c r="I4" s="297" t="str">
        <x:v>PD freezing-of-gait positive/negative and healthy control lower-limb pedaling</x:v>
      </x:c>
      <x:c r="J4" s="297" t="str">
        <x:v>39（13 FOG+ PD + 13 FOG- PD + 13 controls）</x:v>
      </x:c>
      <x:c r="K4" s="297" t="str">
        <x:v>64 + accelerometer</x:v>
      </x:c>
      <x:c r="L4" s="297" t="str">
        <x:v>500 Hz</x:v>
      </x:c>
      <x:c r="M4" s="297" t="str">
        <x:v>BrainVision + MAT</x:v>
      </x:c>
      <x:c r="N4" s="297" t="str">
        <x:v>Raw + processed</x:v>
      </x:c>
      <x:c r="O4" s="297" t="str">
        <x:v>PDDL；EEG-Bench 再分发页不是原始所有者</x:v>
      </x:c>
      <x:c r="P4" s="297" t="str">
        <x:v>Singh et al. (2020), Clinical Neurophysiology; EEG-Bench</x:v>
      </x:c>
      <x:c r="Q4" s="297" t="str">
        <x:v>02_Healthcare_and_Disease/Neurological_Disorders/Singh2020</x:v>
      </x:c>
      <x:c r="R4" s="297" t="str">
        <x:v>新增；39 名与 7 h 由仓库/EEG-Bench 交叉核验</x:v>
      </x:c>
      <x:c r="S4" s="297"/>
      <x:c r="T4" s="297" t="n">
        <x:v>25200</x:v>
      </x:c>
      <x:c r="U4" s="298" t="n">
        <x:v>39</x:v>
      </x:c>
    </x:row>
    <x:row r="5">
      <x:c r="A5" s="240" t="str">
        <x:v>EEG-0586</x:v>
      </x:c>
      <x:c r="B5" s="230" t="str">
        <x:v>02_Healthcare_and_Disease</x:v>
      </x:c>
      <x:c r="C5" s="230" t="str">
        <x:v>Neurological_Disorders</x:v>
      </x:c>
      <x:c r="D5" s="230" t="str">
        <x:v>Singh2021</x:v>
      </x:c>
      <x:c r="E5" s="230" t="str">
        <x:v>Parkinson interval timing EEG</x:v>
      </x:c>
      <x:c r="F5" s="230" t="str">
        <x:v>HuggingFace:jalauer/Singh2021</x:v>
      </x:c>
      <x:c r="G5" s="230" t="str">
        <x:v>DOWNLOAD_PUBLIC</x:v>
      </x:c>
      <x:c r="H5" s="230" t="str">
        <x:v>https://huggingface.co/datasets/jalauer/Singh2021</x:v>
      </x:c>
      <x:c r="I5" s="230" t="str">
        <x:v>PD vs healthy control；3/7-second interval timing；ON/OFF medication subset</x:v>
      </x:c>
      <x:c r="J5" s="230" t="str">
        <x:v>120（83 PD + 37 controls）；129 recordings</x:v>
      </x:c>
      <x:c r="K5" s="230" t="str">
        <x:v>64 + accelerometer</x:v>
      </x:c>
      <x:c r="L5" s="230" t="str">
        <x:v>500 Hz</x:v>
      </x:c>
      <x:c r="M5" s="230" t="str">
        <x:v>BrainVision</x:v>
      </x:c>
      <x:c r="N5" s="230" t="str">
        <x:v>Raw</x:v>
      </x:c>
      <x:c r="O5" s="230" t="str">
        <x:v>PDDL；EEG-Bench 再分发页不是原始所有者</x:v>
      </x:c>
      <x:c r="P5" s="230" t="str">
        <x:v>Singh et al. (2021), npj Parkinson's Disease; EEG-Bench</x:v>
      </x:c>
      <x:c r="Q5" s="230" t="str">
        <x:v>02_Healthcare_and_Disease/Neurological_Disorders/Singh2021</x:v>
      </x:c>
      <x:c r="R5" s="230" t="str">
        <x:v>新增；受试者与记录数分开；58 h 为 EEG-Bench 表记录</x:v>
      </x:c>
      <x:c r="S5" s="230"/>
      <x:c r="T5" s="230" t="n">
        <x:v>208800</x:v>
      </x:c>
      <x:c r="U5" s="241" t="n">
        <x:v>129</x:v>
      </x:c>
    </x:row>
    <x:row r="6">
      <x:c r="A6" s="296" t="str">
        <x:v>EEG-0587</x:v>
      </x:c>
      <x:c r="B6" s="297" t="str">
        <x:v>08_Health_and_Population</x:v>
      </x:c>
      <x:c r="C6" s="297" t="str">
        <x:v>Population_Sleep_Health</x:v>
      </x:c>
      <x:c r="D6" s="297" t="str">
        <x:v>HCHS/SOL Polysomnography</x:v>
      </x:c>
      <x:c r="E6" s="297" t="str">
        <x:v>Hispanic Community Health Study / Study of Latinos PSG</x:v>
      </x:c>
      <x:c r="F6" s="297" t="str">
        <x:v>NSRR:hchs | DOI:10.25822/bmb1-c442</x:v>
      </x:c>
      <x:c r="G6" s="297" t="str">
        <x:v>DOWNLOAD_APPLICATION_REQUIRED</x:v>
      </x:c>
      <x:c r="H6" s="297" t="str">
        <x:v>https://sleepdata.org/datasets/hchs</x:v>
      </x:c>
      <x:c r="I6" s="297" t="str">
        <x:v>Hispanic/Latino population sleep and cardiometabolic epidemiology</x:v>
      </x:c>
      <x:c r="J6" s="297" t="str">
        <x:v>12,088 个有原始 PSG/EEG 的参与者（父队列约 16,000）</x:v>
      </x:c>
      <x:c r="K6" s="297" t="str">
        <x:v>ARES PSG montage（含 EEG）</x:v>
      </x:c>
      <x:c r="L6" s="297" t="str">
        <x:v>见 NSRR official montage</x:v>
      </x:c>
      <x:c r="M6" s="297" t="str">
        <x:v>EDF + XML</x:v>
      </x:c>
      <x:c r="N6" s="297" t="str">
        <x:v>Raw PSG + expert annotations</x:v>
      </x:c>
      <x:c r="O6" s="297" t="str">
        <x:v>NSRR 账户、数据使用协议与项目审批</x:v>
      </x:c>
      <x:c r="P6" s="297" t="str">
        <x:v>HCHS/SOL; NSRR</x:v>
      </x:c>
      <x:c r="Q6" s="297" t="str">
        <x:v>08_Health_and_Population/Population_Sleep_Health/HCHS_SOL</x:v>
      </x:c>
      <x:c r="R6" s="297" t="str">
        <x:v>新增大型队列；按实际可用 raw PSG/EEG 12,088 人计，不用父队列人数替代</x:v>
      </x:c>
      <x:c r="S6" s="297"/>
      <x:c r="T6" s="297"/>
      <x:c r="U6" s="298" t="n">
        <x:v>12088</x:v>
      </x:c>
    </x:row>
    <x:row r="7">
      <x:c r="A7" s="240" t="str">
        <x:v>EEG-0588</x:v>
      </x:c>
      <x:c r="B7" s="230" t="str">
        <x:v>08_Health_and_Population</x:v>
      </x:c>
      <x:c r="C7" s="230" t="str">
        <x:v>Aging_and_Dementia_Risk</x:v>
      </x:c>
      <x:c r="D7" s="230" t="str">
        <x:v>HAASSA</x:v>
      </x:c>
      <x:c r="E7" s="230" t="str">
        <x:v>Honolulu-Asia Aging Study of Sleep Apnea</x:v>
      </x:c>
      <x:c r="F7" s="230" t="str">
        <x:v>NSRR:haassa | DOI:10.25822/s9wh-3k51</x:v>
      </x:c>
      <x:c r="G7" s="230" t="str">
        <x:v>DOWNLOAD_APPLICATION_REQUIRED</x:v>
      </x:c>
      <x:c r="H7" s="230" t="str">
        <x:v>https://sleepdata.org/datasets/haassa</x:v>
      </x:c>
      <x:c r="I7" s="230" t="str">
        <x:v>老年日本裔美国男性；睡眠呼吸障碍、认知与痴呆风险</x:v>
      </x:c>
      <x:c r="J7" s="230" t="str">
        <x:v>717 个有原始 PSG/EEG 的参与者</x:v>
      </x:c>
      <x:c r="K7" s="230" t="str">
        <x:v>2 EEG + PSG channels</x:v>
      </x:c>
      <x:c r="L7" s="230" t="str">
        <x:v>EEG 125 Hz</x:v>
      </x:c>
      <x:c r="M7" s="230" t="str">
        <x:v>EDF + XML</x:v>
      </x:c>
      <x:c r="N7" s="230" t="str">
        <x:v>Raw PSG + annotations</x:v>
      </x:c>
      <x:c r="O7" s="230" t="str">
        <x:v>特殊审批：先获 Kuakini Medical Center 数据方许可，再签 NSRR DUA</x:v>
      </x:c>
      <x:c r="P7" s="230" t="str">
        <x:v>HAASSA; NSRR</x:v>
      </x:c>
      <x:c r="Q7" s="230" t="str">
        <x:v>08_Health_and_Population/Aging_and_Dementia_Risk/HAASSA</x:v>
      </x:c>
      <x:c r="R7" s="230" t="str">
        <x:v>新增；717 为官方 raw PSG 文件口径</x:v>
      </x:c>
      <x:c r="S7" s="230"/>
      <x:c r="T7" s="230"/>
      <x:c r="U7" s="241" t="n">
        <x:v>717</x:v>
      </x:c>
    </x:row>
    <x:row r="8">
      <x:c r="A8" s="296" t="str">
        <x:v>EEG-0589</x:v>
      </x:c>
      <x:c r="B8" s="297" t="str">
        <x:v>08_Health_and_Population</x:v>
      </x:c>
      <x:c r="C8" s="297" t="str">
        <x:v>Sleep_Disordered_Breathing_Risk</x:v>
      </x:c>
      <x:c r="D8" s="297" t="str">
        <x:v>ApoE Sleep Disordered Breathing</x:v>
      </x:c>
      <x:c r="E8" s="297" t="str">
        <x:v>Sleep Disordered Breathing, ApoE and Lipid Metabolism</x:v>
      </x:c>
      <x:c r="F8" s="297" t="str">
        <x:v>NSRR:apoe</x:v>
      </x:c>
      <x:c r="G8" s="297" t="str">
        <x:v>DOWNLOAD_APPLICATION_REQUIRED</x:v>
      </x:c>
      <x:c r="H8" s="297" t="str">
        <x:v>https://sleepdata.org/datasets/apoe</x:v>
      </x:c>
      <x:c r="I8" s="297" t="str">
        <x:v>ApoE genotype, lipid metabolism and untreated suspected sleep-disordered breathing</x:v>
      </x:c>
      <x:c r="J8" s="297" t="str">
        <x:v>712 个有 EDF/EEG 的参与者</x:v>
      </x:c>
      <x:c r="K8" s="297" t="str">
        <x:v>PSG（含 EEG）</x:v>
      </x:c>
      <x:c r="L8" s="297" t="str">
        <x:v>EEG 256 Hz</x:v>
      </x:c>
      <x:c r="M8" s="297" t="str">
        <x:v>EDF + STA + CSV</x:v>
      </x:c>
      <x:c r="N8" s="297" t="str">
        <x:v>Raw PSG + manually scored stages</x:v>
      </x:c>
      <x:c r="O8" s="297" t="str">
        <x:v>NSRR data request / DUA</x:v>
      </x:c>
      <x:c r="P8" s="297" t="str">
        <x:v>ApoE sleep study; NSRR</x:v>
      </x:c>
      <x:c r="Q8" s="297" t="str">
        <x:v>08_Health_and_Population/Sleep_Disordered_Breathing_Risk/ApoE</x:v>
      </x:c>
      <x:c r="R8" s="297" t="str">
        <x:v>新增；712 为官方含 EEG 的 EDF 文件口径</x:v>
      </x:c>
      <x:c r="S8" s="297"/>
      <x:c r="T8" s="297"/>
      <x:c r="U8" s="298" t="n">
        <x:v>712</x:v>
      </x:c>
    </x:row>
    <x:row r="9">
      <x:c r="A9" s="240" t="str">
        <x:v>EEG-0590</x:v>
      </x:c>
      <x:c r="B9" s="230" t="str">
        <x:v>08_Health_and_Population</x:v>
      </x:c>
      <x:c r="C9" s="230" t="str">
        <x:v>Maternal_and_Pregnancy_Health</x:v>
      </x:c>
      <x:c r="D9" s="230" t="str">
        <x:v>nuMoM2b Sleep Breathing Substudy</x:v>
      </x:c>
      <x:c r="E9" s="230" t="str">
        <x:v>NUMOM2B PSG</x:v>
      </x:c>
      <x:c r="F9" s="230" t="str">
        <x:v>NSRR:numom2b | DOI:10.25822/37mc-6v21</x:v>
      </x:c>
      <x:c r="G9" s="230" t="str">
        <x:v>DOWNLOAD_APPLICATION_REQUIRED</x:v>
      </x:c>
      <x:c r="H9" s="230" t="str">
        <x:v>https://sleepdata.org/datasets/numom2b</x:v>
      </x:c>
      <x:c r="I9" s="230" t="str">
        <x:v>nulliparous pregnancy outcomes, sleep-disordered breathing and maternal health</x:v>
      </x:c>
      <x:c r="J9" s="230" t="str">
        <x:v>3,009 个 Visit 1 raw PSG/EEG；2,332 为同队列 Visit 3 随访，不重复相加</x:v>
      </x:c>
      <x:c r="K9" s="230" t="str">
        <x:v>PSG（含 EEG）</x:v>
      </x:c>
      <x:c r="L9" s="230" t="str">
        <x:v>见 NSRR official montage</x:v>
      </x:c>
      <x:c r="M9" s="230" t="str">
        <x:v>EDF + XML</x:v>
      </x:c>
      <x:c r="N9" s="230" t="str">
        <x:v>Raw PSG + annotations</x:v>
      </x:c>
      <x:c r="O9" s="230" t="str">
        <x:v>NSRR data request / DUA</x:v>
      </x:c>
      <x:c r="P9" s="230" t="str">
        <x:v>nuMoM2b Sleep Breathing Substudy; NSRR</x:v>
      </x:c>
      <x:c r="Q9" s="230" t="str">
        <x:v>08_Health_and_Population/Maternal_and_Pregnancy_Health/NUMOM2B</x:v>
      </x:c>
      <x:c r="R9" s="230" t="str">
        <x:v>新增；按 Visit 1 的 3,009 个实际 raw PSG 计唯一基线参与者</x:v>
      </x:c>
      <x:c r="S9" s="230"/>
      <x:c r="T9" s="230"/>
      <x:c r="U9" s="241" t="n">
        <x:v>5341</x:v>
      </x:c>
    </x:row>
    <x:row r="10">
      <x:c r="A10" s="296" t="str">
        <x:v>EEG-0591</x:v>
      </x:c>
      <x:c r="B10" s="297" t="str">
        <x:v>02_Healthcare_and_Disease</x:v>
      </x:c>
      <x:c r="C10" s="297" t="str">
        <x:v>Sleep_and_Narcolepsy</x:v>
      </x:c>
      <x:c r="D10" s="297" t="str">
        <x:v>Mignot Nature Communications (MNC)</x:v>
      </x:c>
      <x:c r="E10" s="297" t="str">
        <x:v>MNC sleep staging / narcolepsy dataset</x:v>
      </x:c>
      <x:c r="F10" s="297" t="str">
        <x:v>NSRR:mnc</x:v>
      </x:c>
      <x:c r="G10" s="297" t="str">
        <x:v>DOWNLOAD_APPLICATION_REQUIRED</x:v>
      </x:c>
      <x:c r="H10" s="297" t="str">
        <x:v>https://sleepdata.org/datasets/mnc</x:v>
      </x:c>
      <x:c r="I10" s="297" t="str">
        <x:v>normal and abnormal sleep staging; type-1 narcolepsy marker</x:v>
      </x:c>
      <x:c r="J10" s="297" t="str">
        <x:v>约 3,000（NSRR 列表口径；多队列正常/异常睡眠记录）</x:v>
      </x:c>
      <x:c r="K10" s="297" t="str">
        <x:v>PSG（cohort-dependent）</x:v>
      </x:c>
      <x:c r="L10" s="297" t="str">
        <x:v>cohort-dependent</x:v>
      </x:c>
      <x:c r="M10" s="297" t="str">
        <x:v>Harmonized EDF + annotations</x:v>
      </x:c>
      <x:c r="N10" s="297" t="str">
        <x:v>Raw harmonized PSG + staging</x:v>
      </x:c>
      <x:c r="O10" s="297" t="str">
        <x:v>NSRR data request / DUA</x:v>
      </x:c>
      <x:c r="P10" s="297" t="str">
        <x:v>Stephansen et al. (2018), Nature Communications; NSRR</x:v>
      </x:c>
      <x:c r="Q10" s="297" t="str">
        <x:v>02_Healthcare_and_Disease/Sleep_and_Narcolepsy/MNC</x:v>
      </x:c>
      <x:c r="R10" s="297" t="str">
        <x:v>新增大型临床睡眠汇编；3,000 为官方列表近似数，非全局唯一精确值</x:v>
      </x:c>
      <x:c r="S10" s="297"/>
      <x:c r="T10" s="297"/>
      <x:c r="U10" s="298" t="n">
        <x:v>3000</x:v>
      </x:c>
    </x:row>
    <x:row r="11">
      <x:c r="A11" s="240" t="str">
        <x:v>EEG-0592</x:v>
      </x:c>
      <x:c r="B11" s="230" t="str">
        <x:v>02_Healthcare_and_Disease</x:v>
      </x:c>
      <x:c r="C11" s="230" t="str">
        <x:v>Clinical_Sleep_Disorders</x:v>
      </x:c>
      <x:c r="D11" s="230" t="str">
        <x:v>Comprehensive Polysomnography (CPS)</x:v>
      </x:c>
      <x:c r="E11" s="230" t="str">
        <x:v>CPS sleep arousal dataset</x:v>
      </x:c>
      <x:c r="F11" s="230" t="str">
        <x:v>PhysioNet:cps-dataset-sleep:v1.0.0 | DOI:10.13026/sxs0-h317</x:v>
      </x:c>
      <x:c r="G11" s="230" t="str">
        <x:v>DOWNLOAD_APPLICATION_REQUIRED</x:v>
      </x:c>
      <x:c r="H11" s="230" t="str">
        <x:v>https://physionet.org/content/cps-dataset-sleep/1.0.0/</x:v>
      </x:c>
      <x:c r="I11" s="230" t="str">
        <x:v>clinical sleep arousal, apnea/hypopnea and diagnostic decision support</x:v>
      </x:c>
      <x:c r="J11" s="230" t="str">
        <x:v>113 diagnostic PSG recordings / subjects</x:v>
      </x:c>
      <x:c r="K11" s="230" t="str">
        <x:v>up to 36 raw channels；含 10 个 EEG derivations/electrodes</x:v>
      </x:c>
      <x:c r="L11" s="230" t="str">
        <x:v>EEG original 128 Hz; distributed WFDB 256 Hz</x:v>
      </x:c>
      <x:c r="M11" s="230" t="str">
        <x:v>WFDB + TXT + YAML</x:v>
      </x:c>
      <x:c r="N11" s="230" t="str">
        <x:v>Raw multichannel PSG + derived signals + annotations</x:v>
      </x:c>
      <x:c r="O11" s="230" t="str">
        <x:v>PhysioNet credentialed access、CITI training、DUA</x:v>
      </x:c>
      <x:c r="P11" s="230" t="str">
        <x:v>Kraft et al. (2024), PhysioNet</x:v>
      </x:c>
      <x:c r="Q11" s="230" t="str">
        <x:v>02_Healthcare_and_Disease/Clinical_Sleep_Disorders/CPS</x:v>
      </x:c>
      <x:c r="R11" s="230" t="str">
        <x:v>新增；官方页面确认原始 EEG 通道与 113 份临床 PSG</x:v>
      </x:c>
      <x:c r="S11" s="230"/>
      <x:c r="T11" s="230"/>
      <x:c r="U11" s="241" t="n">
        <x:v>113</x:v>
      </x:c>
    </x:row>
    <x:row r="12">
      <x:c r="A12" s="296" t="str">
        <x:v>EEG-0593</x:v>
      </x:c>
      <x:c r="B12" s="297" t="str">
        <x:v>02_Healthcare_and_Disease</x:v>
      </x:c>
      <x:c r="C12" s="297" t="str">
        <x:v>Cardiovascular_and_Sleep_Disorders</x:v>
      </x:c>
      <x:c r="D12" s="297" t="str">
        <x:v>LOFT-HF</x:v>
      </x:c>
      <x:c r="E12" s="297" t="str">
        <x:v>Low Flow Nocturnal Oxygen Therapy in Heart Failure</x:v>
      </x:c>
      <x:c r="F12" s="297" t="str">
        <x:v>NSRR:lofthf</x:v>
      </x:c>
      <x:c r="G12" s="297" t="str">
        <x:v>DOWNLOAD_APPLICATION_REQUIRED</x:v>
      </x:c>
      <x:c r="H12" s="297" t="str">
        <x:v>https://sleepdata.org/datasets/lofthf</x:v>
      </x:c>
      <x:c r="I12" s="297" t="str">
        <x:v>heart failure with reduced ejection fraction and central sleep apnea clinical trial</x:v>
      </x:c>
      <x:c r="J12" s="297" t="str">
        <x:v>161 名有 baseline raw PSG；31 名另有 follow-up；不把随访重复相加</x:v>
      </x:c>
      <x:c r="K12" s="297" t="str">
        <x:v>Type-2 PSG with frontal EEG</x:v>
      </x:c>
      <x:c r="L12" s="297" t="str">
        <x:v>见 NSRR files/montage</x:v>
      </x:c>
      <x:c r="M12" s="297" t="str">
        <x:v>EDF + annotations</x:v>
      </x:c>
      <x:c r="N12" s="297" t="str">
        <x:v>Raw PSG + expert annotations</x:v>
      </x:c>
      <x:c r="O12" s="297" t="str">
        <x:v>NSRR data request / DUA</x:v>
      </x:c>
      <x:c r="P12" s="297" t="str">
        <x:v>LOFT-HF Trial; NSRR</x:v>
      </x:c>
      <x:c r="Q12" s="297" t="str">
        <x:v>02_Healthcare_and_Disease/Cardiovascular_and_Sleep_Disorders/LOFT_HF</x:v>
      </x:c>
      <x:c r="R12" s="297" t="str">
        <x:v>新增；受试者按 161 名 baseline raw PSG 计，31 follow-up 不重复算人</x:v>
      </x:c>
      <x:c r="S12" s="297"/>
      <x:c r="T12" s="297"/>
      <x:c r="U12" s="298" t="n">
        <x:v>192</x:v>
      </x:c>
    </x:row>
    <x:row r="13">
      <x:c r="A13" s="240" t="str">
        <x:v>EEG-0594</x:v>
      </x:c>
      <x:c r="B13" s="230" t="str">
        <x:v>08_Health_and_Population</x:v>
      </x:c>
      <x:c r="C13" s="230" t="str">
        <x:v>Developmental_Clinical_Cohort</x:v>
      </x:c>
      <x:c r="D13" s="230" t="str">
        <x:v>HBN-EEG Release 2</x:v>
      </x:c>
      <x:c r="E13" s="230" t="str">
        <x:v>Healthy Brain Network EEG; ds005506</x:v>
      </x:c>
      <x:c r="F13" s="230" t="str">
        <x:v>OpenNeuro:ds005506 | DOI:10.18112/openneuro.ds005506.v1.0.1</x:v>
      </x:c>
      <x:c r="G13" s="230" t="str">
        <x:v>DOWNLOAD_PUBLIC</x:v>
      </x:c>
      <x:c r="H13" s="230" t="str">
        <x:v>https://openneuro.org/datasets/ds005506</x:v>
      </x:c>
      <x:c r="I13" s="230" t="str">
        <x:v>Multi-task developmental EEG (rest, visual/cognitive tasks and behavioral phenotyping; release-dependent)</x:v>
      </x:c>
      <x:c r="J13" s="230" t="str">
        <x:v>150</x:v>
      </x:c>
      <x:c r="K13" s="230" t="str">
        <x:v>129</x:v>
      </x:c>
      <x:c r="L13" s="230" t="str">
        <x:v>500 Hz</x:v>
      </x:c>
      <x:c r="M13" s="230" t="str">
        <x:v>BIDS EEG / EEGLAB SET</x:v>
      </x:c>
      <x:c r="N13" s="230" t="str">
        <x:v>BIDS-organized EEG release</x:v>
      </x:c>
      <x:c r="O13" s="230" t="str">
        <x:v>CC BY-SA 4.0</x:v>
      </x:c>
      <x:c r="P13" s="230" t="str">
        <x:v>Shirazi et al., HBN-EEG; REVE Appendix B</x:v>
      </x:c>
      <x:c r="Q13" s="230" t="str">
        <x:v>08_Health_and_Population/Developmental_Clinical_Cohort/HBN_EEG_R2_ds005506</x:v>
      </x:c>
      <x:c r="R13" s="230" t="str">
        <x:v>150 subjects、1,405 recordings、127.5 h；按 OpenNeuro 独立 release 去重。</x:v>
      </x:c>
      <x:c r="S13" s="230"/>
      <x:c r="T13" s="230" t="n">
        <x:v>459000</x:v>
      </x:c>
      <x:c r="U13" s="241" t="n">
        <x:v>1405</x:v>
      </x:c>
    </x:row>
    <x:row r="14">
      <x:c r="A14" s="296" t="str">
        <x:v>EEG-0595</x:v>
      </x:c>
      <x:c r="B14" s="297" t="str">
        <x:v>08_Health_and_Population</x:v>
      </x:c>
      <x:c r="C14" s="297" t="str">
        <x:v>Developmental_Clinical_Cohort</x:v>
      </x:c>
      <x:c r="D14" s="297" t="str">
        <x:v>HBN-EEG Release 3</x:v>
      </x:c>
      <x:c r="E14" s="297" t="str">
        <x:v>Healthy Brain Network EEG; ds005507</x:v>
      </x:c>
      <x:c r="F14" s="297" t="str">
        <x:v>OpenNeuro:ds005507 | DOI:10.18112/openneuro.ds005507.v1.0.1</x:v>
      </x:c>
      <x:c r="G14" s="297" t="str">
        <x:v>DOWNLOAD_PUBLIC</x:v>
      </x:c>
      <x:c r="H14" s="297" t="str">
        <x:v>https://openneuro.org/datasets/ds005507</x:v>
      </x:c>
      <x:c r="I14" s="297" t="str">
        <x:v>Multi-task developmental EEG (rest, visual/cognitive tasks and behavioral phenotyping; release-dependent)</x:v>
      </x:c>
      <x:c r="J14" s="297" t="str">
        <x:v>184</x:v>
      </x:c>
      <x:c r="K14" s="297" t="str">
        <x:v>129</x:v>
      </x:c>
      <x:c r="L14" s="297" t="str">
        <x:v>500 Hz</x:v>
      </x:c>
      <x:c r="M14" s="297" t="str">
        <x:v>BIDS EEG / EEGLAB SET</x:v>
      </x:c>
      <x:c r="N14" s="297" t="str">
        <x:v>BIDS-organized EEG release</x:v>
      </x:c>
      <x:c r="O14" s="297" t="str">
        <x:v>CC BY-SA 4.0</x:v>
      </x:c>
      <x:c r="P14" s="297" t="str">
        <x:v>Shirazi et al., HBN-EEG; REVE Appendix B</x:v>
      </x:c>
      <x:c r="Q14" s="297" t="str">
        <x:v>08_Health_and_Population/Developmental_Clinical_Cohort/HBN_EEG_R3_ds005507</x:v>
      </x:c>
      <x:c r="R14" s="297" t="str">
        <x:v>184 subjects、1,812 recordings、158.8 h；按 OpenNeuro 独立 release 去重。</x:v>
      </x:c>
      <x:c r="S14" s="297"/>
      <x:c r="T14" s="297" t="n">
        <x:v>571680</x:v>
      </x:c>
      <x:c r="U14" s="298" t="n">
        <x:v>1812</x:v>
      </x:c>
    </x:row>
    <x:row r="15">
      <x:c r="A15" s="240" t="str">
        <x:v>EEG-0596</x:v>
      </x:c>
      <x:c r="B15" s="230" t="str">
        <x:v>08_Health_and_Population</x:v>
      </x:c>
      <x:c r="C15" s="230" t="str">
        <x:v>Developmental_Clinical_Cohort</x:v>
      </x:c>
      <x:c r="D15" s="230" t="str">
        <x:v>HBN-EEG Release 4</x:v>
      </x:c>
      <x:c r="E15" s="230" t="str">
        <x:v>Healthy Brain Network EEG; ds005508</x:v>
      </x:c>
      <x:c r="F15" s="230" t="str">
        <x:v>OpenNeuro:ds005508 | DOI:10.18112/openneuro.ds005508.v1.0.1</x:v>
      </x:c>
      <x:c r="G15" s="230" t="str">
        <x:v>DOWNLOAD_PUBLIC</x:v>
      </x:c>
      <x:c r="H15" s="230" t="str">
        <x:v>https://openneuro.org/datasets/ds005508</x:v>
      </x:c>
      <x:c r="I15" s="230" t="str">
        <x:v>Multi-task developmental EEG (rest, visual/cognitive tasks and behavioral phenotyping; release-dependent)</x:v>
      </x:c>
      <x:c r="J15" s="230" t="str">
        <x:v>324</x:v>
      </x:c>
      <x:c r="K15" s="230" t="str">
        <x:v>129</x:v>
      </x:c>
      <x:c r="L15" s="230" t="str">
        <x:v>500 Hz</x:v>
      </x:c>
      <x:c r="M15" s="230" t="str">
        <x:v>BIDS EEG / EEGLAB SET</x:v>
      </x:c>
      <x:c r="N15" s="230" t="str">
        <x:v>BIDS-organized EEG release</x:v>
      </x:c>
      <x:c r="O15" s="230" t="str">
        <x:v>CC BY-SA 4.0</x:v>
      </x:c>
      <x:c r="P15" s="230" t="str">
        <x:v>Shirazi et al., HBN-EEG; REVE Appendix B</x:v>
      </x:c>
      <x:c r="Q15" s="230" t="str">
        <x:v>08_Health_and_Population/Developmental_Clinical_Cohort/HBN_EEG_R4_ds005508</x:v>
      </x:c>
      <x:c r="R15" s="230" t="str">
        <x:v>324 subjects、3,342 recordings、261.8 h；按 OpenNeuro 独立 release 去重。</x:v>
      </x:c>
      <x:c r="S15" s="230"/>
      <x:c r="T15" s="230" t="n">
        <x:v>942480</x:v>
      </x:c>
      <x:c r="U15" s="241" t="n">
        <x:v>3342</x:v>
      </x:c>
    </x:row>
    <x:row r="16">
      <x:c r="A16" s="296" t="str">
        <x:v>EEG-0597</x:v>
      </x:c>
      <x:c r="B16" s="297" t="str">
        <x:v>08_Health_and_Population</x:v>
      </x:c>
      <x:c r="C16" s="297" t="str">
        <x:v>Developmental_Clinical_Cohort</x:v>
      </x:c>
      <x:c r="D16" s="297" t="str">
        <x:v>HBN-EEG Release 5</x:v>
      </x:c>
      <x:c r="E16" s="297" t="str">
        <x:v>Healthy Brain Network EEG; ds005509</x:v>
      </x:c>
      <x:c r="F16" s="297" t="str">
        <x:v>OpenNeuro:ds005509 | DOI:10.18112/openneuro.ds005509.v1.0.1</x:v>
      </x:c>
      <x:c r="G16" s="297" t="str">
        <x:v>DOWNLOAD_PUBLIC</x:v>
      </x:c>
      <x:c r="H16" s="297" t="str">
        <x:v>https://openneuro.org/datasets/ds005509</x:v>
      </x:c>
      <x:c r="I16" s="297" t="str">
        <x:v>Multi-task developmental EEG (rest, visual/cognitive tasks and behavioral phenotyping; release-dependent)</x:v>
      </x:c>
      <x:c r="J16" s="297" t="str">
        <x:v>330</x:v>
      </x:c>
      <x:c r="K16" s="297" t="str">
        <x:v>129</x:v>
      </x:c>
      <x:c r="L16" s="297" t="str">
        <x:v>500 Hz</x:v>
      </x:c>
      <x:c r="M16" s="297" t="str">
        <x:v>BIDS EEG / EEGLAB SET</x:v>
      </x:c>
      <x:c r="N16" s="297" t="str">
        <x:v>BIDS-organized EEG release</x:v>
      </x:c>
      <x:c r="O16" s="297" t="str">
        <x:v>CC BY-SA 4.0</x:v>
      </x:c>
      <x:c r="P16" s="297" t="str">
        <x:v>Shirazi et al., HBN-EEG; REVE Appendix B</x:v>
      </x:c>
      <x:c r="Q16" s="297" t="str">
        <x:v>08_Health_and_Population/Developmental_Clinical_Cohort/HBN_EEG_R5_ds005509</x:v>
      </x:c>
      <x:c r="R16" s="297" t="str">
        <x:v>330 subjects、3,326 recordings、255.3 h；按 OpenNeuro 独立 release 去重。</x:v>
      </x:c>
      <x:c r="S16" s="297"/>
      <x:c r="T16" s="297" t="n">
        <x:v>919080</x:v>
      </x:c>
      <x:c r="U16" s="298" t="n">
        <x:v>3326</x:v>
      </x:c>
    </x:row>
    <x:row r="17">
      <x:c r="A17" s="240" t="str">
        <x:v>EEG-0598</x:v>
      </x:c>
      <x:c r="B17" s="230" t="str">
        <x:v>08_Health_and_Population</x:v>
      </x:c>
      <x:c r="C17" s="230" t="str">
        <x:v>Developmental_Clinical_Cohort</x:v>
      </x:c>
      <x:c r="D17" s="230" t="str">
        <x:v>HBN-EEG Release 6</x:v>
      </x:c>
      <x:c r="E17" s="230" t="str">
        <x:v>Healthy Brain Network EEG; ds005510</x:v>
      </x:c>
      <x:c r="F17" s="230" t="str">
        <x:v>OpenNeuro:ds005510 | DOI:10.18112/openneuro.ds005510.v1.0.1</x:v>
      </x:c>
      <x:c r="G17" s="230" t="str">
        <x:v>DOWNLOAD_PUBLIC</x:v>
      </x:c>
      <x:c r="H17" s="230" t="str">
        <x:v>https://openneuro.org/datasets/ds005510</x:v>
      </x:c>
      <x:c r="I17" s="230" t="str">
        <x:v>Multi-task developmental EEG (rest, visual/cognitive tasks and behavioral phenotyping; release-dependent)</x:v>
      </x:c>
      <x:c r="J17" s="230" t="str">
        <x:v>135</x:v>
      </x:c>
      <x:c r="K17" s="230" t="str">
        <x:v>129</x:v>
      </x:c>
      <x:c r="L17" s="230" t="str">
        <x:v>500 Hz</x:v>
      </x:c>
      <x:c r="M17" s="230" t="str">
        <x:v>BIDS EEG / EEGLAB SET</x:v>
      </x:c>
      <x:c r="N17" s="230" t="str">
        <x:v>BIDS-organized EEG release</x:v>
      </x:c>
      <x:c r="O17" s="230" t="str">
        <x:v>CC BY-SA 4.0</x:v>
      </x:c>
      <x:c r="P17" s="230" t="str">
        <x:v>Shirazi et al., HBN-EEG; REVE Appendix B</x:v>
      </x:c>
      <x:c r="Q17" s="230" t="str">
        <x:v>08_Health_and_Population/Developmental_Clinical_Cohort/HBN_EEG_R6_ds005510</x:v>
      </x:c>
      <x:c r="R17" s="230" t="str">
        <x:v>135 subjects、1,227 recordings、103.5 h；按 OpenNeuro 独立 release 去重。</x:v>
      </x:c>
      <x:c r="S17" s="230"/>
      <x:c r="T17" s="230" t="n">
        <x:v>372600</x:v>
      </x:c>
      <x:c r="U17" s="241" t="n">
        <x:v>1227</x:v>
      </x:c>
    </x:row>
    <x:row r="18">
      <x:c r="A18" s="296" t="str">
        <x:v>EEG-0599</x:v>
      </x:c>
      <x:c r="B18" s="297" t="str">
        <x:v>08_Health_and_Population</x:v>
      </x:c>
      <x:c r="C18" s="297" t="str">
        <x:v>Developmental_Clinical_Cohort</x:v>
      </x:c>
      <x:c r="D18" s="297" t="str">
        <x:v>HBN-EEG Release 7</x:v>
      </x:c>
      <x:c r="E18" s="297" t="str">
        <x:v>Healthy Brain Network EEG; ds005511</x:v>
      </x:c>
      <x:c r="F18" s="297" t="str">
        <x:v>OpenNeuro:ds005511 | DOI:10.18112/openneuro.ds005511.v1.0.1</x:v>
      </x:c>
      <x:c r="G18" s="297" t="str">
        <x:v>DOWNLOAD_PUBLIC</x:v>
      </x:c>
      <x:c r="H18" s="297" t="str">
        <x:v>https://openneuro.org/datasets/ds005511</x:v>
      </x:c>
      <x:c r="I18" s="297" t="str">
        <x:v>Multi-task developmental EEG (rest, visual/cognitive tasks and behavioral phenotyping; release-dependent)</x:v>
      </x:c>
      <x:c r="J18" s="297" t="str">
        <x:v>381</x:v>
      </x:c>
      <x:c r="K18" s="297" t="str">
        <x:v>129</x:v>
      </x:c>
      <x:c r="L18" s="297" t="str">
        <x:v>500 Hz</x:v>
      </x:c>
      <x:c r="M18" s="297" t="str">
        <x:v>BIDS EEG / EEGLAB SET</x:v>
      </x:c>
      <x:c r="N18" s="297" t="str">
        <x:v>BIDS-organized EEG release</x:v>
      </x:c>
      <x:c r="O18" s="297" t="str">
        <x:v>CC BY-SA 4.0</x:v>
      </x:c>
      <x:c r="P18" s="297" t="str">
        <x:v>Shirazi et al., HBN-EEG; REVE Appendix B</x:v>
      </x:c>
      <x:c r="Q18" s="297" t="str">
        <x:v>08_Health_and_Population/Developmental_Clinical_Cohort/HBN_EEG_R7_ds005511</x:v>
      </x:c>
      <x:c r="R18" s="297" t="str">
        <x:v>381 subjects、3,100 recordings；官方 release 可核验，但未把未公开的总时长估算成精确值。</x:v>
      </x:c>
      <x:c r="S18" s="297"/>
      <x:c r="T18" s="297"/>
      <x:c r="U18" s="298" t="n">
        <x:v>3100</x:v>
      </x:c>
    </x:row>
    <x:row r="19">
      <x:c r="A19" s="240" t="str">
        <x:v>EEG-0600</x:v>
      </x:c>
      <x:c r="B19" s="230" t="str">
        <x:v>08_Health_and_Population</x:v>
      </x:c>
      <x:c r="C19" s="230" t="str">
        <x:v>Developmental_Clinical_Cohort</x:v>
      </x:c>
      <x:c r="D19" s="230" t="str">
        <x:v>HBN-EEG Release 8</x:v>
      </x:c>
      <x:c r="E19" s="230" t="str">
        <x:v>Healthy Brain Network EEG; ds005512</x:v>
      </x:c>
      <x:c r="F19" s="230" t="str">
        <x:v>OpenNeuro:ds005512 | DOI:10.18112/openneuro.ds005512.v1.0.1</x:v>
      </x:c>
      <x:c r="G19" s="230" t="str">
        <x:v>DOWNLOAD_PUBLIC</x:v>
      </x:c>
      <x:c r="H19" s="230" t="str">
        <x:v>https://openneuro.org/datasets/ds005512</x:v>
      </x:c>
      <x:c r="I19" s="230" t="str">
        <x:v>Multi-task developmental EEG (rest, visual/cognitive tasks and behavioral phenotyping; release-dependent)</x:v>
      </x:c>
      <x:c r="J19" s="230" t="str">
        <x:v>257</x:v>
      </x:c>
      <x:c r="K19" s="230" t="str">
        <x:v>129</x:v>
      </x:c>
      <x:c r="L19" s="230" t="str">
        <x:v>500 Hz</x:v>
      </x:c>
      <x:c r="M19" s="230" t="str">
        <x:v>BIDS EEG / EEGLAB SET</x:v>
      </x:c>
      <x:c r="N19" s="230" t="str">
        <x:v>BIDS-organized EEG release</x:v>
      </x:c>
      <x:c r="O19" s="230" t="str">
        <x:v>CC BY-SA 4.0</x:v>
      </x:c>
      <x:c r="P19" s="230" t="str">
        <x:v>Shirazi et al., HBN-EEG; REVE Appendix B</x:v>
      </x:c>
      <x:c r="Q19" s="230" t="str">
        <x:v>08_Health_and_Population/Developmental_Clinical_Cohort/HBN_EEG_R8_ds005512</x:v>
      </x:c>
      <x:c r="R19" s="230" t="str">
        <x:v>257 subjects、2,320 recordings、179.1 h；按 OpenNeuro 独立 release 去重。</x:v>
      </x:c>
      <x:c r="S19" s="230"/>
      <x:c r="T19" s="230" t="n">
        <x:v>644760</x:v>
      </x:c>
      <x:c r="U19" s="241" t="n">
        <x:v>2320</x:v>
      </x:c>
    </x:row>
    <x:row r="20">
      <x:c r="A20" s="299" t="str">
        <x:v>EEG-0601</x:v>
      </x:c>
      <x:c r="B20" s="300" t="str">
        <x:v>08_Health_and_Population</x:v>
      </x:c>
      <x:c r="C20" s="300" t="str">
        <x:v>Developmental_Clinical_Cohort</x:v>
      </x:c>
      <x:c r="D20" s="300" t="str">
        <x:v>HBN-EEG Release 9</x:v>
      </x:c>
      <x:c r="E20" s="300" t="str">
        <x:v>Healthy Brain Network EEG; ds005514</x:v>
      </x:c>
      <x:c r="F20" s="300" t="str">
        <x:v>OpenNeuro:ds005514 | DOI:10.18112/openneuro.ds005514.v1.0.1</x:v>
      </x:c>
      <x:c r="G20" s="300" t="str">
        <x:v>DOWNLOAD_PUBLIC</x:v>
      </x:c>
      <x:c r="H20" s="300" t="str">
        <x:v>https://openneuro.org/datasets/ds005514</x:v>
      </x:c>
      <x:c r="I20" s="300" t="str">
        <x:v>Multi-task developmental EEG (rest, visual/cognitive tasks and behavioral phenotyping; release-dependent)</x:v>
      </x:c>
      <x:c r="J20" s="300" t="str">
        <x:v>295</x:v>
      </x:c>
      <x:c r="K20" s="300" t="str">
        <x:v>129</x:v>
      </x:c>
      <x:c r="L20" s="300" t="str">
        <x:v>500 Hz</x:v>
      </x:c>
      <x:c r="M20" s="300" t="str">
        <x:v>BIDS EEG / EEGLAB SET</x:v>
      </x:c>
      <x:c r="N20" s="300" t="str">
        <x:v>BIDS-organized EEG release</x:v>
      </x:c>
      <x:c r="O20" s="300" t="str">
        <x:v>CC BY-SA 4.0</x:v>
      </x:c>
      <x:c r="P20" s="300" t="str">
        <x:v>Shirazi et al., HBN-EEG; REVE Appendix B</x:v>
      </x:c>
      <x:c r="Q20" s="300" t="str">
        <x:v>08_Health_and_Population/Developmental_Clinical_Cohort/HBN_EEG_R9_ds005514</x:v>
      </x:c>
      <x:c r="R20" s="300" t="str">
        <x:v>295 subjects、2,885 recordings、210.8 h；按 OpenNeuro 独立 release 去重。</x:v>
      </x:c>
      <x:c r="S20" s="300"/>
      <x:c r="T20" s="300" t="n">
        <x:v>758880</x:v>
      </x:c>
      <x:c r="U20" s="301" t="n">
        <x:v>2885</x:v>
      </x:c>
    </x:row>
  </x:sheetData>
  <x:pageMargins left="0.7" right="0.7" top="0.75" bottom="0.75" header="0.3" footer="0.3"/>
  <x:tableParts count="1">
    <x:tablePart xmlns:r="http://schemas.openxmlformats.org/officeDocument/2006/relationships" r:id="Rf6775731142b41c9"/>
  </x:tableParts>
</x:worksheet>
</file>

<file path=xl/worksheets/sheet16.xml><?xml version="1.0" encoding="utf-8"?>
<x:worksheet xmlns:x="http://schemas.openxmlformats.org/spreadsheetml/2006/main">
  <x:sheetFormatPr defaultRowHeight="15"/>
  <x:cols>
    <x:col min="1" max="1" width="39" hidden="0" customWidth="1"/>
    <x:col min="2" max="2" width="22" hidden="0" customWidth="1"/>
    <x:col min="3" max="3" width="14" hidden="0" customWidth="1"/>
    <x:col min="4" max="4" width="38" hidden="0" customWidth="1"/>
    <x:col min="5" max="5" width="14" hidden="0" customWidth="1"/>
  </x:cols>
  <x:sheetData>
    <x:row r="1" ht="32" customHeight="1">
      <x:c r="A1" s="313" t="str">
        <x:v>大类代码</x:v>
      </x:c>
      <x:c r="B1" s="314" t="str">
        <x:v>大类</x:v>
      </x:c>
      <x:c r="C1" s="314" t="str">
        <x:v>大类数量</x:v>
      </x:c>
      <x:c r="D1" s="314" t="str">
        <x:v>小类</x:v>
      </x:c>
      <x:c r="E1" s="315" t="str">
        <x:v>小类数量</x:v>
      </x:c>
    </x:row>
    <x:row r="2">
      <x:c r="A2" s="316" t="str">
        <x:v>01_Signal_Reliability</x:v>
      </x:c>
      <x:c r="B2" s="317" t="str">
        <x:v>信号可靠性</x:v>
      </x:c>
      <x:c r="C2" s="317" t="n">
        <x:v>4</x:v>
      </x:c>
      <x:c r="D2" s="317" t="str">
        <x:v>Artifact_Identification</x:v>
      </x:c>
      <x:c r="E2" s="318" t="n">
        <x:v>4</x:v>
      </x:c>
    </x:row>
    <x:row r="3">
      <x:c r="A3" s="240" t="str">
        <x:v>02_Healthcare_and_Disease</x:v>
      </x:c>
      <x:c r="B3" s="230" t="str">
        <x:v>医疗与疾病</x:v>
      </x:c>
      <x:c r="C3" s="230" t="n">
        <x:v>89</x:v>
      </x:c>
      <x:c r="D3" s="230" t="str">
        <x:v>Epilepsy_and_Abnormalities</x:v>
      </x:c>
      <x:c r="E3" s="241" t="n">
        <x:v>30</x:v>
      </x:c>
    </x:row>
    <x:row r="4">
      <x:c r="A4" s="319" t="str">
        <x:v>02_Healthcare_and_Disease</x:v>
      </x:c>
      <x:c r="B4" s="320" t="str">
        <x:v>医疗与疾病</x:v>
      </x:c>
      <x:c r="C4" s="320"/>
      <x:c r="D4" s="320" t="str">
        <x:v>Neurological_Disorders</x:v>
      </x:c>
      <x:c r="E4" s="321" t="n">
        <x:v>24</x:v>
      </x:c>
    </x:row>
    <x:row r="5">
      <x:c r="A5" s="240" t="str">
        <x:v>02_Healthcare_and_Disease</x:v>
      </x:c>
      <x:c r="B5" s="230" t="str">
        <x:v>医疗与疾病</x:v>
      </x:c>
      <x:c r="C5" s="230"/>
      <x:c r="D5" s="230" t="str">
        <x:v>Mental_and_Developmental_Disorders</x:v>
      </x:c>
      <x:c r="E5" s="241" t="n">
        <x:v>14</x:v>
      </x:c>
    </x:row>
    <x:row r="6">
      <x:c r="A6" s="319" t="str">
        <x:v>02_Healthcare_and_Disease</x:v>
      </x:c>
      <x:c r="B6" s="320" t="str">
        <x:v>医疗与疾病</x:v>
      </x:c>
      <x:c r="C6" s="320"/>
      <x:c r="D6" s="320" t="str">
        <x:v>Neurodegenerative_Disorders</x:v>
      </x:c>
      <x:c r="E6" s="321" t="n">
        <x:v>8</x:v>
      </x:c>
    </x:row>
    <x:row r="7">
      <x:c r="A7" s="240" t="str">
        <x:v>02_Healthcare_and_Disease</x:v>
      </x:c>
      <x:c r="B7" s="230" t="str">
        <x:v>医疗与疾病</x:v>
      </x:c>
      <x:c r="C7" s="230"/>
      <x:c r="D7" s="230" t="str">
        <x:v>Clinical_Abnormalities</x:v>
      </x:c>
      <x:c r="E7" s="241" t="n">
        <x:v>7</x:v>
      </x:c>
    </x:row>
    <x:row r="8">
      <x:c r="A8" s="319" t="str">
        <x:v>02_Healthcare_and_Disease</x:v>
      </x:c>
      <x:c r="B8" s="320" t="str">
        <x:v>医疗与疾病</x:v>
      </x:c>
      <x:c r="C8" s="320"/>
      <x:c r="D8" s="320" t="str">
        <x:v>Cardiovascular_and_Sleep_Disorders</x:v>
      </x:c>
      <x:c r="E8" s="321" t="n">
        <x:v>1</x:v>
      </x:c>
    </x:row>
    <x:row r="9">
      <x:c r="A9" s="240" t="str">
        <x:v>02_Healthcare_and_Disease</x:v>
      </x:c>
      <x:c r="B9" s="230" t="str">
        <x:v>医疗与疾病</x:v>
      </x:c>
      <x:c r="C9" s="230"/>
      <x:c r="D9" s="230" t="str">
        <x:v>Clinical_Sleep_Disorders</x:v>
      </x:c>
      <x:c r="E9" s="241" t="n">
        <x:v>1</x:v>
      </x:c>
    </x:row>
    <x:row r="10">
      <x:c r="A10" s="319" t="str">
        <x:v>02_Healthcare_and_Disease</x:v>
      </x:c>
      <x:c r="B10" s="320" t="str">
        <x:v>医疗与疾病</x:v>
      </x:c>
      <x:c r="C10" s="320"/>
      <x:c r="D10" s="320" t="str">
        <x:v>Critical_Care_and_Coma</x:v>
      </x:c>
      <x:c r="E10" s="321" t="n">
        <x:v>1</x:v>
      </x:c>
    </x:row>
    <x:row r="11">
      <x:c r="A11" s="240" t="str">
        <x:v>02_Healthcare_and_Disease</x:v>
      </x:c>
      <x:c r="B11" s="230" t="str">
        <x:v>医疗与疾病</x:v>
      </x:c>
      <x:c r="C11" s="230"/>
      <x:c r="D11" s="230" t="str">
        <x:v>Cross_Diagnostic_Clinical</x:v>
      </x:c>
      <x:c r="E11" s="241" t="n">
        <x:v>1</x:v>
      </x:c>
    </x:row>
    <x:row r="12">
      <x:c r="A12" s="319" t="str">
        <x:v>02_Healthcare_and_Disease</x:v>
      </x:c>
      <x:c r="B12" s="320" t="str">
        <x:v>医疗与疾病</x:v>
      </x:c>
      <x:c r="C12" s="320"/>
      <x:c r="D12" s="320" t="str">
        <x:v>Development_and_Lifespan</x:v>
      </x:c>
      <x:c r="E12" s="321" t="n">
        <x:v>1</x:v>
      </x:c>
    </x:row>
    <x:row r="13">
      <x:c r="A13" s="240" t="str">
        <x:v>02_Healthcare_and_Disease</x:v>
      </x:c>
      <x:c r="B13" s="230" t="str">
        <x:v>医疗与疾病</x:v>
      </x:c>
      <x:c r="C13" s="230"/>
      <x:c r="D13" s="230" t="str">
        <x:v>Sleep_and_Narcolepsy</x:v>
      </x:c>
      <x:c r="E13" s="241" t="n">
        <x:v>1</x:v>
      </x:c>
    </x:row>
    <x:row r="14">
      <x:c r="A14" s="319" t="str">
        <x:v>03_Consciousness_and_State</x:v>
      </x:c>
      <x:c r="B14" s="320" t="str">
        <x:v>意识与状态</x:v>
      </x:c>
      <x:c r="C14" s="320" t="n">
        <x:v>69</x:v>
      </x:c>
      <x:c r="D14" s="320" t="str">
        <x:v>Sleep_Staging</x:v>
      </x:c>
      <x:c r="E14" s="321" t="n">
        <x:v>37</x:v>
      </x:c>
    </x:row>
    <x:row r="15">
      <x:c r="A15" s="240" t="str">
        <x:v>03_Consciousness_and_State</x:v>
      </x:c>
      <x:c r="B15" s="230" t="str">
        <x:v>意识与状态</x:v>
      </x:c>
      <x:c r="C15" s="230"/>
      <x:c r="D15" s="230" t="str">
        <x:v>Resting_State</x:v>
      </x:c>
      <x:c r="E15" s="241" t="n">
        <x:v>30</x:v>
      </x:c>
    </x:row>
    <x:row r="16">
      <x:c r="A16" s="319" t="str">
        <x:v>03_Consciousness_and_State</x:v>
      </x:c>
      <x:c r="B16" s="320" t="str">
        <x:v>意识与状态</x:v>
      </x:c>
      <x:c r="C16" s="320"/>
      <x:c r="D16" s="320" t="str">
        <x:v>Consciousness_Level</x:v>
      </x:c>
      <x:c r="E16" s="321" t="n">
        <x:v>2</x:v>
      </x:c>
    </x:row>
    <x:row r="17">
      <x:c r="A17" s="240" t="str">
        <x:v>04_Cognition_and_Emotion</x:v>
      </x:c>
      <x:c r="B17" s="230" t="str">
        <x:v>认知与情感</x:v>
      </x:c>
      <x:c r="C17" s="230" t="n">
        <x:v>138</x:v>
      </x:c>
      <x:c r="D17" s="230" t="str">
        <x:v>Cognitive_Task_Recognition</x:v>
      </x:c>
      <x:c r="E17" s="241" t="n">
        <x:v>44</x:v>
      </x:c>
    </x:row>
    <x:row r="18">
      <x:c r="A18" s="319" t="str">
        <x:v>04_Cognition_and_Emotion</x:v>
      </x:c>
      <x:c r="B18" s="320" t="str">
        <x:v>认知与情感</x:v>
      </x:c>
      <x:c r="C18" s="320"/>
      <x:c r="D18" s="320" t="str">
        <x:v>ERP_and_Event_Detection</x:v>
      </x:c>
      <x:c r="E18" s="321" t="n">
        <x:v>32</x:v>
      </x:c>
    </x:row>
    <x:row r="19">
      <x:c r="A19" s="240" t="str">
        <x:v>04_Cognition_and_Emotion</x:v>
      </x:c>
      <x:c r="B19" s="230" t="str">
        <x:v>认知与情感</x:v>
      </x:c>
      <x:c r="C19" s="230"/>
      <x:c r="D19" s="230" t="str">
        <x:v>Emotion_Recognition</x:v>
      </x:c>
      <x:c r="E19" s="241" t="n">
        <x:v>29</x:v>
      </x:c>
    </x:row>
    <x:row r="20">
      <x:c r="A20" s="319" t="str">
        <x:v>04_Cognition_and_Emotion</x:v>
      </x:c>
      <x:c r="B20" s="320" t="str">
        <x:v>认知与情感</x:v>
      </x:c>
      <x:c r="C20" s="320"/>
      <x:c r="D20" s="320" t="str">
        <x:v>Vigilance_Detection</x:v>
      </x:c>
      <x:c r="E20" s="321" t="n">
        <x:v>16</x:v>
      </x:c>
    </x:row>
    <x:row r="21">
      <x:c r="A21" s="240" t="str">
        <x:v>04_Cognition_and_Emotion</x:v>
      </x:c>
      <x:c r="B21" s="230" t="str">
        <x:v>认知与情感</x:v>
      </x:c>
      <x:c r="C21" s="230"/>
      <x:c r="D21" s="230" t="str">
        <x:v>Workload_Detection</x:v>
      </x:c>
      <x:c r="E21" s="241" t="n">
        <x:v>8</x:v>
      </x:c>
    </x:row>
    <x:row r="22">
      <x:c r="A22" s="319" t="str">
        <x:v>04_Cognition_and_Emotion</x:v>
      </x:c>
      <x:c r="B22" s="320" t="str">
        <x:v>认知与情感</x:v>
      </x:c>
      <x:c r="C22" s="320"/>
      <x:c r="D22" s="320" t="str">
        <x:v>Mental_State_Recognition</x:v>
      </x:c>
      <x:c r="E22" s="321" t="n">
        <x:v>3</x:v>
      </x:c>
    </x:row>
    <x:row r="23">
      <x:c r="A23" s="240" t="str">
        <x:v>04_Cognition_and_Emotion</x:v>
      </x:c>
      <x:c r="B23" s="230" t="str">
        <x:v>认知与情感</x:v>
      </x:c>
      <x:c r="C23" s="230"/>
      <x:c r="D23" s="230" t="str">
        <x:v>Attention_and_ERP</x:v>
      </x:c>
      <x:c r="E23" s="241" t="n">
        <x:v>1</x:v>
      </x:c>
    </x:row>
    <x:row r="24">
      <x:c r="A24" s="319" t="str">
        <x:v>04_Cognition_and_Emotion</x:v>
      </x:c>
      <x:c r="B24" s="320" t="str">
        <x:v>认知与情感</x:v>
      </x:c>
      <x:c r="C24" s="320"/>
      <x:c r="D24" s="320" t="str">
        <x:v>Attention_and_Multisensory</x:v>
      </x:c>
      <x:c r="E24" s="321" t="n">
        <x:v>1</x:v>
      </x:c>
    </x:row>
    <x:row r="25">
      <x:c r="A25" s="240" t="str">
        <x:v>04_Cognition_and_Emotion</x:v>
      </x:c>
      <x:c r="B25" s="230" t="str">
        <x:v>认知与情感</x:v>
      </x:c>
      <x:c r="C25" s="230"/>
      <x:c r="D25" s="230" t="str">
        <x:v>Emotion</x:v>
      </x:c>
      <x:c r="E25" s="241" t="n">
        <x:v>1</x:v>
      </x:c>
    </x:row>
    <x:row r="26">
      <x:c r="A26" s="319" t="str">
        <x:v>04_Cognition_and_Emotion</x:v>
      </x:c>
      <x:c r="B26" s="320" t="str">
        <x:v>认知与情感</x:v>
      </x:c>
      <x:c r="C26" s="320"/>
      <x:c r="D26" s="320" t="str">
        <x:v>Language_and_Semantics</x:v>
      </x:c>
      <x:c r="E26" s="321" t="n">
        <x:v>1</x:v>
      </x:c>
    </x:row>
    <x:row r="27">
      <x:c r="A27" s="240" t="str">
        <x:v>04_Cognition_and_Emotion</x:v>
      </x:c>
      <x:c r="B27" s="230" t="str">
        <x:v>认知与情感</x:v>
      </x:c>
      <x:c r="C27" s="230"/>
      <x:c r="D27" s="230" t="str">
        <x:v>Visual_Object_Decoding</x:v>
      </x:c>
      <x:c r="E27" s="241" t="n">
        <x:v>1</x:v>
      </x:c>
    </x:row>
    <x:row r="28">
      <x:c r="A28" s="319" t="str">
        <x:v>04_Cognition_and_Emotion</x:v>
      </x:c>
      <x:c r="B28" s="320" t="str">
        <x:v>认知与情感</x:v>
      </x:c>
      <x:c r="C28" s="320"/>
      <x:c r="D28" s="320" t="str">
        <x:v>Visual_Perception</x:v>
      </x:c>
      <x:c r="E28" s="321" t="n">
        <x:v>1</x:v>
      </x:c>
    </x:row>
    <x:row r="29">
      <x:c r="A29" s="240" t="str">
        <x:v>05_Naturalistic_Stimulus_Decoding</x:v>
      </x:c>
      <x:c r="B29" s="230" t="str">
        <x:v>自然刺激解码</x:v>
      </x:c>
      <x:c r="C29" s="230" t="n">
        <x:v>59</x:v>
      </x:c>
      <x:c r="D29" s="230" t="str">
        <x:v>Visual_Perception</x:v>
      </x:c>
      <x:c r="E29" s="241" t="n">
        <x:v>22</x:v>
      </x:c>
    </x:row>
    <x:row r="30">
      <x:c r="A30" s="319" t="str">
        <x:v>05_Naturalistic_Stimulus_Decoding</x:v>
      </x:c>
      <x:c r="B30" s="320" t="str">
        <x:v>自然刺激解码</x:v>
      </x:c>
      <x:c r="C30" s="320"/>
      <x:c r="D30" s="320" t="str">
        <x:v>Language_and_Reading</x:v>
      </x:c>
      <x:c r="E30" s="321" t="n">
        <x:v>21</x:v>
      </x:c>
    </x:row>
    <x:row r="31">
      <x:c r="A31" s="240" t="str">
        <x:v>05_Naturalistic_Stimulus_Decoding</x:v>
      </x:c>
      <x:c r="B31" s="230" t="str">
        <x:v>自然刺激解码</x:v>
      </x:c>
      <x:c r="C31" s="230"/>
      <x:c r="D31" s="230" t="str">
        <x:v>Listening_and_Auditory_Attention</x:v>
      </x:c>
      <x:c r="E31" s="241" t="n">
        <x:v>10</x:v>
      </x:c>
    </x:row>
    <x:row r="32">
      <x:c r="A32" s="319" t="str">
        <x:v>05_Naturalistic_Stimulus_Decoding</x:v>
      </x:c>
      <x:c r="B32" s="320" t="str">
        <x:v>自然刺激解码</x:v>
      </x:c>
      <x:c r="C32" s="320"/>
      <x:c r="D32" s="320" t="str">
        <x:v>Imagined_Speech</x:v>
      </x:c>
      <x:c r="E32" s="321" t="n">
        <x:v>4</x:v>
      </x:c>
    </x:row>
    <x:row r="33">
      <x:c r="A33" s="240" t="str">
        <x:v>05_Naturalistic_Stimulus_Decoding</x:v>
      </x:c>
      <x:c r="B33" s="230" t="str">
        <x:v>自然刺激解码</x:v>
      </x:c>
      <x:c r="C33" s="230"/>
      <x:c r="D33" s="230" t="str">
        <x:v>Multisensory_Perception</x:v>
      </x:c>
      <x:c r="E33" s="241" t="n">
        <x:v>2</x:v>
      </x:c>
    </x:row>
    <x:row r="34">
      <x:c r="A34" s="319" t="str">
        <x:v>06_Motor_and_Interaction</x:v>
      </x:c>
      <x:c r="B34" s="320" t="str">
        <x:v>运动与交互</x:v>
      </x:c>
      <x:c r="C34" s="320" t="n">
        <x:v>135</x:v>
      </x:c>
      <x:c r="D34" s="320" t="str">
        <x:v>Motor_Imagery_and_Execution</x:v>
      </x:c>
      <x:c r="E34" s="321" t="n">
        <x:v>64</x:v>
      </x:c>
    </x:row>
    <x:row r="35">
      <x:c r="A35" s="240" t="str">
        <x:v>06_Motor_and_Interaction</x:v>
      </x:c>
      <x:c r="B35" s="230" t="str">
        <x:v>运动与交互</x:v>
      </x:c>
      <x:c r="C35" s="230"/>
      <x:c r="D35" s="230" t="str">
        <x:v>Interaction_and_Control</x:v>
      </x:c>
      <x:c r="E35" s="241" t="n">
        <x:v>36</x:v>
      </x:c>
    </x:row>
    <x:row r="36">
      <x:c r="A36" s="319" t="str">
        <x:v>06_Motor_and_Interaction</x:v>
      </x:c>
      <x:c r="B36" s="320" t="str">
        <x:v>运动与交互</x:v>
      </x:c>
      <x:c r="C36" s="320"/>
      <x:c r="D36" s="320" t="str">
        <x:v>SSVEP_and_Evoked_BCI</x:v>
      </x:c>
      <x:c r="E36" s="321" t="n">
        <x:v>30</x:v>
      </x:c>
    </x:row>
    <x:row r="37">
      <x:c r="A37" s="240" t="str">
        <x:v>06_Motor_and_Interaction</x:v>
      </x:c>
      <x:c r="B37" s="230" t="str">
        <x:v>运动与交互</x:v>
      </x:c>
      <x:c r="C37" s="230"/>
      <x:c r="D37" s="230" t="str">
        <x:v>BCI_Competition</x:v>
      </x:c>
      <x:c r="E37" s="241" t="n">
        <x:v>1</x:v>
      </x:c>
    </x:row>
    <x:row r="38">
      <x:c r="A38" s="319" t="str">
        <x:v>06_Motor_and_Interaction</x:v>
      </x:c>
      <x:c r="B38" s="320" t="str">
        <x:v>运动与交互</x:v>
      </x:c>
      <x:c r="C38" s="320"/>
      <x:c r="D38" s="320" t="str">
        <x:v>Error_Feedback</x:v>
      </x:c>
      <x:c r="E38" s="321" t="n">
        <x:v>1</x:v>
      </x:c>
    </x:row>
    <x:row r="39">
      <x:c r="A39" s="240" t="str">
        <x:v>06_Motor_and_Interaction</x:v>
      </x:c>
      <x:c r="B39" s="230" t="str">
        <x:v>运动与交互</x:v>
      </x:c>
      <x:c r="C39" s="230"/>
      <x:c r="D39" s="230" t="str">
        <x:v>Error_Related_BCI</x:v>
      </x:c>
      <x:c r="E39" s="241" t="n">
        <x:v>1</x:v>
      </x:c>
    </x:row>
    <x:row r="40">
      <x:c r="A40" s="319" t="str">
        <x:v>06_Motor_and_Interaction</x:v>
      </x:c>
      <x:c r="B40" s="320" t="str">
        <x:v>运动与交互</x:v>
      </x:c>
      <x:c r="C40" s="320"/>
      <x:c r="D40" s="320" t="str">
        <x:v>Human_Robot_Interaction</x:v>
      </x:c>
      <x:c r="E40" s="321" t="n">
        <x:v>1</x:v>
      </x:c>
    </x:row>
    <x:row r="41">
      <x:c r="A41" s="240" t="str">
        <x:v>06_Motor_and_Interaction</x:v>
      </x:c>
      <x:c r="B41" s="230" t="str">
        <x:v>运动与交互</x:v>
      </x:c>
      <x:c r="C41" s="230"/>
      <x:c r="D41" s="230" t="str">
        <x:v>P300_BCI</x:v>
      </x:c>
      <x:c r="E41" s="241" t="n">
        <x:v>1</x:v>
      </x:c>
    </x:row>
    <x:row r="42">
      <x:c r="A42" s="319" t="str">
        <x:v>07_General-purpose_and_Multi-paradigm</x:v>
      </x:c>
      <x:c r="B42" s="320" t="str">
        <x:v>通用与多范式</x:v>
      </x:c>
      <x:c r="C42" s="320" t="n">
        <x:v>42</x:v>
      </x:c>
      <x:c r="D42" s="320" t="str">
        <x:v>Multi-task_EEG</x:v>
      </x:c>
      <x:c r="E42" s="321" t="n">
        <x:v>41</x:v>
      </x:c>
    </x:row>
    <x:row r="43">
      <x:c r="A43" s="240" t="str">
        <x:v>07_General-purpose_and_Multi-paradigm</x:v>
      </x:c>
      <x:c r="B43" s="230" t="str">
        <x:v>通用与多范式</x:v>
      </x:c>
      <x:c r="C43" s="230"/>
      <x:c r="D43" s="230" t="str">
        <x:v>Biometrics_and_Identity</x:v>
      </x:c>
      <x:c r="E43" s="241" t="n">
        <x:v>1</x:v>
      </x:c>
    </x:row>
    <x:row r="44">
      <x:c r="A44" s="319" t="str">
        <x:v>08_Health_and_Population</x:v>
      </x:c>
      <x:c r="B44" s="320" t="str">
        <x:v>健康与人群</x:v>
      </x:c>
      <x:c r="C44" s="320" t="n">
        <x:v>20</x:v>
      </x:c>
      <x:c r="D44" s="320" t="str">
        <x:v>Developmental_Clinical_Cohort</x:v>
      </x:c>
      <x:c r="E44" s="321" t="n">
        <x:v>9</x:v>
      </x:c>
    </x:row>
    <x:row r="45">
      <x:c r="A45" s="240" t="str">
        <x:v>08_Health_and_Population</x:v>
      </x:c>
      <x:c r="B45" s="230" t="str">
        <x:v>健康与人群</x:v>
      </x:c>
      <x:c r="C45" s="230"/>
      <x:c r="D45" s="230" t="str">
        <x:v>Lifespan_and_Normative</x:v>
      </x:c>
      <x:c r="E45" s="241" t="n">
        <x:v>4</x:v>
      </x:c>
    </x:row>
    <x:row r="46">
      <x:c r="A46" s="319" t="str">
        <x:v>08_Health_and_Population</x:v>
      </x:c>
      <x:c r="B46" s="320" t="str">
        <x:v>健康与人群</x:v>
      </x:c>
      <x:c r="C46" s="320"/>
      <x:c r="D46" s="320" t="str">
        <x:v>Aging_and_Dementia_Risk</x:v>
      </x:c>
      <x:c r="E46" s="321" t="n">
        <x:v>1</x:v>
      </x:c>
    </x:row>
    <x:row r="47">
      <x:c r="A47" s="240" t="str">
        <x:v>08_Health_and_Population</x:v>
      </x:c>
      <x:c r="B47" s="230" t="str">
        <x:v>健康与人群</x:v>
      </x:c>
      <x:c r="C47" s="230"/>
      <x:c r="D47" s="230" t="str">
        <x:v>Maternal_and_Pregnancy_Health</x:v>
      </x:c>
      <x:c r="E47" s="241" t="n">
        <x:v>1</x:v>
      </x:c>
    </x:row>
    <x:row r="48">
      <x:c r="A48" s="319" t="str">
        <x:v>08_Health_and_Population</x:v>
      </x:c>
      <x:c r="B48" s="320" t="str">
        <x:v>健康与人群</x:v>
      </x:c>
      <x:c r="C48" s="320"/>
      <x:c r="D48" s="320" t="str">
        <x:v>Mental_Health_Risk_Phenotype</x:v>
      </x:c>
      <x:c r="E48" s="321" t="n">
        <x:v>1</x:v>
      </x:c>
    </x:row>
    <x:row r="49">
      <x:c r="A49" s="240" t="str">
        <x:v>08_Health_and_Population</x:v>
      </x:c>
      <x:c r="B49" s="230" t="str">
        <x:v>健康与人群</x:v>
      </x:c>
      <x:c r="C49" s="230"/>
      <x:c r="D49" s="230" t="str">
        <x:v>Population_Sleep_Health</x:v>
      </x:c>
      <x:c r="E49" s="241" t="n">
        <x:v>1</x:v>
      </x:c>
    </x:row>
    <x:row r="50">
      <x:c r="A50" s="319" t="str">
        <x:v>08_Health_and_Population</x:v>
      </x:c>
      <x:c r="B50" s="320" t="str">
        <x:v>健康与人群</x:v>
      </x:c>
      <x:c r="C50" s="320"/>
      <x:c r="D50" s="320" t="str">
        <x:v>Sensory_Physiology</x:v>
      </x:c>
      <x:c r="E50" s="321" t="n">
        <x:v>1</x:v>
      </x:c>
    </x:row>
    <x:row r="51">
      <x:c r="A51" s="240" t="str">
        <x:v>08_Health_and_Population</x:v>
      </x:c>
      <x:c r="B51" s="230" t="str">
        <x:v>健康与人群</x:v>
      </x:c>
      <x:c r="C51" s="230"/>
      <x:c r="D51" s="230" t="str">
        <x:v>Sleep_and_Cardiometabolic</x:v>
      </x:c>
      <x:c r="E51" s="241" t="n">
        <x:v>1</x:v>
      </x:c>
    </x:row>
    <x:row r="52">
      <x:c r="A52" s="322" t="str">
        <x:v>08_Health_and_Population</x:v>
      </x:c>
      <x:c r="B52" s="323" t="str">
        <x:v>健康与人群</x:v>
      </x:c>
      <x:c r="C52" s="323"/>
      <x:c r="D52" s="323" t="str">
        <x:v>Sleep_Disordered_Breathing_Risk</x:v>
      </x:c>
      <x:c r="E52" s="324" t="n">
        <x:v>1</x:v>
      </x:c>
    </x:row>
  </x:sheetData>
  <x:pageMargins left="0.7" right="0.7" top="0.75" bottom="0.75" header="0.3" footer="0.3"/>
  <x:tableParts count="1">
    <x:tablePart xmlns:r="http://schemas.openxmlformats.org/officeDocument/2006/relationships" r:id="R098559011bf64f40"/>
  </x:tableParts>
</x:worksheet>
</file>

<file path=xl/worksheets/sheet17.xml><?xml version="1.0" encoding="utf-8"?>
<x:worksheet xmlns:x="http://schemas.openxmlformats.org/spreadsheetml/2006/main">
  <x:sheetFormatPr defaultRowHeight="15"/>
  <x:cols>
    <x:col min="1" max="1" width="24" hidden="0" customWidth="1"/>
    <x:col min="2" max="2" width="40" hidden="0" customWidth="1"/>
    <x:col min="3" max="3" width="17" hidden="0" customWidth="1"/>
    <x:col min="4" max="4" width="82" hidden="0" customWidth="1"/>
    <x:col min="5" max="5" width="18" hidden="0" customWidth="1"/>
    <x:col min="6" max="6" width="18" hidden="0" customWidth="1"/>
  </x:cols>
  <x:sheetData>
    <x:row r="1" ht="34" customHeight="1">
      <x:c r="A1" s="326" t="str">
        <x:v>REVE 61,415 h 与本目录口径对照</x:v>
      </x:c>
      <x:c r="B1" s="326"/>
      <x:c r="C1" s="326"/>
      <x:c r="D1" s="326"/>
      <x:c r="E1" s="326"/>
      <x:c r="F1" s="326"/>
    </x:row>
    <x:row r="3" ht="32" customHeight="1">
      <x:c r="A3" s="281" t="str">
        <x:v>指标</x:v>
      </x:c>
      <x:c r="B3" s="282" t="str">
        <x:v>本地目录/审计</x:v>
      </x:c>
      <x:c r="C3" s="282" t="str">
        <x:v>REVE</x:v>
      </x:c>
      <x:c r="D3" s="283" t="str">
        <x:v>说明</x:v>
      </x:c>
    </x:row>
    <x:row r="4">
      <x:c r="A4" s="290" t="str">
        <x:v>EEG 小时</x:v>
      </x:c>
      <x:c r="B4" s="327" t="n">
        <x:v>43627.81906678666</x:v>
      </x:c>
      <x:c r="C4" s="327" t="n">
        <x:v>61415</x:v>
      </x:c>
      <x:c r="D4" s="292" t="str">
        <x:v>本地=已下载文件审计；REVE=预训练汇编，非同口径</x:v>
      </x:c>
    </x:row>
    <x:row r="5">
      <x:c r="A5" s="240" t="str">
        <x:v>来源覆盖</x:v>
      </x:c>
      <x:c r="B5" s="230" t="n">
        <x:v>89</x:v>
      </x:c>
      <x:c r="C5" s="230" t="n">
        <x:v>92</x:v>
      </x:c>
      <x:c r="D5" s="241" t="str">
        <x:v>Appendix B 逐名仅列出 89 个唯一名称/ID；本目录已覆盖 89/89</x:v>
      </x:c>
    </x:row>
    <x:row r="6">
      <x:c r="A6" s="256" t="str">
        <x:v>本次新增</x:v>
      </x:c>
      <x:c r="B6" s="257" t="n">
        <x:v>8</x:v>
      </x:c>
      <x:c r="C6" s="257"/>
      <x:c r="D6" s="258" t="str">
        <x:v>HBN/OpenNeuro releases ds005506, 507, 508, 509, 510, 511, 512, 514</x:v>
      </x:c>
    </x:row>
    <x:row r="9" ht="32" customHeight="1">
      <x:c r="A9" s="339" t="str">
        <x:v>平台</x:v>
      </x:c>
      <x:c r="B9" s="340" t="str">
        <x:v>数据集数</x:v>
      </x:c>
      <x:c r="C9" s="340" t="str">
        <x:v>受试者</x:v>
      </x:c>
      <x:c r="D9" s="341" t="str">
        <x:v>小时</x:v>
      </x:c>
    </x:row>
    <x:row r="10">
      <x:c r="A10" s="290" t="str">
        <x:v>TUH</x:v>
      </x:c>
      <x:c r="B10" s="291" t="n">
        <x:v>1</x:v>
      </x:c>
      <x:c r="C10" s="291" t="n">
        <x:v>14987</x:v>
      </x:c>
      <x:c r="D10" s="292" t="n">
        <x:v>26847</x:v>
      </x:c>
    </x:row>
    <x:row r="11">
      <x:c r="A11" s="240" t="str">
        <x:v>PhysioNet</x:v>
      </x:c>
      <x:c r="B11" s="230" t="n">
        <x:v>2</x:v>
      </x:c>
      <x:c r="C11" s="230" t="n">
        <x:v>607</x:v>
      </x:c>
      <x:c r="D11" s="241" t="n">
        <x:v>22707</x:v>
      </x:c>
    </x:row>
    <x:row r="12">
      <x:c r="A12" s="240" t="str">
        <x:v>OpenNeuro</x:v>
      </x:c>
      <x:c r="B12" s="230" t="n">
        <x:v>56</x:v>
      </x:c>
      <x:c r="C12" s="230" t="n">
        <x:v>4153</x:v>
      </x:c>
      <x:c r="D12" s="241" t="n">
        <x:v>10194</x:v>
      </x:c>
    </x:row>
    <x:row r="13">
      <x:c r="A13" s="240" t="str">
        <x:v>MOABB</x:v>
      </x:c>
      <x:c r="B13" s="230" t="n">
        <x:v>27</x:v>
      </x:c>
      <x:c r="C13" s="230" t="n">
        <x:v>711</x:v>
      </x:c>
      <x:c r="D13" s="241" t="n">
        <x:v>384</x:v>
      </x:c>
    </x:row>
    <x:row r="14">
      <x:c r="A14" s="256" t="str">
        <x:v>Other</x:v>
      </x:c>
      <x:c r="B14" s="257" t="n">
        <x:v>6</x:v>
      </x:c>
      <x:c r="C14" s="257" t="n">
        <x:v>3802</x:v>
      </x:c>
      <x:c r="D14" s="258" t="n">
        <x:v>1250</x:v>
      </x:c>
    </x:row>
    <x:row r="17" ht="32" customHeight="1">
      <x:c r="A17" s="281" t="str">
        <x:v>关键差异</x:v>
      </x:c>
      <x:c r="B17" s="283" t="str">
        <x:v>说明</x:v>
      </x:c>
    </x:row>
    <x:row r="18">
      <x:c r="A18" s="290" t="str">
        <x:v>I-CARE / PhysioNet</x:v>
      </x:c>
      <x:c r="B18" s="292" t="str">
        <x:v>REVE counts it inside the 22,707 h PhysioNet subtotal; our prior 43.6k h did not count I-CARE because it was not in the local downloaded-file audit.</x:v>
      </x:c>
    </x:row>
    <x:row r="19">
      <x:c r="A19" s="240" t="str">
        <x:v>OpenNeuro</x:v>
      </x:c>
      <x:c r="B19" s="241" t="str">
        <x:v>REVE reports 10,194 h. Most accessions were already cataloged, but many lacked a locally verified duration and therefore contributed zero to the local audit total.</x:v>
      </x:c>
    </x:row>
    <x:row r="20">
      <x:c r="A20" s="240" t="str">
        <x:v>HBN releases</x:v>
      </x:c>
      <x:c r="B20" s="241" t="str">
        <x:v>Eight missing OpenNeuro releases (ds005506–ds005512, excluding gaps, plus ds005514) are now added; Release 7 duration remains unknown rather than estimated.</x:v>
      </x:c>
    </x:row>
    <x:row r="21">
      <x:c r="A21" s="256" t="str">
        <x:v>SeizeIT2</x:v>
      </x:c>
      <x:c r="B21" s="258" t="str">
        <x:v>Our local audit includes ~11,626 h, but this source is not explicitly named by REVE, partially offsetting REVE-only hours.</x:v>
      </x:c>
    </x:row>
    <x:row r="24" ht="32" customHeight="1">
      <x:c r="A24" s="313" t="str">
        <x:v>平台</x:v>
      </x:c>
      <x:c r="B24" s="314" t="str">
        <x:v>Appendix B 来源</x:v>
      </x:c>
      <x:c r="C24" s="314" t="str">
        <x:v>覆盖</x:v>
      </x:c>
      <x:c r="D24" s="315" t="str">
        <x:v>目录匹配</x:v>
      </x:c>
    </x:row>
    <x:row r="25">
      <x:c r="A25" s="290" t="str">
        <x:v>MOABB</x:v>
      </x:c>
      <x:c r="B25" s="291" t="str">
        <x:v>AlexMI</x:v>
      </x:c>
      <x:c r="C25" s="291" t="str">
        <x:v>已覆盖</x:v>
      </x:c>
      <x:c r="D25" s="292" t="str">
        <x:v>EEG-0349:AlexMI | EEG-0350:AlexMI (Zenodo)</x:v>
      </x:c>
    </x:row>
    <x:row r="26">
      <x:c r="A26" s="319" t="str">
        <x:v>MOABB</x:v>
      </x:c>
      <x:c r="B26" s="320" t="str">
        <x:v>BNCI2014004</x:v>
      </x:c>
      <x:c r="C26" s="320" t="str">
        <x:v>已覆盖</x:v>
      </x:c>
      <x:c r="D26" s="321" t="str">
        <x:v>EEG-0353:BCI Competition IV 2b (BNCI 004-2014)</x:v>
      </x:c>
    </x:row>
    <x:row r="27">
      <x:c r="A27" s="240" t="str">
        <x:v>MOABB</x:v>
      </x:c>
      <x:c r="B27" s="230" t="str">
        <x:v>BNCI2015001</x:v>
      </x:c>
      <x:c r="C27" s="230" t="str">
        <x:v>已覆盖</x:v>
      </x:c>
      <x:c r="D27" s="241" t="str">
        <x:v>EEG-0360:BNCI 001-2015 (Autocalibration</x:v>
      </x:c>
    </x:row>
    <x:row r="28">
      <x:c r="A28" s="319" t="str">
        <x:v>MOABB</x:v>
      </x:c>
      <x:c r="B28" s="320" t="str">
        <x:v>BNCI2015004</x:v>
      </x:c>
      <x:c r="C28" s="320" t="str">
        <x:v>已覆盖</x:v>
      </x:c>
      <x:c r="D28" s="321" t="str">
        <x:v>EEG-0208:BNCI 004-2015 (Individual imagery)</x:v>
      </x:c>
    </x:row>
    <x:row r="29">
      <x:c r="A29" s="240" t="str">
        <x:v>MOABB</x:v>
      </x:c>
      <x:c r="B29" s="230" t="str">
        <x:v>Cho2017</x:v>
      </x:c>
      <x:c r="C29" s="230" t="str">
        <x:v>已覆盖</x:v>
      </x:c>
      <x:c r="D29" s="241" t="str">
        <x:v>EEG-0377:Cho-MI</x:v>
      </x:c>
    </x:row>
    <x:row r="30">
      <x:c r="A30" s="319" t="str">
        <x:v>MOABB</x:v>
      </x:c>
      <x:c r="B30" s="320" t="str">
        <x:v>Lee2019MI</x:v>
      </x:c>
      <x:c r="C30" s="320" t="str">
        <x:v>已覆盖</x:v>
      </x:c>
      <x:c r="D30" s="321" t="str">
        <x:v>EEG-0408:OpenBMI</x:v>
      </x:c>
    </x:row>
    <x:row r="31">
      <x:c r="A31" s="240" t="str">
        <x:v>MOABB</x:v>
      </x:c>
      <x:c r="B31" s="230" t="str">
        <x:v>Liu2024</x:v>
      </x:c>
      <x:c r="C31" s="230" t="str">
        <x:v>已覆盖</x:v>
      </x:c>
      <x:c r="D31" s="241" t="str">
        <x:v>EEG-0084:Liu2024</x:v>
      </x:c>
    </x:row>
    <x:row r="32">
      <x:c r="A32" s="319" t="str">
        <x:v>MOABB</x:v>
      </x:c>
      <x:c r="B32" s="320" t="str">
        <x:v>Ofner2017</x:v>
      </x:c>
      <x:c r="C32" s="320" t="str">
        <x:v>已覆盖</x:v>
      </x:c>
      <x:c r="D32" s="321" t="str">
        <x:v>EEG-0407:Ofner2017</x:v>
      </x:c>
    </x:row>
    <x:row r="33">
      <x:c r="A33" s="240" t="str">
        <x:v>MOABB</x:v>
      </x:c>
      <x:c r="B33" s="230" t="str">
        <x:v>Shin2017A</x:v>
      </x:c>
      <x:c r="C33" s="230" t="str">
        <x:v>已覆盖</x:v>
      </x:c>
      <x:c r="D33" s="241" t="str">
        <x:v>EEG-0410:Shin EEG-NIRS (MI)</x:v>
      </x:c>
    </x:row>
    <x:row r="34">
      <x:c r="A34" s="319" t="str">
        <x:v>MOABB</x:v>
      </x:c>
      <x:c r="B34" s="320" t="str">
        <x:v>Weibo2014</x:v>
      </x:c>
      <x:c r="C34" s="320" t="str">
        <x:v>已覆盖</x:v>
      </x:c>
      <x:c r="D34" s="321" t="str">
        <x:v>EEG-0415:Weibo 2014 (Yi 2014) Motor Imagery Dataset | EEG-0416:Weibo2014</x:v>
      </x:c>
    </x:row>
    <x:row r="35">
      <x:c r="A35" s="240" t="str">
        <x:v>MOABB</x:v>
      </x:c>
      <x:c r="B35" s="230" t="str">
        <x:v>Zhou2016</x:v>
      </x:c>
      <x:c r="C35" s="230" t="str">
        <x:v>已覆盖</x:v>
      </x:c>
      <x:c r="D35" s="241" t="str">
        <x:v>EEG-0418:Zhou 2016 Motor Imagery Dataset</x:v>
      </x:c>
    </x:row>
    <x:row r="36">
      <x:c r="A36" s="319" t="str">
        <x:v>MOABB</x:v>
      </x:c>
      <x:c r="B36" s="320" t="str">
        <x:v>Schirrmeister2017</x:v>
      </x:c>
      <x:c r="C36" s="320" t="str">
        <x:v>已覆盖</x:v>
      </x:c>
      <x:c r="D36" s="321" t="str">
        <x:v>EEG-0391:HGD</x:v>
      </x:c>
    </x:row>
    <x:row r="37">
      <x:c r="A37" s="240" t="str">
        <x:v>MOABB</x:v>
      </x:c>
      <x:c r="B37" s="230" t="str">
        <x:v>Kalunga2016</x:v>
      </x:c>
      <x:c r="C37" s="230" t="str">
        <x:v>已覆盖</x:v>
      </x:c>
      <x:c r="D37" s="241" t="str">
        <x:v>EEG-0438:Kalunga2016 (SSVEP Exo)</x:v>
      </x:c>
    </x:row>
    <x:row r="38">
      <x:c r="A38" s="319" t="str">
        <x:v>MOABB</x:v>
      </x:c>
      <x:c r="B38" s="320" t="str">
        <x:v>Lee2019SSVEP</x:v>
      </x:c>
      <x:c r="C38" s="320" t="str">
        <x:v>已覆盖</x:v>
      </x:c>
      <x:c r="D38" s="321" t="str">
        <x:v>EEG-0408:OpenBMI</x:v>
      </x:c>
    </x:row>
    <x:row r="39">
      <x:c r="A39" s="240" t="str">
        <x:v>MOABB</x:v>
      </x:c>
      <x:c r="B39" s="230" t="str">
        <x:v>Nakanishi2015</x:v>
      </x:c>
      <x:c r="C39" s="230" t="str">
        <x:v>已覆盖</x:v>
      </x:c>
      <x:c r="D39" s="241" t="str">
        <x:v>EEG-0444:Nakanishi2015</x:v>
      </x:c>
    </x:row>
    <x:row r="40">
      <x:c r="A40" s="319" t="str">
        <x:v>MOABB</x:v>
      </x:c>
      <x:c r="B40" s="320" t="str">
        <x:v>BI2014a</x:v>
      </x:c>
      <x:c r="C40" s="320" t="str">
        <x:v>已覆盖</x:v>
      </x:c>
      <x:c r="D40" s="321" t="str">
        <x:v>EEG-0465:BI2014a (Brain Invaders)</x:v>
      </x:c>
    </x:row>
    <x:row r="41">
      <x:c r="A41" s="240" t="str">
        <x:v>MOABB</x:v>
      </x:c>
      <x:c r="B41" s="230" t="str">
        <x:v>BI2014b</x:v>
      </x:c>
      <x:c r="C41" s="230" t="str">
        <x:v>已覆盖</x:v>
      </x:c>
      <x:c r="D41" s="241" t="str">
        <x:v>EEG-0466:BI2014b (Brain Invaders)</x:v>
      </x:c>
    </x:row>
    <x:row r="42">
      <x:c r="A42" s="319" t="str">
        <x:v>MOABB</x:v>
      </x:c>
      <x:c r="B42" s="320" t="str">
        <x:v>BNCI2014008</x:v>
      </x:c>
      <x:c r="C42" s="320" t="str">
        <x:v>已覆盖</x:v>
      </x:c>
      <x:c r="D42" s="321" t="str">
        <x:v>EEG-0071:BNCI 008-2014 (P300 speller, ALS)</x:v>
      </x:c>
    </x:row>
    <x:row r="43">
      <x:c r="A43" s="240" t="str">
        <x:v>MOABB</x:v>
      </x:c>
      <x:c r="B43" s="230" t="str">
        <x:v>BNCI2014009</x:v>
      </x:c>
      <x:c r="C43" s="230" t="str">
        <x:v>已覆盖</x:v>
      </x:c>
      <x:c r="D43" s="241" t="str">
        <x:v>EEG-0471:BNCI 009-2014 (Covert and overt ERP)</x:v>
      </x:c>
    </x:row>
    <x:row r="44">
      <x:c r="A44" s="319" t="str">
        <x:v>MOABB</x:v>
      </x:c>
      <x:c r="B44" s="320" t="str">
        <x:v>BNCI2015003</x:v>
      </x:c>
      <x:c r="C44" s="320" t="str">
        <x:v>已覆盖</x:v>
      </x:c>
      <x:c r="D44" s="321" t="str">
        <x:v>EEG-0468:BNCI 003-2015 (Visual P300 speller)</x:v>
      </x:c>
    </x:row>
    <x:row r="45">
      <x:c r="A45" s="240" t="str">
        <x:v>MOABB</x:v>
      </x:c>
      <x:c r="B45" s="230" t="str">
        <x:v>EPFLP300</x:v>
      </x:c>
      <x:c r="C45" s="230" t="str">
        <x:v>已覆盖</x:v>
      </x:c>
      <x:c r="D45" s="241" t="str">
        <x:v>EEG-0229:EPFL P300 dataset | EEG-0266:EPFLP300</x:v>
      </x:c>
    </x:row>
    <x:row r="46">
      <x:c r="A46" s="319" t="str">
        <x:v>MOABB</x:v>
      </x:c>
      <x:c r="B46" s="320" t="str">
        <x:v>BI2015a</x:v>
      </x:c>
      <x:c r="C46" s="320" t="str">
        <x:v>已覆盖</x:v>
      </x:c>
      <x:c r="D46" s="321" t="str">
        <x:v>EEG-0478:Brain Invaders family</x:v>
      </x:c>
    </x:row>
    <x:row r="47">
      <x:c r="A47" s="240" t="str">
        <x:v>MOABB</x:v>
      </x:c>
      <x:c r="B47" s="230" t="str">
        <x:v>BI2015b</x:v>
      </x:c>
      <x:c r="C47" s="230" t="str">
        <x:v>已覆盖</x:v>
      </x:c>
      <x:c r="D47" s="241" t="str">
        <x:v>EEG-0467:BI2015b (Brain Invaders)</x:v>
      </x:c>
    </x:row>
    <x:row r="48">
      <x:c r="A48" s="319" t="str">
        <x:v>MOABB</x:v>
      </x:c>
      <x:c r="B48" s="320" t="str">
        <x:v>Sosulski2019</x:v>
      </x:c>
      <x:c r="C48" s="320" t="str">
        <x:v>已覆盖</x:v>
      </x:c>
      <x:c r="D48" s="321" t="str">
        <x:v>EEG-0284:Sosulski2019</x:v>
      </x:c>
    </x:row>
    <x:row r="49">
      <x:c r="A49" s="240" t="str">
        <x:v>MOABB</x:v>
      </x:c>
      <x:c r="B49" s="230" t="str">
        <x:v>Lee2019ERP</x:v>
      </x:c>
      <x:c r="C49" s="230" t="str">
        <x:v>已覆盖</x:v>
      </x:c>
      <x:c r="D49" s="241" t="str">
        <x:v>EEG-0408:OpenBMI</x:v>
      </x:c>
    </x:row>
    <x:row r="50">
      <x:c r="A50" s="319" t="str">
        <x:v>PhysioNet</x:v>
      </x:c>
      <x:c r="B50" s="320" t="str">
        <x:v>Siena</x:v>
      </x:c>
      <x:c r="C50" s="320" t="str">
        <x:v>已覆盖</x:v>
      </x:c>
      <x:c r="D50" s="321" t="str">
        <x:v>EEG-0032:Siena Scalp EEG</x:v>
      </x:c>
    </x:row>
    <x:row r="51">
      <x:c r="A51" s="240" t="str">
        <x:v>PhysioNet</x:v>
      </x:c>
      <x:c r="B51" s="230" t="str">
        <x:v>ICARE</x:v>
      </x:c>
      <x:c r="C51" s="230" t="str">
        <x:v>已覆盖</x:v>
      </x:c>
      <x:c r="D51" s="241" t="str">
        <x:v>EEG-0150:I-CARE</x:v>
      </x:c>
    </x:row>
    <x:row r="52">
      <x:c r="A52" s="319" t="str">
        <x:v>OpenNeuro</x:v>
      </x:c>
      <x:c r="B52" s="320" t="str">
        <x:v>ds004706</x:v>
      </x:c>
      <x:c r="C52" s="320" t="str">
        <x:v>已覆盖</x:v>
      </x:c>
      <x:c r="D52" s="321" t="str">
        <x:v>EEG-0249:Spatial memory and non-invasive closed-loop stimulus timing</x:v>
      </x:c>
    </x:row>
    <x:row r="53">
      <x:c r="A53" s="240" t="str">
        <x:v>OpenNeuro</x:v>
      </x:c>
      <x:c r="B53" s="230" t="str">
        <x:v>ds004582</x:v>
      </x:c>
      <x:c r="C53" s="230" t="str">
        <x:v>已覆盖</x:v>
      </x:c>
      <x:c r="D53" s="241" t="str">
        <x:v>EEG-0332:FakeFaceEmo_data</x:v>
      </x:c>
    </x:row>
    <x:row r="54">
      <x:c r="A54" s="319" t="str">
        <x:v>OpenNeuro</x:v>
      </x:c>
      <x:c r="B54" s="320" t="str">
        <x:v>ds004356</x:v>
      </x:c>
      <x:c r="C54" s="320" t="str">
        <x:v>已覆盖</x:v>
      </x:c>
      <x:c r="D54" s="321" t="str">
        <x:v>EEG-0305:Music and Speech Subcortical Responses EEG</x:v>
      </x:c>
    </x:row>
    <x:row r="55">
      <x:c r="A55" s="240" t="str">
        <x:v>OpenNeuro</x:v>
      </x:c>
      <x:c r="B55" s="230" t="str">
        <x:v>ds004817</x:v>
      </x:c>
      <x:c r="C55" s="230" t="str">
        <x:v>已覆盖</x:v>
      </x:c>
      <x:c r="D55" s="241" t="str">
        <x:v>EEG-0225:EEG-attention-rsvp-exp2</x:v>
      </x:c>
    </x:row>
    <x:row r="56">
      <x:c r="A56" s="319" t="str">
        <x:v>OpenNeuro</x:v>
      </x:c>
      <x:c r="B56" s="320" t="str">
        <x:v>ds005189</x:v>
      </x:c>
      <x:c r="C56" s="320" t="str">
        <x:v>已覆盖</x:v>
      </x:c>
      <x:c r="D56" s="321" t="str">
        <x:v>EEG-0561:Search Superiority Recollection Familiarity</x:v>
      </x:c>
    </x:row>
    <x:row r="57">
      <x:c r="A57" s="240" t="str">
        <x:v>OpenNeuro</x:v>
      </x:c>
      <x:c r="B57" s="230" t="str">
        <x:v>ds003887</x:v>
      </x:c>
      <x:c r="C57" s="230" t="str">
        <x:v>已覆盖</x:v>
      </x:c>
      <x:c r="D57" s="241" t="str">
        <x:v>EEG-0532:Capacity for movement is an organisational principle in object representations: EEG data from Experiment 2</x:v>
      </x:c>
    </x:row>
    <x:row r="58">
      <x:c r="A58" s="319" t="str">
        <x:v>OpenNeuro</x:v>
      </x:c>
      <x:c r="B58" s="320" t="str">
        <x:v>ds004043</x:v>
      </x:c>
      <x:c r="C58" s="320" t="str">
        <x:v>已覆盖</x:v>
      </x:c>
      <x:c r="D58" s="321" t="str">
        <x:v>EEG-0254:The time-course of feature-based attention effects dissociated from temporal expectation and target-related processes</x:v>
      </x:c>
    </x:row>
    <x:row r="59">
      <x:c r="A59" s="240" t="str">
        <x:v>OpenNeuro</x:v>
      </x:c>
      <x:c r="B59" s="230" t="str">
        <x:v>ds003885</x:v>
      </x:c>
      <x:c r="C59" s="230" t="str">
        <x:v>已覆盖</x:v>
      </x:c>
      <x:c r="D59" s="241" t="str">
        <x:v>EEG-0531:Capacity for movement is an organisational principle in object representations: EEG data from Experiment 1</x:v>
      </x:c>
    </x:row>
    <x:row r="60">
      <x:c r="A60" s="319" t="str">
        <x:v>OpenNeuro</x:v>
      </x:c>
      <x:c r="B60" s="320" t="str">
        <x:v>ds004357</x:v>
      </x:c>
      <x:c r="C60" s="320" t="str">
        <x:v>已覆盖</x:v>
      </x:c>
      <x:c r="D60" s="321" t="str">
        <x:v>EEG-0542:Features-EEG</x:v>
      </x:c>
    </x:row>
    <x:row r="61">
      <x:c r="A61" s="240" t="str">
        <x:v>OpenNeuro</x:v>
      </x:c>
      <x:c r="B61" s="230" t="str">
        <x:v>ds003825</x:v>
      </x:c>
      <x:c r="C61" s="230" t="str">
        <x:v>已覆盖</x:v>
      </x:c>
      <x:c r="D61" s="241" t="str">
        <x:v>EEG-0337:THINGS-EEG1</x:v>
      </x:c>
    </x:row>
    <x:row r="62">
      <x:c r="A62" s="319" t="str">
        <x:v>OpenNeuro</x:v>
      </x:c>
      <x:c r="B62" s="320" t="str">
        <x:v>ds004816</x:v>
      </x:c>
      <x:c r="C62" s="320" t="str">
        <x:v>已覆盖</x:v>
      </x:c>
      <x:c r="D62" s="321" t="str">
        <x:v>EEG-0224:EEG-attention-rsvp-exp1</x:v>
      </x:c>
    </x:row>
    <x:row r="63">
      <x:c r="A63" s="240" t="str">
        <x:v>OpenNeuro</x:v>
      </x:c>
      <x:c r="B63" s="230" t="str">
        <x:v>ds004840</x:v>
      </x:c>
      <x:c r="C63" s="230" t="str">
        <x:v>已覆盖</x:v>
      </x:c>
      <x:c r="D63" s="241" t="str">
        <x:v>EEG-0075:Dataset of electrophysiological signals (EEG, ECG, EMG) during Music therapy with adult burn patients in the Intensive Care Unit.</x:v>
      </x:c>
    </x:row>
    <x:row r="64">
      <x:c r="A64" s="319" t="str">
        <x:v>OpenNeuro</x:v>
      </x:c>
      <x:c r="B64" s="320" t="str">
        <x:v>ds005262</x:v>
      </x:c>
      <x:c r="C64" s="320" t="str">
        <x:v>已覆盖</x:v>
      </x:c>
      <x:c r="D64" s="321" t="str">
        <x:v>EEG-0290:ArEEG: Arabic Inner Speech EEG dataset</x:v>
      </x:c>
    </x:row>
    <x:row r="65">
      <x:c r="A65" s="240" t="str">
        <x:v>OpenNeuro</x:v>
      </x:c>
      <x:c r="B65" s="230" t="str">
        <x:v>ds004477</x:v>
      </x:c>
      <x:c r="C65" s="230" t="str">
        <x:v>已覆盖</x:v>
      </x:c>
      <x:c r="D65" s="241" t="str">
        <x:v>EEG-0557:PES - Pandemic Emergency Scenario</x:v>
      </x:c>
    </x:row>
    <x:row r="66">
      <x:c r="A66" s="319" t="str">
        <x:v>OpenNeuro</x:v>
      </x:c>
      <x:c r="B66" s="320" t="str">
        <x:v>ds005273</x:v>
      </x:c>
      <x:c r="C66" s="320" t="str">
        <x:v>已覆盖</x:v>
      </x:c>
      <x:c r="D66" s="321" t="str">
        <x:v>EEG-0550:Neural representation of consciously seen and unseen information</x:v>
      </x:c>
    </x:row>
    <x:row r="67">
      <x:c r="A67" s="240" t="str">
        <x:v>OpenNeuro</x:v>
      </x:c>
      <x:c r="B67" s="230" t="str">
        <x:v>ds004561</x:v>
      </x:c>
      <x:c r="C67" s="230" t="str">
        <x:v>已覆盖</x:v>
      </x:c>
      <x:c r="D67" s="241" t="str">
        <x:v>EEG-0547:Illusion of Agency over Electrically-Actuated Movements</x:v>
      </x:c>
    </x:row>
    <x:row r="68">
      <x:c r="A68" s="319" t="str">
        <x:v>OpenNeuro</x:v>
      </x:c>
      <x:c r="B68" s="320" t="str">
        <x:v>ds004951</x:v>
      </x:c>
      <x:c r="C68" s="320" t="str">
        <x:v>已覆盖</x:v>
      </x:c>
      <x:c r="D68" s="321" t="str">
        <x:v>EEG-0530:Braille letters - EEG</x:v>
      </x:c>
    </x:row>
    <x:row r="69">
      <x:c r="A69" s="240" t="str">
        <x:v>OpenNeuro</x:v>
      </x:c>
      <x:c r="B69" s="230" t="str">
        <x:v>ds004324</x:v>
      </x:c>
      <x:c r="C69" s="230" t="str">
        <x:v>已覆盖</x:v>
      </x:c>
      <x:c r="D69" s="241" t="str">
        <x:v>EEG-0341:ToonFaces</x:v>
      </x:c>
    </x:row>
    <x:row r="70">
      <x:c r="A70" s="319" t="str">
        <x:v>OpenNeuro</x:v>
      </x:c>
      <x:c r="B70" s="320" t="str">
        <x:v>ds005095</x:v>
      </x:c>
      <x:c r="C70" s="320" t="str">
        <x:v>已覆盖</x:v>
      </x:c>
      <x:c r="D70" s="321" t="str">
        <x:v>EEG-0252:STERNBERG DIFFICULT</x:v>
      </x:c>
    </x:row>
    <x:row r="71">
      <x:c r="A71" s="240" t="str">
        <x:v>OpenNeuro</x:v>
      </x:c>
      <x:c r="B71" s="230" t="str">
        <x:v>ds005509</x:v>
      </x:c>
      <x:c r="C71" s="230" t="str">
        <x:v>已覆盖</x:v>
      </x:c>
      <x:c r="D71" s="241" t="str">
        <x:v>EEG-0597:HBN-EEG Release 5</x:v>
      </x:c>
    </x:row>
    <x:row r="72">
      <x:c r="A72" s="319" t="str">
        <x:v>OpenNeuro</x:v>
      </x:c>
      <x:c r="B72" s="320" t="str">
        <x:v>ds005505</x:v>
      </x:c>
      <x:c r="C72" s="320" t="str">
        <x:v>已覆盖</x:v>
      </x:c>
      <x:c r="D72" s="321" t="str">
        <x:v>EEG-0345:HBN-EEG Release 1</x:v>
      </x:c>
    </x:row>
    <x:row r="73">
      <x:c r="A73" s="240" t="str">
        <x:v>OpenNeuro</x:v>
      </x:c>
      <x:c r="B73" s="230" t="str">
        <x:v>ds005506</x:v>
      </x:c>
      <x:c r="C73" s="230" t="str">
        <x:v>已覆盖</x:v>
      </x:c>
      <x:c r="D73" s="241" t="str">
        <x:v>EEG-0594:HBN-EEG Release 2</x:v>
      </x:c>
    </x:row>
    <x:row r="74">
      <x:c r="A74" s="319" t="str">
        <x:v>OpenNeuro</x:v>
      </x:c>
      <x:c r="B74" s="320" t="str">
        <x:v>ds005507</x:v>
      </x:c>
      <x:c r="C74" s="320" t="str">
        <x:v>已覆盖</x:v>
      </x:c>
      <x:c r="D74" s="321" t="str">
        <x:v>EEG-0595:HBN-EEG Release 3</x:v>
      </x:c>
    </x:row>
    <x:row r="75">
      <x:c r="A75" s="240" t="str">
        <x:v>OpenNeuro</x:v>
      </x:c>
      <x:c r="B75" s="230" t="str">
        <x:v>ds005510</x:v>
      </x:c>
      <x:c r="C75" s="230" t="str">
        <x:v>已覆盖</x:v>
      </x:c>
      <x:c r="D75" s="241" t="str">
        <x:v>EEG-0598:HBN-EEG Release 6</x:v>
      </x:c>
    </x:row>
    <x:row r="76">
      <x:c r="A76" s="319" t="str">
        <x:v>OpenNeuro</x:v>
      </x:c>
      <x:c r="B76" s="320" t="str">
        <x:v>ds005511</x:v>
      </x:c>
      <x:c r="C76" s="320" t="str">
        <x:v>已覆盖</x:v>
      </x:c>
      <x:c r="D76" s="321" t="str">
        <x:v>EEG-0599:HBN-EEG Release 7</x:v>
      </x:c>
    </x:row>
    <x:row r="77">
      <x:c r="A77" s="240" t="str">
        <x:v>OpenNeuro</x:v>
      </x:c>
      <x:c r="B77" s="230" t="str">
        <x:v>ds005512</x:v>
      </x:c>
      <x:c r="C77" s="230" t="str">
        <x:v>已覆盖</x:v>
      </x:c>
      <x:c r="D77" s="241" t="str">
        <x:v>EEG-0600:HBN-EEG Release 8</x:v>
      </x:c>
    </x:row>
    <x:row r="78">
      <x:c r="A78" s="319" t="str">
        <x:v>OpenNeuro</x:v>
      </x:c>
      <x:c r="B78" s="320" t="str">
        <x:v>ds005514</x:v>
      </x:c>
      <x:c r="C78" s="320" t="str">
        <x:v>已覆盖</x:v>
      </x:c>
      <x:c r="D78" s="321" t="str">
        <x:v>EEG-0601:HBN-EEG Release 9</x:v>
      </x:c>
    </x:row>
    <x:row r="79">
      <x:c r="A79" s="240" t="str">
        <x:v>OpenNeuro</x:v>
      </x:c>
      <x:c r="B79" s="230" t="str">
        <x:v>ds001787</x:v>
      </x:c>
      <x:c r="C79" s="230" t="str">
        <x:v>已覆盖</x:v>
      </x:c>
      <x:c r="D79" s="241" t="str">
        <x:v>EEG-0199:EEG meditation study</x:v>
      </x:c>
    </x:row>
    <x:row r="80">
      <x:c r="A80" s="319" t="str">
        <x:v>OpenNeuro</x:v>
      </x:c>
      <x:c r="B80" s="320" t="str">
        <x:v>ds003690</x:v>
      </x:c>
      <x:c r="C80" s="320" t="str">
        <x:v>已覆盖</x:v>
      </x:c>
      <x:c r="D80" s="321" t="str">
        <x:v>EEG-0316:EEG, ECG and pupil data from young and older adults: rest and auditory cued reaction time tasks</x:v>
      </x:c>
    </x:row>
    <x:row r="81">
      <x:c r="A81" s="240" t="str">
        <x:v>OpenNeuro</x:v>
      </x:c>
      <x:c r="B81" s="230" t="str">
        <x:v>ds004603</x:v>
      </x:c>
      <x:c r="C81" s="230" t="str">
        <x:v>已覆盖</x:v>
      </x:c>
      <x:c r="D81" s="241" t="str">
        <x:v>EEG-0569:Visual Attribute-Specific Contextual Trajectory Paradigm</x:v>
      </x:c>
    </x:row>
    <x:row r="82">
      <x:c r="A82" s="319" t="str">
        <x:v>OpenNeuro</x:v>
      </x:c>
      <x:c r="B82" s="320" t="str">
        <x:v>ds003969</x:v>
      </x:c>
      <x:c r="C82" s="320" t="str">
        <x:v>已覆盖</x:v>
      </x:c>
      <x:c r="D82" s="321" t="str">
        <x:v>EEG-0200:Meditation vs thinking task</x:v>
      </x:c>
    </x:row>
    <x:row r="83">
      <x:c r="A83" s="240" t="str">
        <x:v>OpenNeuro</x:v>
      </x:c>
      <x:c r="B83" s="230" t="str">
        <x:v>ds004147</x:v>
      </x:c>
      <x:c r="C83" s="230" t="str">
        <x:v>已覆盖</x:v>
      </x:c>
      <x:c r="D83" s="241" t="str">
        <x:v>EEG-0525:Average Task Value</x:v>
      </x:c>
    </x:row>
    <x:row r="84">
      <x:c r="A84" s="319" t="str">
        <x:v>OpenNeuro</x:v>
      </x:c>
      <x:c r="B84" s="320" t="str">
        <x:v>ds003004</x:v>
      </x:c>
      <x:c r="C84" s="320" t="str">
        <x:v>已覆盖</x:v>
      </x:c>
      <x:c r="D84" s="321" t="str">
        <x:v>EEG-0182:Imagined Emotion Study</x:v>
      </x:c>
    </x:row>
    <x:row r="85">
      <x:c r="A85" s="240" t="str">
        <x:v>OpenNeuro</x:v>
      </x:c>
      <x:c r="B85" s="230" t="str">
        <x:v>ds002721</x:v>
      </x:c>
      <x:c r="C85" s="230" t="str">
        <x:v>已覆盖</x:v>
      </x:c>
      <x:c r="D85" s="241" t="str">
        <x:v>EEG-0187:MusicEEG</x:v>
      </x:c>
    </x:row>
    <x:row r="86">
      <x:c r="A86" s="319" t="str">
        <x:v>OpenNeuro</x:v>
      </x:c>
      <x:c r="B86" s="320" t="str">
        <x:v>ds004152</x:v>
      </x:c>
      <x:c r="C86" s="320" t="str">
        <x:v>已覆盖</x:v>
      </x:c>
      <x:c r="D86" s="321" t="str">
        <x:v>EEG-0265:Drum Trainer</x:v>
      </x:c>
    </x:row>
    <x:row r="87">
      <x:c r="A87" s="240" t="str">
        <x:v>OpenNeuro</x:v>
      </x:c>
      <x:c r="B87" s="230" t="str">
        <x:v>ds005089</x:v>
      </x:c>
      <x:c r="C87" s="230" t="str">
        <x:v>已覆盖</x:v>
      </x:c>
      <x:c r="D87" s="241" t="str">
        <x:v>EEG-0240:Proactive selective attention across competition contexts</x:v>
      </x:c>
    </x:row>
    <x:row r="88">
      <x:c r="A88" s="319" t="str">
        <x:v>OpenNeuro</x:v>
      </x:c>
      <x:c r="B88" s="320" t="str">
        <x:v>ds004264</x:v>
      </x:c>
      <x:c r="C88" s="320" t="str">
        <x:v>已覆盖</x:v>
      </x:c>
      <x:c r="D88" s="321" t="str">
        <x:v>EEG-0565:Steer the Ship</x:v>
      </x:c>
    </x:row>
    <x:row r="89">
      <x:c r="A89" s="240" t="str">
        <x:v>OpenNeuro</x:v>
      </x:c>
      <x:c r="B89" s="230" t="str">
        <x:v>ds004315</x:v>
      </x:c>
      <x:c r="C89" s="230" t="str">
        <x:v>已覆盖</x:v>
      </x:c>
      <x:c r="D89" s="241" t="str">
        <x:v>EEG-0185:Mood Manipulation and PST, Experiment 1</x:v>
      </x:c>
    </x:row>
    <x:row r="90">
      <x:c r="A90" s="319" t="str">
        <x:v>OpenNeuro</x:v>
      </x:c>
      <x:c r="B90" s="320" t="str">
        <x:v>ds004408</x:v>
      </x:c>
      <x:c r="C90" s="320" t="str">
        <x:v>已覆盖</x:v>
      </x:c>
      <x:c r="D90" s="321" t="str">
        <x:v>EEG-0306:OpenNeuro ds004408 Continuous Naturalistic Speech EEG</x:v>
      </x:c>
    </x:row>
    <x:row r="91">
      <x:c r="A91" s="240" t="str">
        <x:v>OpenNeuro</x:v>
      </x:c>
      <x:c r="B91" s="230" t="str">
        <x:v>ds005121</x:v>
      </x:c>
      <x:c r="C91" s="230" t="str">
        <x:v>已覆盖</x:v>
      </x:c>
      <x:c r="D91" s="241" t="str">
        <x:v>EEG-0562:Siefert2024</x:v>
      </x:c>
    </x:row>
    <x:row r="92">
      <x:c r="A92" s="319" t="str">
        <x:v>OpenNeuro</x:v>
      </x:c>
      <x:c r="B92" s="320" t="str">
        <x:v>ds003775</x:v>
      </x:c>
      <x:c r="C92" s="320" t="str">
        <x:v>已覆盖</x:v>
      </x:c>
      <x:c r="D92" s="321" t="str">
        <x:v>EEG-0251:SRM Resting-state EEG</x:v>
      </x:c>
    </x:row>
    <x:row r="93">
      <x:c r="A93" s="240" t="str">
        <x:v>OpenNeuro</x:v>
      </x:c>
      <x:c r="B93" s="230" t="str">
        <x:v>ds004572</x:v>
      </x:c>
      <x:c r="C93" s="230" t="str">
        <x:v>已覆盖</x:v>
      </x:c>
      <x:c r="D93" s="241" t="str">
        <x:v>EEG-0566:The effects of sham hypnosis techniques</x:v>
      </x:c>
    </x:row>
    <x:row r="94">
      <x:c r="A94" s="319" t="str">
        <x:v>OpenNeuro</x:v>
      </x:c>
      <x:c r="B94" s="320" t="str">
        <x:v>ds002778</x:v>
      </x:c>
      <x:c r="C94" s="320" t="str">
        <x:v>已覆盖</x:v>
      </x:c>
      <x:c r="D94" s="321" t="str">
        <x:v>EEG-0094:PD31 (Parkinson)</x:v>
      </x:c>
    </x:row>
    <x:row r="95">
      <x:c r="A95" s="240" t="str">
        <x:v>OpenNeuro</x:v>
      </x:c>
      <x:c r="B95" s="230" t="str">
        <x:v>ds003846</x:v>
      </x:c>
      <x:c r="C95" s="230" t="str">
        <x:v>已覆盖</x:v>
      </x:c>
      <x:c r="D95" s="241" t="str">
        <x:v>EEG-0559:Prediction Error</x:v>
      </x:c>
    </x:row>
    <x:row r="96">
      <x:c r="A96" s="319" t="str">
        <x:v>OpenNeuro</x:v>
      </x:c>
      <x:c r="B96" s="320" t="str">
        <x:v>ds004279</x:v>
      </x:c>
      <x:c r="C96" s="320" t="str">
        <x:v>已覆盖</x:v>
      </x:c>
      <x:c r="D96" s="321" t="str">
        <x:v>EEG-0308:Spanish Sentences Silent</x:v>
      </x:c>
    </x:row>
    <x:row r="97">
      <x:c r="A97" s="240" t="str">
        <x:v>OpenNeuro</x:v>
      </x:c>
      <x:c r="B97" s="230" t="str">
        <x:v>ds004148</x:v>
      </x:c>
      <x:c r="C97" s="230" t="str">
        <x:v>已覆盖</x:v>
      </x:c>
      <x:c r="D97" s="241" t="str">
        <x:v>EEG-0146:Test-Retest / RestCog</x:v>
      </x:c>
    </x:row>
    <x:row r="98">
      <x:c r="A98" s="319" t="str">
        <x:v>OpenNeuro</x:v>
      </x:c>
      <x:c r="B98" s="320" t="str">
        <x:v>ds004902</x:v>
      </x:c>
      <x:c r="C98" s="320" t="str">
        <x:v>已覆盖</x:v>
      </x:c>
      <x:c r="D98" s="321" t="str">
        <x:v>EEG-0143:Sleep-Deprivation (resting)</x:v>
      </x:c>
    </x:row>
    <x:row r="99">
      <x:c r="A99" s="240" t="str">
        <x:v>OpenNeuro</x:v>
      </x:c>
      <x:c r="B99" s="230" t="str">
        <x:v>ds002680</x:v>
      </x:c>
      <x:c r="C99" s="230" t="str">
        <x:v>已覆盖</x:v>
      </x:c>
      <x:c r="D99" s="241" t="str">
        <x:v>EEG-0544:Go-nogo Categorization and Detection Task</x:v>
      </x:c>
    </x:row>
    <x:row r="100">
      <x:c r="A100" s="319" t="str">
        <x:v>OpenNeuro</x:v>
      </x:c>
      <x:c r="B100" s="320" t="str">
        <x:v>ds004284</x:v>
      </x:c>
      <x:c r="C100" s="320" t="str">
        <x:v>已覆盖</x:v>
      </x:c>
      <x:c r="D100" s="321" t="str">
        <x:v>EEG-0536:eeg-neuroforecasting</x:v>
      </x:c>
    </x:row>
    <x:row r="101">
      <x:c r="A101" s="240" t="str">
        <x:v>OpenNeuro</x:v>
      </x:c>
      <x:c r="B101" s="230" t="str">
        <x:v>ds004395</x:v>
      </x:c>
      <x:c r="C101" s="230" t="str">
        <x:v>已覆盖</x:v>
      </x:c>
      <x:c r="D101" s="241" t="str">
        <x:v>EEG-0239:PEERS</x:v>
      </x:c>
    </x:row>
    <x:row r="102">
      <x:c r="A102" s="319" t="str">
        <x:v>OpenNeuro</x:v>
      </x:c>
      <x:c r="B102" s="320" t="str">
        <x:v>ds005508</x:v>
      </x:c>
      <x:c r="C102" s="320" t="str">
        <x:v>已覆盖</x:v>
      </x:c>
      <x:c r="D102" s="321" t="str">
        <x:v>EEG-0596:HBN-EEG Release 4</x:v>
      </x:c>
    </x:row>
    <x:row r="103">
      <x:c r="A103" s="240" t="str">
        <x:v>OpenNeuro</x:v>
      </x:c>
      <x:c r="B103" s="230" t="str">
        <x:v>ds005697</x:v>
      </x:c>
      <x:c r="C103" s="230" t="str">
        <x:v>已覆盖</x:v>
      </x:c>
      <x:c r="D103" s="241" t="str">
        <x:v>EEG-0335:PerceiveImagine</x:v>
      </x:c>
    </x:row>
    <x:row r="104">
      <x:c r="A104" s="319" t="str">
        <x:v>OpenNeuro</x:v>
      </x:c>
      <x:c r="B104" s="320" t="str">
        <x:v>ds005620</x:v>
      </x:c>
      <x:c r="C104" s="320" t="str">
        <x:v>已覆盖</x:v>
      </x:c>
      <x:c r="D104" s="321" t="str">
        <x:v>EEG-0149:Awakening (propofol)</x:v>
      </x:c>
    </x:row>
    <x:row r="105">
      <x:c r="A105" s="240" t="str">
        <x:v>OpenNeuro</x:v>
      </x:c>
      <x:c r="B105" s="230" t="str">
        <x:v>ds005594</x:v>
      </x:c>
      <x:c r="C105" s="230" t="str">
        <x:v>已覆盖</x:v>
      </x:c>
      <x:c r="D105" s="241" t="str">
        <x:v>EEG-0203:Alphabetic Decision Task (Arial Light Font)</x:v>
      </x:c>
    </x:row>
    <x:row r="106">
      <x:c r="A106" s="319" t="str">
        <x:v>OpenNeuro</x:v>
      </x:c>
      <x:c r="B106" s="320" t="str">
        <x:v>ds005586</x:v>
      </x:c>
      <x:c r="C106" s="320" t="str">
        <x:v>已覆盖</x:v>
      </x:c>
      <x:c r="D106" s="321" t="str">
        <x:v>EEG-0540:Electroencephalographic responses to the number of objects in partially occluded and uncovered scenes</x:v>
      </x:c>
    </x:row>
    <x:row r="107">
      <x:c r="A107" s="240" t="str">
        <x:v>Other</x:v>
      </x:c>
      <x:c r="B107" s="230" t="str">
        <x:v>NMT</x:v>
      </x:c>
      <x:c r="C107" s="230" t="str">
        <x:v>已覆盖</x:v>
      </x:c>
      <x:c r="D107" s="241" t="str">
        <x:v>EEG-0106:NMT Scalp EEG Dataset</x:v>
      </x:c>
    </x:row>
    <x:row r="108">
      <x:c r="A108" s="319" t="str">
        <x:v>Other</x:v>
      </x:c>
      <x:c r="B108" s="320" t="str">
        <x:v>HMS</x:v>
      </x:c>
      <x:c r="C108" s="320" t="str">
        <x:v>已覆盖</x:v>
      </x:c>
      <x:c r="D108" s="321" t="str">
        <x:v>EEG-0562:Siefert2024 | EEG-0014:HMS Harmful Brain Activity Classification | EEG-0043:CAUEEG</x:v>
      </x:c>
    </x:row>
    <x:row r="109">
      <x:c r="A109" s="240" t="str">
        <x:v>Other</x:v>
      </x:c>
      <x:c r="B109" s="230" t="str">
        <x:v>SparrKULee</x:v>
      </x:c>
      <x:c r="C109" s="230" t="str">
        <x:v>已覆盖</x:v>
      </x:c>
      <x:c r="D109" s="241" t="str">
        <x:v>EEG-0412:SparrKULee</x:v>
      </x:c>
    </x:row>
    <x:row r="110">
      <x:c r="A110" s="319" t="str">
        <x:v>Other</x:v>
      </x:c>
      <x:c r="B110" s="320" t="str">
        <x:v>Inria Large</x:v>
      </x:c>
      <x:c r="C110" s="320" t="str">
        <x:v>已覆盖</x:v>
      </x:c>
      <x:c r="D110" s="321" t="str">
        <x:v>EEG-0486:KaggleERN (Inria BCI Challenge - Error-Related Negativity)</x:v>
      </x:c>
    </x:row>
    <x:row r="111">
      <x:c r="A111" s="240" t="str">
        <x:v>Other</x:v>
      </x:c>
      <x:c r="B111" s="230" t="str">
        <x:v>THINGS2</x:v>
      </x:c>
      <x:c r="C111" s="230" t="str">
        <x:v>已覆盖</x:v>
      </x:c>
      <x:c r="D111" s="241" t="str">
        <x:v>EEG-0338:THINGS-EEG2</x:v>
      </x:c>
    </x:row>
    <x:row r="112">
      <x:c r="A112" s="319" t="str">
        <x:v>Other</x:v>
      </x:c>
      <x:c r="B112" s="320" t="str">
        <x:v>TDBRAIN</x:v>
      </x:c>
      <x:c r="C112" s="320" t="str">
        <x:v>已覆盖</x:v>
      </x:c>
      <x:c r="D112" s="321" t="str">
        <x:v>EEG-0061:TDBRAIN</x:v>
      </x:c>
    </x:row>
    <x:row r="113">
      <x:c r="A113" s="256" t="str">
        <x:v>TUH</x:v>
      </x:c>
      <x:c r="B113" s="257" t="str">
        <x:v>TUH</x:v>
      </x:c>
      <x:c r="C113" s="257" t="str">
        <x:v>已覆盖</x:v>
      </x:c>
      <x:c r="D113" s="258" t="str">
        <x:v>EEG-0004:TUAR (TUH Artifact) | EEG-0033:TUEP (TUH Epilepsy) | EEG-0034:TUEV (TUH Events) | EEG-0035:TUSL (TUH Slowing) | EEG-0036:TUSZ (TUH Seizure) | EEG-0107:TUAB (TUH Abnormal) | EEG-0582:TUEG (TUH EEG Corpus)</x:v>
      </x:c>
    </x:row>
  </x:sheetData>
  <x:mergeCells>
    <x:mergeCell ref="A1:F1"/>
  </x:mergeCells>
  <x:pageMargins left="0.7" right="0.7" top="0.75" bottom="0.75" header="0.3" footer="0.3"/>
  <x:tableParts count="2">
    <x:tablePart xmlns:r="http://schemas.openxmlformats.org/officeDocument/2006/relationships" r:id="Ref501f68203f4cde"/>
    <x:tablePart xmlns:r="http://schemas.openxmlformats.org/officeDocument/2006/relationships" r:id="Rdb30a2fbde4e4fdf"/>
  </x:tableParts>
</x:worksheet>
</file>